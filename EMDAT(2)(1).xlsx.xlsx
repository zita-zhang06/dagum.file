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288"/>
  </bookViews>
  <sheets>
    <sheet name="Data all" sheetId="7" r:id="rId1"/>
    <sheet name="EM-DAT Data" sheetId="1" r:id="rId2"/>
    <sheet name="GDP" sheetId="3" r:id="rId3"/>
    <sheet name="GDP-keep" sheetId="4" r:id="rId4"/>
    <sheet name="EM-DAT Info" sheetId="2" r:id="rId5"/>
    <sheet name="table 1" sheetId="6" r:id="rId6"/>
  </sheets>
  <definedNames>
    <definedName name="_xlnm._FilterDatabase" localSheetId="0" hidden="1">'Data all'!$A$1:$T$2382</definedName>
    <definedName name="_xlnm._FilterDatabase" localSheetId="1" hidden="1">'EM-DAT Data'!$A$1:$J$2401</definedName>
    <definedName name="_xlnm._FilterDatabase" localSheetId="3" hidden="1">'GDP-keep'!$D$1:$D$26</definedName>
  </definedNames>
  <calcPr calcId="162913"/>
</workbook>
</file>

<file path=xl/calcChain.xml><?xml version="1.0" encoding="utf-8"?>
<calcChain xmlns="http://schemas.openxmlformats.org/spreadsheetml/2006/main">
  <c r="A1" i="4" l="1"/>
  <c r="B1" i="4" l="1"/>
  <c r="D1" i="4"/>
  <c r="A2" i="4"/>
  <c r="B2" i="4"/>
  <c r="C2" i="4"/>
  <c r="D2" i="4"/>
  <c r="A3" i="4"/>
  <c r="B3" i="4"/>
  <c r="A4" i="4"/>
  <c r="B4" i="4"/>
  <c r="C4" i="4"/>
  <c r="A5" i="4"/>
  <c r="B5" i="4"/>
  <c r="A6" i="4"/>
  <c r="B6" i="4"/>
  <c r="A7" i="4"/>
  <c r="B7" i="4"/>
  <c r="C7" i="4"/>
  <c r="A8" i="4"/>
  <c r="B8" i="4"/>
  <c r="C8" i="4"/>
  <c r="A9" i="4"/>
  <c r="B9" i="4"/>
  <c r="A10" i="4"/>
  <c r="B10" i="4"/>
  <c r="A11" i="4"/>
  <c r="B11" i="4"/>
  <c r="A12" i="4"/>
  <c r="B12" i="4"/>
  <c r="A13" i="4"/>
  <c r="B13" i="4"/>
  <c r="A14" i="4"/>
  <c r="B14" i="4"/>
  <c r="A15" i="4"/>
  <c r="B15" i="4"/>
  <c r="A16" i="4"/>
  <c r="B16" i="4"/>
  <c r="A17" i="4"/>
  <c r="B17" i="4"/>
  <c r="A18" i="4"/>
  <c r="B18" i="4"/>
  <c r="A19" i="4"/>
  <c r="B19" i="4"/>
  <c r="A20" i="4"/>
  <c r="B20" i="4"/>
  <c r="A21" i="4"/>
  <c r="B21" i="4"/>
  <c r="C21" i="4"/>
  <c r="A22" i="4"/>
  <c r="B22" i="4"/>
  <c r="A23" i="4"/>
  <c r="B23" i="4"/>
  <c r="A24" i="4"/>
  <c r="B24" i="4"/>
  <c r="A25" i="4"/>
  <c r="B25" i="4"/>
  <c r="A26" i="4"/>
  <c r="B26" i="4"/>
  <c r="D4" i="3"/>
  <c r="D4" i="4" s="1"/>
  <c r="D7" i="3"/>
  <c r="D7" i="4" s="1"/>
  <c r="D8" i="3"/>
  <c r="D8" i="4" s="1"/>
  <c r="D21" i="3"/>
  <c r="D21" i="4" s="1"/>
  <c r="D2" i="3"/>
  <c r="E2188" i="1" l="1"/>
  <c r="C24" i="3" s="1"/>
  <c r="E2328" i="1"/>
  <c r="C25" i="3" s="1"/>
  <c r="E2402" i="1"/>
  <c r="C26" i="3" s="1"/>
  <c r="E2090" i="1"/>
  <c r="C23" i="3" s="1"/>
  <c r="E1963" i="1"/>
  <c r="C22" i="3" s="1"/>
  <c r="E1881" i="1"/>
  <c r="C20" i="3" s="1"/>
  <c r="E1694" i="1"/>
  <c r="C19" i="3" s="1"/>
  <c r="E1612" i="1"/>
  <c r="C18" i="3" s="1"/>
  <c r="E1513" i="1"/>
  <c r="C17" i="3" s="1"/>
  <c r="E1462" i="1"/>
  <c r="C16" i="3" s="1"/>
  <c r="E1356" i="1"/>
  <c r="C15" i="3" s="1"/>
  <c r="E1254" i="1"/>
  <c r="C14" i="3" s="1"/>
  <c r="E1171" i="1"/>
  <c r="C13" i="3" s="1"/>
  <c r="E1055" i="1"/>
  <c r="C12" i="3" s="1"/>
  <c r="E984" i="1"/>
  <c r="C11" i="3" s="1"/>
  <c r="E887" i="1"/>
  <c r="C10" i="3" s="1"/>
  <c r="E788" i="1"/>
  <c r="C9" i="3" s="1"/>
  <c r="E707" i="1"/>
  <c r="C6" i="3" s="1"/>
  <c r="E459" i="1"/>
  <c r="C5" i="3" s="1"/>
  <c r="E314" i="1"/>
  <c r="C3" i="3" s="1"/>
  <c r="D18" i="3" l="1"/>
  <c r="D18" i="4" s="1"/>
  <c r="C18" i="4"/>
  <c r="D19" i="3"/>
  <c r="D19" i="4" s="1"/>
  <c r="C19" i="4"/>
  <c r="D13" i="3"/>
  <c r="D13" i="4" s="1"/>
  <c r="C13" i="4"/>
  <c r="D22" i="3"/>
  <c r="D22" i="4" s="1"/>
  <c r="C22" i="4"/>
  <c r="D12" i="3"/>
  <c r="D12" i="4" s="1"/>
  <c r="C12" i="4"/>
  <c r="D3" i="3"/>
  <c r="D3" i="4" s="1"/>
  <c r="C3" i="4"/>
  <c r="D5" i="3"/>
  <c r="D5" i="4" s="1"/>
  <c r="C5" i="4"/>
  <c r="D15" i="3"/>
  <c r="D15" i="4" s="1"/>
  <c r="C15" i="4"/>
  <c r="D26" i="3"/>
  <c r="D26" i="4" s="1"/>
  <c r="C26" i="4"/>
  <c r="D11" i="3"/>
  <c r="D11" i="4" s="1"/>
  <c r="C11" i="4"/>
  <c r="C23" i="4"/>
  <c r="D23" i="3"/>
  <c r="D23" i="4" s="1"/>
  <c r="D6" i="3"/>
  <c r="D6" i="4" s="1"/>
  <c r="C6" i="4"/>
  <c r="D16" i="3"/>
  <c r="D16" i="4" s="1"/>
  <c r="C16" i="4"/>
  <c r="D25" i="3"/>
  <c r="D25" i="4" s="1"/>
  <c r="C25" i="4"/>
  <c r="D10" i="3"/>
  <c r="D10" i="4" s="1"/>
  <c r="C10" i="4"/>
  <c r="C20" i="4"/>
  <c r="D20" i="3"/>
  <c r="D20" i="4" s="1"/>
  <c r="D14" i="3"/>
  <c r="D14" i="4" s="1"/>
  <c r="C14" i="4"/>
  <c r="D9" i="3"/>
  <c r="D9" i="4" s="1"/>
  <c r="C9" i="4"/>
  <c r="D17" i="3"/>
  <c r="D17" i="4" s="1"/>
  <c r="C17" i="4"/>
  <c r="C24" i="4"/>
  <c r="D24" i="3"/>
  <c r="D24" i="4" s="1"/>
</calcChain>
</file>

<file path=xl/sharedStrings.xml><?xml version="1.0" encoding="utf-8"?>
<sst xmlns="http://schemas.openxmlformats.org/spreadsheetml/2006/main" count="65146" uniqueCount="5879">
  <si>
    <t>Source:</t>
  </si>
  <si>
    <t>EM-DAT, CRED / UCLouvain, Brussels, Belgium</t>
  </si>
  <si>
    <t>https://www.emdat.be</t>
  </si>
  <si>
    <t>Glossary:</t>
  </si>
  <si>
    <t>https://doc.emdat.be/docs/data-structure-and-content/emdat-public-table/</t>
  </si>
  <si>
    <t>Version:</t>
  </si>
  <si>
    <t>2026-05-08</t>
  </si>
  <si>
    <t>File creation:</t>
  </si>
  <si>
    <t>Sat, 16 May 2026 17:15:52 UTC</t>
  </si>
  <si>
    <t xml:space="preserve">Table type: </t>
  </si>
  <si>
    <t>public_emdat_custom_request</t>
  </si>
  <si>
    <t># of records:</t>
  </si>
  <si>
    <t>2474</t>
  </si>
  <si>
    <t>DisNo.</t>
  </si>
  <si>
    <t>Disaster Subgroup</t>
  </si>
  <si>
    <t>Disaster Subtype</t>
  </si>
  <si>
    <t>Country</t>
  </si>
  <si>
    <t>Associated Types</t>
  </si>
  <si>
    <t>OFDA/BHA Response</t>
  </si>
  <si>
    <t>Appeal</t>
  </si>
  <si>
    <t>Declaration</t>
  </si>
  <si>
    <t>Start Year</t>
  </si>
  <si>
    <t>Total Affected</t>
  </si>
  <si>
    <t>Total Damage ('000 US$)</t>
  </si>
  <si>
    <t>Total Damage, Adjusted ('000 US$)</t>
  </si>
  <si>
    <t>CPI</t>
  </si>
  <si>
    <t>2001-0553-BLZ</t>
  </si>
  <si>
    <t>No</t>
  </si>
  <si>
    <t>Meteorological</t>
  </si>
  <si>
    <t>Storm</t>
  </si>
  <si>
    <t>Tropical cyclone</t>
  </si>
  <si>
    <t/>
  </si>
  <si>
    <t>Belize</t>
  </si>
  <si>
    <t>Yes</t>
  </si>
  <si>
    <t>United States of America</t>
  </si>
  <si>
    <t>Dominica</t>
  </si>
  <si>
    <t>2005-0547-USA</t>
  </si>
  <si>
    <t>Flood</t>
  </si>
  <si>
    <t>2000-0465-USA</t>
  </si>
  <si>
    <t>Climatological</t>
  </si>
  <si>
    <t>Wildfire</t>
  </si>
  <si>
    <t>Forest fire</t>
  </si>
  <si>
    <t>2022-0643-HTI</t>
  </si>
  <si>
    <t>Biological</t>
  </si>
  <si>
    <t>Bacterial disease</t>
  </si>
  <si>
    <t>Haiti</t>
  </si>
  <si>
    <t>2022-0647-COL</t>
  </si>
  <si>
    <t>Colombia</t>
  </si>
  <si>
    <t>2022-0647-HND</t>
  </si>
  <si>
    <t>Honduras</t>
  </si>
  <si>
    <t>2019-0647-PER</t>
  </si>
  <si>
    <t>Hydrological</t>
  </si>
  <si>
    <t>Flood (General)</t>
  </si>
  <si>
    <t>Peru</t>
  </si>
  <si>
    <t>Slide (land, mud, snow, rock)</t>
  </si>
  <si>
    <t>2020-0301-URY</t>
  </si>
  <si>
    <t>Flash flood</t>
  </si>
  <si>
    <t>Uruguay</t>
  </si>
  <si>
    <t>2019-0640-CHL</t>
  </si>
  <si>
    <t>Land fire (Brush, Bush, Pasture)</t>
  </si>
  <si>
    <t>Chile</t>
  </si>
  <si>
    <t>2020-0312-PRI</t>
  </si>
  <si>
    <t>Puerto Rico</t>
  </si>
  <si>
    <t>2019-0624-USA</t>
  </si>
  <si>
    <t>Severe weather</t>
  </si>
  <si>
    <t>Hail</t>
  </si>
  <si>
    <t>2007-0066-USA</t>
  </si>
  <si>
    <t>Blizzard/Winter storm</t>
  </si>
  <si>
    <t>Cold wave</t>
  </si>
  <si>
    <t>2019-0609-VEN</t>
  </si>
  <si>
    <t>Venezuela (Bolivarian Republic of)</t>
  </si>
  <si>
    <t>2019-0606-COL</t>
  </si>
  <si>
    <t>2020-0353-MEX</t>
  </si>
  <si>
    <t>Mexico</t>
  </si>
  <si>
    <t>2020-0376-DOM</t>
  </si>
  <si>
    <t>Dominican Republic</t>
  </si>
  <si>
    <t>2019-0532-CAN</t>
  </si>
  <si>
    <t>Canada</t>
  </si>
  <si>
    <t>2020-0474-MEX</t>
  </si>
  <si>
    <t>2019-0513-USA</t>
  </si>
  <si>
    <t>2020-0474-NIC</t>
  </si>
  <si>
    <t>Nicaragua</t>
  </si>
  <si>
    <t>Flood|Slide (land, mud, snow, rock)</t>
  </si>
  <si>
    <t>2019-0484-USA</t>
  </si>
  <si>
    <t>2020-0474-USA</t>
  </si>
  <si>
    <t>Flood|Surge</t>
  </si>
  <si>
    <t>2020-0483-USA</t>
  </si>
  <si>
    <t>Surge</t>
  </si>
  <si>
    <t>2020-0495-COL</t>
  </si>
  <si>
    <t>2020-0495-GTM</t>
  </si>
  <si>
    <t>Guatemala</t>
  </si>
  <si>
    <t>Geophysical</t>
  </si>
  <si>
    <t>Earthquake</t>
  </si>
  <si>
    <t>Ground movement</t>
  </si>
  <si>
    <t>2021-0369-CAN</t>
  </si>
  <si>
    <t>Heat wave</t>
  </si>
  <si>
    <t>2019-0428-PER</t>
  </si>
  <si>
    <t>Tornado</t>
  </si>
  <si>
    <t>2020-0538-USA</t>
  </si>
  <si>
    <t>Lightning/Thunderstorms</t>
  </si>
  <si>
    <t>Flood|Hail</t>
  </si>
  <si>
    <t>2019-0412-BHS</t>
  </si>
  <si>
    <t>Bahamas</t>
  </si>
  <si>
    <t>2019-0395-GTM</t>
  </si>
  <si>
    <t>Flood|Lightening</t>
  </si>
  <si>
    <t>Ash fall</t>
  </si>
  <si>
    <t>2020-0582-USA</t>
  </si>
  <si>
    <t>2020-0584-USA</t>
  </si>
  <si>
    <t>2021-0126-ECU</t>
  </si>
  <si>
    <t>Ecuador</t>
  </si>
  <si>
    <t>2021-0001-BOL</t>
  </si>
  <si>
    <t>Bolivia (Plurinational State of)</t>
  </si>
  <si>
    <t>2019-0358-PER</t>
  </si>
  <si>
    <t>2019-0338-SLV</t>
  </si>
  <si>
    <t>Viral disease</t>
  </si>
  <si>
    <t>El Salvador</t>
  </si>
  <si>
    <t>2021-0001-PRY</t>
  </si>
  <si>
    <t>Paraguay</t>
  </si>
  <si>
    <t>2019-0309-BRA</t>
  </si>
  <si>
    <t>Brazil</t>
  </si>
  <si>
    <t>2019-0297-MEX</t>
  </si>
  <si>
    <t>Riverine flood</t>
  </si>
  <si>
    <t>2021-0043-USA</t>
  </si>
  <si>
    <t>2021-0096-USA</t>
  </si>
  <si>
    <t>2021-0145-PER</t>
  </si>
  <si>
    <t>2019-0245-PRY</t>
  </si>
  <si>
    <t>2021-0178-USA</t>
  </si>
  <si>
    <t>2021-0193-USA</t>
  </si>
  <si>
    <t>2019-0215-HTI</t>
  </si>
  <si>
    <t>2019-0206-ARG</t>
  </si>
  <si>
    <t>Argentina</t>
  </si>
  <si>
    <t>2019-0185-ARG</t>
  </si>
  <si>
    <t>2021-0230-GTM</t>
  </si>
  <si>
    <t>2019-0175-COL</t>
  </si>
  <si>
    <t>Landslide (wet)</t>
  </si>
  <si>
    <t>2021-0273-USA</t>
  </si>
  <si>
    <t>2021-0303-BRA</t>
  </si>
  <si>
    <t>2021-0325-MEX</t>
  </si>
  <si>
    <t>Lightening|Slide (land, mud, snow, rock)</t>
  </si>
  <si>
    <t>2021-0335-USA</t>
  </si>
  <si>
    <t>2021-0356-CAN</t>
  </si>
  <si>
    <t>2021-0357-USA</t>
  </si>
  <si>
    <t>Wildfire (General)</t>
  </si>
  <si>
    <t>2021-0373-BRB</t>
  </si>
  <si>
    <t>Barbados</t>
  </si>
  <si>
    <t>2021-0373-DOM</t>
  </si>
  <si>
    <t>2021-0373-HTI</t>
  </si>
  <si>
    <t>2021-0373-VCT</t>
  </si>
  <si>
    <t>Saint Vincent and the Grenadines</t>
  </si>
  <si>
    <t>2019-0092-BOL</t>
  </si>
  <si>
    <t>Mudslide</t>
  </si>
  <si>
    <t>2019-0089-USA</t>
  </si>
  <si>
    <t>2019-0075-COL</t>
  </si>
  <si>
    <t>2021-0392-CHL</t>
  </si>
  <si>
    <t>2019-0072-PER</t>
  </si>
  <si>
    <t>Slide (land, mud, snow, rock)|Storm</t>
  </si>
  <si>
    <t>2018-9476-USA</t>
  </si>
  <si>
    <t>Drought</t>
  </si>
  <si>
    <t>2018-9277-SLV</t>
  </si>
  <si>
    <t>2018-9277-HND</t>
  </si>
  <si>
    <t>2018-9277-CRI</t>
  </si>
  <si>
    <t>Costa Rica</t>
  </si>
  <si>
    <t>2018-9075-ARG</t>
  </si>
  <si>
    <t>2021-0442-USA</t>
  </si>
  <si>
    <t>2018-0419-USA</t>
  </si>
  <si>
    <t>2021-0445-PAN</t>
  </si>
  <si>
    <t>Panama</t>
  </si>
  <si>
    <t>2021-0510-DOM</t>
  </si>
  <si>
    <t>2021-0531-USA</t>
  </si>
  <si>
    <t>2021-0532-USA</t>
  </si>
  <si>
    <t>2018-0366-CAN</t>
  </si>
  <si>
    <t>2021-0552-MEX</t>
  </si>
  <si>
    <t>2021-0602-MEX</t>
  </si>
  <si>
    <t>Tsunami/Tidal wave</t>
  </si>
  <si>
    <t>2018-0315-MEX</t>
  </si>
  <si>
    <t>2018-0299-CAN</t>
  </si>
  <si>
    <t>Pollution</t>
  </si>
  <si>
    <t>2021-0712-PER</t>
  </si>
  <si>
    <t>2018-0170-USA</t>
  </si>
  <si>
    <t>2018-0168-GTM</t>
  </si>
  <si>
    <t>Pyroclastic flow</t>
  </si>
  <si>
    <t>Rain</t>
  </si>
  <si>
    <t>2018-0157-GTM</t>
  </si>
  <si>
    <t>2021-0733-USA</t>
  </si>
  <si>
    <t>2021-0747-BOL</t>
  </si>
  <si>
    <t>2021-0778-COL</t>
  </si>
  <si>
    <t>2021-0790-BRA</t>
  </si>
  <si>
    <t>2018-0074-ARG</t>
  </si>
  <si>
    <t>2021-0832-USA</t>
  </si>
  <si>
    <t>Storm (General)</t>
  </si>
  <si>
    <t>2021-9846-USA</t>
  </si>
  <si>
    <t>2018-0038-ARG</t>
  </si>
  <si>
    <t>2017-9550-USA</t>
  </si>
  <si>
    <t>2022-0037-URY</t>
  </si>
  <si>
    <t>Coastal flood</t>
  </si>
  <si>
    <t>2014-9332-HND</t>
  </si>
  <si>
    <t>Food shortage</t>
  </si>
  <si>
    <t>2022-0073-COL</t>
  </si>
  <si>
    <t>2017-0452-HTI</t>
  </si>
  <si>
    <t>2022-0079-PER</t>
  </si>
  <si>
    <t>2022-0092-GTM</t>
  </si>
  <si>
    <t>2022-0105-ARG</t>
  </si>
  <si>
    <t>2022-0149-BRA</t>
  </si>
  <si>
    <t>2022-0177-ECU</t>
  </si>
  <si>
    <t>2017-0383-VIR</t>
  </si>
  <si>
    <t>United States Virgin Islands</t>
  </si>
  <si>
    <t>2017-0383-VGB</t>
  </si>
  <si>
    <t>British Virgin Islands</t>
  </si>
  <si>
    <t>2017-0383-PRI</t>
  </si>
  <si>
    <t>Broken Dam/Burst bank|Flood</t>
  </si>
  <si>
    <t>2017-0383-GLP</t>
  </si>
  <si>
    <t>Guadeloupe</t>
  </si>
  <si>
    <t>2022-0266-USA</t>
  </si>
  <si>
    <t>2017-0382-MEX</t>
  </si>
  <si>
    <t>Slide (land, mud, snow, rock)|Tsunami/Tidal wave</t>
  </si>
  <si>
    <t>2017-0381-VIR</t>
  </si>
  <si>
    <t>2017-0381-DOM</t>
  </si>
  <si>
    <t>2017-0381-BHS</t>
  </si>
  <si>
    <t>2017-0381-ATG</t>
  </si>
  <si>
    <t>Antigua and Barbuda</t>
  </si>
  <si>
    <t>2017-0376-MEX</t>
  </si>
  <si>
    <t>2022-0325-USA</t>
  </si>
  <si>
    <t>Derecho</t>
  </si>
  <si>
    <t>2022-0328-COL</t>
  </si>
  <si>
    <t>2017-0334-MEX</t>
  </si>
  <si>
    <t>2024-0463-CAN</t>
  </si>
  <si>
    <t>2017-0271-CAN</t>
  </si>
  <si>
    <t>2017-0227-HND</t>
  </si>
  <si>
    <t>2017-0225-COL</t>
  </si>
  <si>
    <t>2017-0195-URY</t>
  </si>
  <si>
    <t>2017-0218-CHL</t>
  </si>
  <si>
    <t>2017-0196-HND</t>
  </si>
  <si>
    <t>2017-0168-MEX</t>
  </si>
  <si>
    <t>2017-0137-JAM</t>
  </si>
  <si>
    <t>Jamaica</t>
  </si>
  <si>
    <t>2017-0137-DOM</t>
  </si>
  <si>
    <t>2017-0136-USA</t>
  </si>
  <si>
    <t>Hail|Storm</t>
  </si>
  <si>
    <t>2022-0603-PRI</t>
  </si>
  <si>
    <t>2016-0464-PER</t>
  </si>
  <si>
    <t>Anguilla</t>
  </si>
  <si>
    <t>2022-0614-CUB</t>
  </si>
  <si>
    <t>Cuba</t>
  </si>
  <si>
    <t>2022-0622-MEX</t>
  </si>
  <si>
    <t>Martinique</t>
  </si>
  <si>
    <t>2017-0055-CHL</t>
  </si>
  <si>
    <t>Saint Lucia</t>
  </si>
  <si>
    <t>2017-0052-PER</t>
  </si>
  <si>
    <t>2017-0039-USA</t>
  </si>
  <si>
    <t>2022-0623-MEX</t>
  </si>
  <si>
    <t>2017-0036-PER</t>
  </si>
  <si>
    <t>2022-0647-NIC</t>
  </si>
  <si>
    <t>2022-0648-VEN</t>
  </si>
  <si>
    <t>2022-0783-BRA</t>
  </si>
  <si>
    <t>2016-0522-BOL</t>
  </si>
  <si>
    <t>2016-0519-ARG</t>
  </si>
  <si>
    <t>2016-0518-BRA</t>
  </si>
  <si>
    <t>2022-0734-USA</t>
  </si>
  <si>
    <t>2022-0735-USA</t>
  </si>
  <si>
    <t>2022-0823-CHL</t>
  </si>
  <si>
    <t>2016-0433-PAN</t>
  </si>
  <si>
    <t>2016-0424-MEX</t>
  </si>
  <si>
    <t>Hail|Lightening</t>
  </si>
  <si>
    <t>2022-0808-USA</t>
  </si>
  <si>
    <t>2022-0811-USA</t>
  </si>
  <si>
    <t>2022-0818-USA</t>
  </si>
  <si>
    <t>Cold wave|Flood</t>
  </si>
  <si>
    <t>2022-0828-CHL</t>
  </si>
  <si>
    <t>2016-0404-HTI</t>
  </si>
  <si>
    <t>2022-9209-USA</t>
  </si>
  <si>
    <t>2023-0032-USA</t>
  </si>
  <si>
    <t>2016-0355-VCT</t>
  </si>
  <si>
    <t>2016-0355-USA</t>
  </si>
  <si>
    <t>2016-0355-JAM</t>
  </si>
  <si>
    <t>2016-0355-CUB</t>
  </si>
  <si>
    <t>2016-0333-MEX</t>
  </si>
  <si>
    <t>2016-0332-MEX</t>
  </si>
  <si>
    <t>2023-0052-USA</t>
  </si>
  <si>
    <t>Severe winter conditions</t>
  </si>
  <si>
    <t>Cold wave|Transport accident</t>
  </si>
  <si>
    <t>2023-0055-BOL</t>
  </si>
  <si>
    <t>2016-0264-USA</t>
  </si>
  <si>
    <t>2023-0116-PRY</t>
  </si>
  <si>
    <t>2023-0122-USA</t>
  </si>
  <si>
    <t>2013-0493-NIC</t>
  </si>
  <si>
    <t>2016-0206-USA</t>
  </si>
  <si>
    <t>2023-0135-USA</t>
  </si>
  <si>
    <t>Flood|Snow/ice</t>
  </si>
  <si>
    <t>2016-0170-USA</t>
  </si>
  <si>
    <t>2016-0165-HTI</t>
  </si>
  <si>
    <t>Transport accident</t>
  </si>
  <si>
    <t>2023-0179-BRA</t>
  </si>
  <si>
    <t>2016-0127-ARG</t>
  </si>
  <si>
    <t>2016-0118-CHL</t>
  </si>
  <si>
    <t>2023-0200-COL</t>
  </si>
  <si>
    <t>2023-0239-USA</t>
  </si>
  <si>
    <t>2016-0086-USA</t>
  </si>
  <si>
    <t>2023-0272-CAN</t>
  </si>
  <si>
    <t>2016-0077-BRA</t>
  </si>
  <si>
    <t>2023-0280-CAN</t>
  </si>
  <si>
    <t>Heat wave|Pollution</t>
  </si>
  <si>
    <t>2016-0051-USA</t>
  </si>
  <si>
    <t>Lightening</t>
  </si>
  <si>
    <t>2023-0287-GTM</t>
  </si>
  <si>
    <t>2016-0032-ECU</t>
  </si>
  <si>
    <t>2023-0324-USA</t>
  </si>
  <si>
    <t>2023-0325-BRA</t>
  </si>
  <si>
    <t>2015-9372-COL</t>
  </si>
  <si>
    <t>2015-9210-USA</t>
  </si>
  <si>
    <t>2023-0337-CUB</t>
  </si>
  <si>
    <t>2023-0339-HTI</t>
  </si>
  <si>
    <t>2023-0364-USA</t>
  </si>
  <si>
    <t>2023-0385-PER</t>
  </si>
  <si>
    <t>2015-0375-DOM</t>
  </si>
  <si>
    <t>2023-0434-BRA</t>
  </si>
  <si>
    <t>Collapse</t>
  </si>
  <si>
    <t>2015-0498-URY</t>
  </si>
  <si>
    <t>2015-0488-USA</t>
  </si>
  <si>
    <t>2015-0479-BHS</t>
  </si>
  <si>
    <t>2023-0451-COL</t>
  </si>
  <si>
    <t>2015-0459-USA</t>
  </si>
  <si>
    <t>2015-0446-PAN</t>
  </si>
  <si>
    <t>2015-0431-USA</t>
  </si>
  <si>
    <t>2023-0539-CHL</t>
  </si>
  <si>
    <t>2015-0375-DMA</t>
  </si>
  <si>
    <t>2015-0363-URY</t>
  </si>
  <si>
    <t>2023-0647-MEX</t>
  </si>
  <si>
    <t>2023-0651-USA</t>
  </si>
  <si>
    <t>2023-0703-SLV</t>
  </si>
  <si>
    <t>Infectious disease (General)</t>
  </si>
  <si>
    <t>2015-0349-ARG</t>
  </si>
  <si>
    <t>2023-0656-USA</t>
  </si>
  <si>
    <t>Hail|Transport accident</t>
  </si>
  <si>
    <t>2015-0315-PER</t>
  </si>
  <si>
    <t>2015-0296-VEN</t>
  </si>
  <si>
    <t>2023-0826-USA</t>
  </si>
  <si>
    <t>2023-0829-CHL</t>
  </si>
  <si>
    <t>2015-0245-USA</t>
  </si>
  <si>
    <t>2023-0843-USA</t>
  </si>
  <si>
    <t>2023-9651-BRA</t>
  </si>
  <si>
    <t>2024-0005-USA</t>
  </si>
  <si>
    <t>Cold wave|Flood|Snow/ice|Transport accident</t>
  </si>
  <si>
    <t>2015-0186-USA</t>
  </si>
  <si>
    <t>2024-0064-ECU</t>
  </si>
  <si>
    <t>2015-0142-CHL</t>
  </si>
  <si>
    <t>2015-0121-MEX</t>
  </si>
  <si>
    <t>2015-0114-ECU</t>
  </si>
  <si>
    <t>2015-0106-CHL</t>
  </si>
  <si>
    <t>2015-0104-CRI</t>
  </si>
  <si>
    <t>2024-0147-BOL</t>
  </si>
  <si>
    <t>2024-0161-CHL</t>
  </si>
  <si>
    <t>2024-0307-USA</t>
  </si>
  <si>
    <t>2024-0266-USA</t>
  </si>
  <si>
    <t>2024-0422-CAN</t>
  </si>
  <si>
    <t>2015-0026-USA</t>
  </si>
  <si>
    <t>Snow/ice</t>
  </si>
  <si>
    <t>2014-9580-SLV</t>
  </si>
  <si>
    <t>2014-9025-BRA</t>
  </si>
  <si>
    <t>2024-0402-MEX</t>
  </si>
  <si>
    <t>2024-0422-BRB</t>
  </si>
  <si>
    <t>2024-0422-VEN</t>
  </si>
  <si>
    <t>2014-0547-PER</t>
  </si>
  <si>
    <t>2014-0540-USA</t>
  </si>
  <si>
    <t>2014-0532-BOL</t>
  </si>
  <si>
    <t>Hail|Slide (land, mud, snow, rock)</t>
  </si>
  <si>
    <t>2024-0471-MEX</t>
  </si>
  <si>
    <t>2024-0474-USA</t>
  </si>
  <si>
    <t>2001-0703-PER</t>
  </si>
  <si>
    <t>2014-0529-BOL</t>
  </si>
  <si>
    <t>2014-0528-GTM</t>
  </si>
  <si>
    <t>2001-0724-USA</t>
  </si>
  <si>
    <t>2014-0453-HTI</t>
  </si>
  <si>
    <t>2014-0453-DOM</t>
  </si>
  <si>
    <t>2024-0669-USA</t>
  </si>
  <si>
    <t>2014-0447-GTM</t>
  </si>
  <si>
    <t>2024-0693-MEX</t>
  </si>
  <si>
    <t>2014-0430-COL</t>
  </si>
  <si>
    <t>2024-0722-MEX</t>
  </si>
  <si>
    <t>2014-0378-COL</t>
  </si>
  <si>
    <t>2024-0832-COL</t>
  </si>
  <si>
    <t>Volcanic activity (General)</t>
  </si>
  <si>
    <t>2014-0333-MEX</t>
  </si>
  <si>
    <t>Flood|Rain</t>
  </si>
  <si>
    <t>2024-0857-NIC</t>
  </si>
  <si>
    <t>2014-0325-MEX</t>
  </si>
  <si>
    <t>2014-0319-CAN</t>
  </si>
  <si>
    <t>2024-0877-CRI</t>
  </si>
  <si>
    <t>2014-0318-USA</t>
  </si>
  <si>
    <t>Fire</t>
  </si>
  <si>
    <t>2014-0317-USA</t>
  </si>
  <si>
    <t>2024-0901-HTI</t>
  </si>
  <si>
    <t>2014-0234-MEX</t>
  </si>
  <si>
    <t>2024-0953-HTI</t>
  </si>
  <si>
    <t>2024-9075-COL</t>
  </si>
  <si>
    <t>Heat wave|Water shortage|Wildfire</t>
  </si>
  <si>
    <t>2014-0192-USA</t>
  </si>
  <si>
    <t>2014-0183-MEX</t>
  </si>
  <si>
    <t>2014-0142-PRY</t>
  </si>
  <si>
    <t>2014-0139-ARG</t>
  </si>
  <si>
    <t>2014-0095-USA</t>
  </si>
  <si>
    <t>2013-9308-ECU</t>
  </si>
  <si>
    <t>2013-0578-PER</t>
  </si>
  <si>
    <t>Broken Dam/Burst bank</t>
  </si>
  <si>
    <t>2013-0551-ARG</t>
  </si>
  <si>
    <t>2013-0544-BOL</t>
  </si>
  <si>
    <t>Rain|Slide (land, mud, snow, rock)</t>
  </si>
  <si>
    <t>2013-0493-CRI</t>
  </si>
  <si>
    <t>2013-0528-USA</t>
  </si>
  <si>
    <t>2013-0528-CAN</t>
  </si>
  <si>
    <t>2013-0472-USA</t>
  </si>
  <si>
    <t>2013-0348-MEX</t>
  </si>
  <si>
    <t>2013-0213-HTI</t>
  </si>
  <si>
    <t>2013-0188-MEX</t>
  </si>
  <si>
    <t>2001-0772-USA</t>
  </si>
  <si>
    <t>2012-9607-BRA</t>
  </si>
  <si>
    <t>2012-0616-USA</t>
  </si>
  <si>
    <t>2000-0265-COL</t>
  </si>
  <si>
    <t>Slide (land, mud, snow, rock)|Transport accident</t>
  </si>
  <si>
    <t>2012-0612-USA</t>
  </si>
  <si>
    <t>2012-0593-ARG</t>
  </si>
  <si>
    <t>2000-0271-USA</t>
  </si>
  <si>
    <t>2012-0499-PAN</t>
  </si>
  <si>
    <t>2012-0457-COL</t>
  </si>
  <si>
    <t>2012-0420-ARG</t>
  </si>
  <si>
    <t>2012-0313-DOM</t>
  </si>
  <si>
    <t>2012-0410-HTI</t>
  </si>
  <si>
    <t>2012-0410-DOM</t>
  </si>
  <si>
    <t>2012-0356-GTM</t>
  </si>
  <si>
    <t>2012-0313-HTI</t>
  </si>
  <si>
    <t>2020-0082-USA</t>
  </si>
  <si>
    <t>2020-0190-USA</t>
  </si>
  <si>
    <t>2020-0058-BOL</t>
  </si>
  <si>
    <t>2020-0218-HND</t>
  </si>
  <si>
    <t>2020-0219-USA</t>
  </si>
  <si>
    <t>2020-0011-USA</t>
  </si>
  <si>
    <t>2023-0137-PER</t>
  </si>
  <si>
    <t>2023-0465-CAN</t>
  </si>
  <si>
    <t>2023-0370-USA</t>
  </si>
  <si>
    <t>2023-0257-BRA</t>
  </si>
  <si>
    <t>2023-0253-USA</t>
  </si>
  <si>
    <t>2023-0238-PER</t>
  </si>
  <si>
    <t>2023-0225-USA</t>
  </si>
  <si>
    <t>2023-0221-PER</t>
  </si>
  <si>
    <t>2023-0178-BOL</t>
  </si>
  <si>
    <t>2023-0176-USA</t>
  </si>
  <si>
    <t>2024-9381-GRD</t>
  </si>
  <si>
    <t>Grenada</t>
  </si>
  <si>
    <t>Water shortage</t>
  </si>
  <si>
    <t>2024-0897-USA</t>
  </si>
  <si>
    <t>2024-0874-BOL</t>
  </si>
  <si>
    <t>2024-0857-HTI</t>
  </si>
  <si>
    <t>2024-0857-DOM</t>
  </si>
  <si>
    <t>2024-0848-CUB</t>
  </si>
  <si>
    <t>2024-0814-USA</t>
  </si>
  <si>
    <t>2024-0795-MEX</t>
  </si>
  <si>
    <t>2024-0693-USA</t>
  </si>
  <si>
    <t>2024-0693-CUB</t>
  </si>
  <si>
    <t>2024-0582-CAN</t>
  </si>
  <si>
    <t>2024-0559-BOL</t>
  </si>
  <si>
    <t>2024-0518-USA</t>
  </si>
  <si>
    <t>2024-0422-VCT</t>
  </si>
  <si>
    <t>2024-0422-USA</t>
  </si>
  <si>
    <t>2024-0403-USA</t>
  </si>
  <si>
    <t>2024-0402-GTM</t>
  </si>
  <si>
    <t>2024-0398-CHL</t>
  </si>
  <si>
    <t>2024-0395-SLV</t>
  </si>
  <si>
    <t>2024-0363-GTM</t>
  </si>
  <si>
    <t>2024-0362-CHL</t>
  </si>
  <si>
    <t>Flood|Lightening|Storm</t>
  </si>
  <si>
    <t>2024-0353-BLZ</t>
  </si>
  <si>
    <t>2024-0314-USA</t>
  </si>
  <si>
    <t>2024-0278-HTI</t>
  </si>
  <si>
    <t>2024-0269-BRA</t>
  </si>
  <si>
    <t>Broken Dam/Burst bank|Slide (land, mud, snow, rock)</t>
  </si>
  <si>
    <t>2024-0193-USA</t>
  </si>
  <si>
    <t>Avalanche (Snow, Debris)|Flood</t>
  </si>
  <si>
    <t>2024-0192-BRA</t>
  </si>
  <si>
    <t>2024-0173-USA</t>
  </si>
  <si>
    <t>2024-0156-CUB</t>
  </si>
  <si>
    <t>Flood|Hail|Slide (land, mud, snow, rock)</t>
  </si>
  <si>
    <t>2024-0152-BRA</t>
  </si>
  <si>
    <t>2024-0142-ARG</t>
  </si>
  <si>
    <t>2024-0126-USA</t>
  </si>
  <si>
    <t>2024-0105-BOL</t>
  </si>
  <si>
    <t>2024-0098-BRA</t>
  </si>
  <si>
    <t>2024-0062-USA</t>
  </si>
  <si>
    <t>Flood|Slide (land, mud, snow, rock)|Snow/ice|Storm</t>
  </si>
  <si>
    <t>2024-0047-BRA</t>
  </si>
  <si>
    <t>Lightening|Slide (land, mud, snow, rock)|Storm</t>
  </si>
  <si>
    <t>2023-9589-URY</t>
  </si>
  <si>
    <t>2023-0764-GTM</t>
  </si>
  <si>
    <t>2023-0662-ARG</t>
  </si>
  <si>
    <t>2023-0814-PER</t>
  </si>
  <si>
    <t>2023-0785-USA</t>
  </si>
  <si>
    <t>2023-0777-BRA</t>
  </si>
  <si>
    <t>2023-0770-URY</t>
  </si>
  <si>
    <t>2023-0763-DOM</t>
  </si>
  <si>
    <t>2023-0663-BRA</t>
  </si>
  <si>
    <t>2023-0565-USA</t>
  </si>
  <si>
    <t>2023-0565-CUB</t>
  </si>
  <si>
    <t>2023-0559-DOM</t>
  </si>
  <si>
    <t>2002-0510-MEX</t>
  </si>
  <si>
    <t>2002-0516-GTM</t>
  </si>
  <si>
    <t>2002-0667-USA</t>
  </si>
  <si>
    <t>2000-0450-USA</t>
  </si>
  <si>
    <t>2002-0636-GRD</t>
  </si>
  <si>
    <t>2002-0638-MEX</t>
  </si>
  <si>
    <t>2002-0652-USA</t>
  </si>
  <si>
    <t>2002-0653-VCT</t>
  </si>
  <si>
    <t>2002-0708-PER</t>
  </si>
  <si>
    <t>2000-0466-BRA</t>
  </si>
  <si>
    <t>2002-0728-COL</t>
  </si>
  <si>
    <t>2002-0751-USA</t>
  </si>
  <si>
    <t>2002-0755-CRI</t>
  </si>
  <si>
    <t>2002-0824-BRA</t>
  </si>
  <si>
    <t>2002-9853-USA</t>
  </si>
  <si>
    <t>2003-0012-BOL</t>
  </si>
  <si>
    <t>2000-0502-USA</t>
  </si>
  <si>
    <t>2003-0334-USA</t>
  </si>
  <si>
    <t>2003-0339-PER</t>
  </si>
  <si>
    <t>2003-0417-CAN</t>
  </si>
  <si>
    <t>2003-0474-MEX</t>
  </si>
  <si>
    <t>2003-0482-MEX</t>
  </si>
  <si>
    <t>2003-0511-CAN</t>
  </si>
  <si>
    <t>2003-0518-MEX</t>
  </si>
  <si>
    <t>2003-0628-CRI</t>
  </si>
  <si>
    <t>2003-0663-USA</t>
  </si>
  <si>
    <t>2003-0673-BRA</t>
  </si>
  <si>
    <t>2003-0688-MEX</t>
  </si>
  <si>
    <t>2003-0712-MEX</t>
  </si>
  <si>
    <t>Explosion|Slide (land, mud, snow, rock)</t>
  </si>
  <si>
    <t>2003-0730-BRA</t>
  </si>
  <si>
    <t>2003-0766-CUB</t>
  </si>
  <si>
    <t>2003-0767-ECU</t>
  </si>
  <si>
    <t>2003-0768-PAN</t>
  </si>
  <si>
    <t>2003-0786-USA</t>
  </si>
  <si>
    <t>2004-0245-USA</t>
  </si>
  <si>
    <t>2003-0829-USA</t>
  </si>
  <si>
    <t>Hail|Snow/ice</t>
  </si>
  <si>
    <t>2003-9785-ARG</t>
  </si>
  <si>
    <t>2004-0146-CAN</t>
  </si>
  <si>
    <t>2004-0202-COL</t>
  </si>
  <si>
    <t>2004-0231-DOM</t>
  </si>
  <si>
    <t>2004-0280-NIC</t>
  </si>
  <si>
    <t>2004-0307-CHL</t>
  </si>
  <si>
    <t>2004-0331-ARG</t>
  </si>
  <si>
    <t>2004-0331-BRA</t>
  </si>
  <si>
    <t>2004-0338-USA</t>
  </si>
  <si>
    <t>2004-0348-USA</t>
  </si>
  <si>
    <t>Heat wave|Storm</t>
  </si>
  <si>
    <t>2004-0426-COL</t>
  </si>
  <si>
    <t>2004-0446-USA</t>
  </si>
  <si>
    <t>2004-0455-BHS</t>
  </si>
  <si>
    <t>2004-0455-PRI</t>
  </si>
  <si>
    <t>2004-0462-BHS</t>
  </si>
  <si>
    <t>2004-0462-CUB</t>
  </si>
  <si>
    <t>Slide (land, mud, snow, rock)|Surge</t>
  </si>
  <si>
    <t>2004-0462-GRD</t>
  </si>
  <si>
    <t>2004-0462-JAM</t>
  </si>
  <si>
    <t>2004-0462-LCA</t>
  </si>
  <si>
    <t>2004-0462-TTO</t>
  </si>
  <si>
    <t>Trinidad and Tobago</t>
  </si>
  <si>
    <t>2004-0462-USA</t>
  </si>
  <si>
    <t>2004-0473-BHS</t>
  </si>
  <si>
    <t>2004-0473-PRI</t>
  </si>
  <si>
    <t>2004-0473-USA</t>
  </si>
  <si>
    <t>2004-0520-COL</t>
  </si>
  <si>
    <t>2004-0534-PAN</t>
  </si>
  <si>
    <t>2004-0582-DMA</t>
  </si>
  <si>
    <t>2004-0582-GLP</t>
  </si>
  <si>
    <t>2004-0588-TTO</t>
  </si>
  <si>
    <t>2004-0601-MEX</t>
  </si>
  <si>
    <t>2004-9063-PER</t>
  </si>
  <si>
    <t>2004-0740-USA</t>
  </si>
  <si>
    <t>2004-9576-BOL</t>
  </si>
  <si>
    <t>2004-9705-BRA</t>
  </si>
  <si>
    <t>2005-0021-PAN</t>
  </si>
  <si>
    <t>2005-0021-VEN</t>
  </si>
  <si>
    <t>2000-0853-ARG</t>
  </si>
  <si>
    <t>2005-0054-BRA</t>
  </si>
  <si>
    <t>2005-0083-COL</t>
  </si>
  <si>
    <t>Collapse|Slide (land, mud, snow, rock)</t>
  </si>
  <si>
    <t>2005-0196-COL</t>
  </si>
  <si>
    <t>2005-0275-DOM</t>
  </si>
  <si>
    <t>2005-0283-MEX</t>
  </si>
  <si>
    <t>2005-0286-USA</t>
  </si>
  <si>
    <t>2005-0321-CHL</t>
  </si>
  <si>
    <t>2005-0368-GTM</t>
  </si>
  <si>
    <t>2005-0382-GRD</t>
  </si>
  <si>
    <t>2000-0865-USA</t>
  </si>
  <si>
    <t>2005-0468-CHL</t>
  </si>
  <si>
    <t>2005-0538-BOL</t>
  </si>
  <si>
    <t>2005-0567-GTM</t>
  </si>
  <si>
    <t>2005-0583-USA</t>
  </si>
  <si>
    <t>2005-0593-SLV</t>
  </si>
  <si>
    <t>2005-0597-HTI</t>
  </si>
  <si>
    <t>2005-0601-MEX</t>
  </si>
  <si>
    <t>2005-0682-USA</t>
  </si>
  <si>
    <t>2000-0067-USA</t>
  </si>
  <si>
    <t>2005-0716-USA</t>
  </si>
  <si>
    <t>2005-0731-COL</t>
  </si>
  <si>
    <t>2005-0733-HTI</t>
  </si>
  <si>
    <t>2005-9569-BRA</t>
  </si>
  <si>
    <t>2006-0041-GUY</t>
  </si>
  <si>
    <t>Guyana</t>
  </si>
  <si>
    <t>2006-0147-PER</t>
  </si>
  <si>
    <t>2006-0154-COL</t>
  </si>
  <si>
    <t>2006-0161-USA</t>
  </si>
  <si>
    <t>2006-0242-ARG</t>
  </si>
  <si>
    <t>2006-0261-CAN</t>
  </si>
  <si>
    <t>2006-0272-CUB</t>
  </si>
  <si>
    <t>2000-0098-COL</t>
  </si>
  <si>
    <t>2006-0373-ECU</t>
  </si>
  <si>
    <t>2006-0413-MEX</t>
  </si>
  <si>
    <t>2006-0413-USA</t>
  </si>
  <si>
    <t>2006-0466-HTI</t>
  </si>
  <si>
    <t>2006-0505-MEX</t>
  </si>
  <si>
    <t>2006-0662-USA</t>
  </si>
  <si>
    <t>2007-0383-USA</t>
  </si>
  <si>
    <t>2006-0595-USA</t>
  </si>
  <si>
    <t>2006-0604-MEX</t>
  </si>
  <si>
    <t>2006-0656-JAM</t>
  </si>
  <si>
    <t>2006-0704-USA</t>
  </si>
  <si>
    <t>2006-0709-SLV</t>
  </si>
  <si>
    <t>2006-0716-HTI</t>
  </si>
  <si>
    <t>2006-0718-USA</t>
  </si>
  <si>
    <t>2006-0721-JAM</t>
  </si>
  <si>
    <t>Parasitic disease</t>
  </si>
  <si>
    <t>2000-0116-ARG</t>
  </si>
  <si>
    <t>2006-9016-PER</t>
  </si>
  <si>
    <t>2007-0165-CAN</t>
  </si>
  <si>
    <t>2007-0167-HTI</t>
  </si>
  <si>
    <t>2007-0191-COL</t>
  </si>
  <si>
    <t>2007-0579-USA</t>
  </si>
  <si>
    <t>2007-0244-USA</t>
  </si>
  <si>
    <t>2007-0263-BOL</t>
  </si>
  <si>
    <t>2007-0263-PER</t>
  </si>
  <si>
    <t>2007-0263-URY</t>
  </si>
  <si>
    <t>2007-0360-DOM</t>
  </si>
  <si>
    <t>2007-0360-GLP</t>
  </si>
  <si>
    <t>2007-0360-HTI</t>
  </si>
  <si>
    <t>2007-0360-JAM</t>
  </si>
  <si>
    <t>2007-0433-COL</t>
  </si>
  <si>
    <t>2007-0439-MEX</t>
  </si>
  <si>
    <t>2007-0503-NIC</t>
  </si>
  <si>
    <t>2007-0503-PAN</t>
  </si>
  <si>
    <t>2007-0523-HTI</t>
  </si>
  <si>
    <t>2007-0537-MEX</t>
  </si>
  <si>
    <t>2007-0543-HND</t>
  </si>
  <si>
    <t>2007-0572-LCA</t>
  </si>
  <si>
    <t>2007-0612-PRI</t>
  </si>
  <si>
    <t>2007-0653-BRA</t>
  </si>
  <si>
    <t>2007-0662-USA</t>
  </si>
  <si>
    <t>2008-0039-USA</t>
  </si>
  <si>
    <t>2007-9514-BRA</t>
  </si>
  <si>
    <t>2008-0041-BRA</t>
  </si>
  <si>
    <t>2008-0048-ECU</t>
  </si>
  <si>
    <t>2008-0182-ARG</t>
  </si>
  <si>
    <t>2008-0115-USA</t>
  </si>
  <si>
    <t>2008-0121-COL</t>
  </si>
  <si>
    <t>2008-0233-BLZ</t>
  </si>
  <si>
    <t>2008-0234-CRI</t>
  </si>
  <si>
    <t>2008-0234-HND</t>
  </si>
  <si>
    <t>2008-0282-SLV</t>
  </si>
  <si>
    <t>2008-0304-MEX</t>
  </si>
  <si>
    <t>2008-0304-USA</t>
  </si>
  <si>
    <t>Flood|Transport accident</t>
  </si>
  <si>
    <t>2008-0338-CUB</t>
  </si>
  <si>
    <t>2008-0338-JAM</t>
  </si>
  <si>
    <t>2008-0352-CYM</t>
  </si>
  <si>
    <t>Cayman Islands</t>
  </si>
  <si>
    <t>2008-0352-HTI</t>
  </si>
  <si>
    <t>2008-0378-DOM</t>
  </si>
  <si>
    <t>2008-0378-TCA</t>
  </si>
  <si>
    <t>Turks and Caicos Islands</t>
  </si>
  <si>
    <t>2008-0384-BHS</t>
  </si>
  <si>
    <t>2008-0389-CHL</t>
  </si>
  <si>
    <t>2008-0433-MEX</t>
  </si>
  <si>
    <t>2008-0484-HND</t>
  </si>
  <si>
    <t>2008-0484-NIC</t>
  </si>
  <si>
    <t>2008-0524-USA</t>
  </si>
  <si>
    <t>2008-0580-VEN</t>
  </si>
  <si>
    <t>2008-0589-GUY</t>
  </si>
  <si>
    <t>2008-0654-USA</t>
  </si>
  <si>
    <t>2000-0204-ECU</t>
  </si>
  <si>
    <t>2009-0002-CRI</t>
  </si>
  <si>
    <t>2009-0003-GTM</t>
  </si>
  <si>
    <t>Landslide (dry)</t>
  </si>
  <si>
    <t>2009-0041-ARG</t>
  </si>
  <si>
    <t>2009-0110-BOL</t>
  </si>
  <si>
    <t>2009-0140-USA</t>
  </si>
  <si>
    <t>2009-0190-USA</t>
  </si>
  <si>
    <t>2000-0206-ECU</t>
  </si>
  <si>
    <t>2009-0234-GTM</t>
  </si>
  <si>
    <t>2009-0244-USA</t>
  </si>
  <si>
    <t>2009-0287-USA</t>
  </si>
  <si>
    <t>2009-0342-CAN</t>
  </si>
  <si>
    <t>2009-0342-USA</t>
  </si>
  <si>
    <t>2009-0356-PRY</t>
  </si>
  <si>
    <t>2009-0384-MEX</t>
  </si>
  <si>
    <t>2009-0405-USA</t>
  </si>
  <si>
    <t>2009-0477-NIC</t>
  </si>
  <si>
    <t>2009-0477-SLV</t>
  </si>
  <si>
    <t>2009-0562-SLV</t>
  </si>
  <si>
    <t>2009-9415-ECU</t>
  </si>
  <si>
    <t>2009-9415-SLV</t>
  </si>
  <si>
    <t>2010-0027-USA</t>
  </si>
  <si>
    <t>2010-0056-ECU</t>
  </si>
  <si>
    <t>2010-0057-BRA</t>
  </si>
  <si>
    <t>2010-0089-USA</t>
  </si>
  <si>
    <t>2010-0156-PER</t>
  </si>
  <si>
    <t>2010-0211-GTM</t>
  </si>
  <si>
    <t>2010-0211-HND</t>
  </si>
  <si>
    <t>2010-0260-GTM</t>
  </si>
  <si>
    <t>2010-0260-MEX</t>
  </si>
  <si>
    <t>2010-0260-SLV</t>
  </si>
  <si>
    <t>2010-0268-HND</t>
  </si>
  <si>
    <t>2010-0294-BOL</t>
  </si>
  <si>
    <t>2010-0294-PRY</t>
  </si>
  <si>
    <t>2010-0430-COL</t>
  </si>
  <si>
    <t>2010-0436-MTQ</t>
  </si>
  <si>
    <t>2010-0468-USA</t>
  </si>
  <si>
    <t>2010-0494-MEX</t>
  </si>
  <si>
    <t>2010-0503-BLZ</t>
  </si>
  <si>
    <t>2010-0503-NIC</t>
  </si>
  <si>
    <t>2010-0503-VEN</t>
  </si>
  <si>
    <t>2010-0551-LCA</t>
  </si>
  <si>
    <t>2010-0571-BRB</t>
  </si>
  <si>
    <t>2010-0571-HTI</t>
  </si>
  <si>
    <t>2002-0359-CUB</t>
  </si>
  <si>
    <t>2010-0592-PAN</t>
  </si>
  <si>
    <t>2010-0595-NIC</t>
  </si>
  <si>
    <t>2010-0612-USA</t>
  </si>
  <si>
    <t>2010-0625-COL</t>
  </si>
  <si>
    <t>2010-0666-PAN</t>
  </si>
  <si>
    <t>2010-0680-BRA</t>
  </si>
  <si>
    <t>2010-9077-GUY</t>
  </si>
  <si>
    <t>2010-9077-LCA</t>
  </si>
  <si>
    <t>2010-9077-TTO</t>
  </si>
  <si>
    <t>2011-0014-BRA</t>
  </si>
  <si>
    <t>2011-0029-USA</t>
  </si>
  <si>
    <t>2011-0172-USA</t>
  </si>
  <si>
    <t>2011-0097-CHL</t>
  </si>
  <si>
    <t>2011-0132-COL</t>
  </si>
  <si>
    <t>2011-0142-BRA</t>
  </si>
  <si>
    <t>2011-0145-USA</t>
  </si>
  <si>
    <t>2011-0228-MEX</t>
  </si>
  <si>
    <t>2011-0338-GTM</t>
  </si>
  <si>
    <t>2011-0373-GTM</t>
  </si>
  <si>
    <t>2011-0385-MEX</t>
  </si>
  <si>
    <t>2011-0386-COL</t>
  </si>
  <si>
    <t>2011-0386-GTM</t>
  </si>
  <si>
    <t>2011-0392-MEX</t>
  </si>
  <si>
    <t>2011-0431-COL</t>
  </si>
  <si>
    <t>2011-0528-DOM</t>
  </si>
  <si>
    <t>2011-0556-PER</t>
  </si>
  <si>
    <t>2011-0569-VEN</t>
  </si>
  <si>
    <t>2011-0570-PAN</t>
  </si>
  <si>
    <t>2011-0583-PER</t>
  </si>
  <si>
    <t>2011-0626-BRA</t>
  </si>
  <si>
    <t>2011-0633-MEX</t>
  </si>
  <si>
    <t>2011-0644-PRY</t>
  </si>
  <si>
    <t>2011-0661-CHL</t>
  </si>
  <si>
    <t>2011-9363-USA</t>
  </si>
  <si>
    <t>2002-0379-USA</t>
  </si>
  <si>
    <t>2012-0055-USA</t>
  </si>
  <si>
    <t>2012-0232-USA</t>
  </si>
  <si>
    <t>2012-0234-USA</t>
  </si>
  <si>
    <t>2012-0089-PRY</t>
  </si>
  <si>
    <t>2012-0126-CHL</t>
  </si>
  <si>
    <t>2012-0156-USA</t>
  </si>
  <si>
    <t>2012-0185-BRA</t>
  </si>
  <si>
    <t>2012-0241-VEN</t>
  </si>
  <si>
    <t>2012-0256-PER</t>
  </si>
  <si>
    <t>2001-0147-ARG</t>
  </si>
  <si>
    <t>2000-0130-BOL</t>
  </si>
  <si>
    <t>2001-0156-COL</t>
  </si>
  <si>
    <t>2000-0317-MEX</t>
  </si>
  <si>
    <t>2000-0333-MEX</t>
  </si>
  <si>
    <t>2000-0345-NIC</t>
  </si>
  <si>
    <t>2000-0363-USA</t>
  </si>
  <si>
    <t>2000-0586-PER</t>
  </si>
  <si>
    <t>2000-0645-SLV</t>
  </si>
  <si>
    <t>2000-0652-USA</t>
  </si>
  <si>
    <t>2000-0724-ECU</t>
  </si>
  <si>
    <t>2000-0839-ARG</t>
  </si>
  <si>
    <t>2000-0827-MEX</t>
  </si>
  <si>
    <t>2000-0905-BOL</t>
  </si>
  <si>
    <t>2000-0919-USA</t>
  </si>
  <si>
    <t>2000-0937-USA</t>
  </si>
  <si>
    <t>2000-9339-USA</t>
  </si>
  <si>
    <t>2000-9860-NIC</t>
  </si>
  <si>
    <t>Famine</t>
  </si>
  <si>
    <t>2001-0023-GTM</t>
  </si>
  <si>
    <t>2001-0270-USA</t>
  </si>
  <si>
    <t>2001-0271-PER</t>
  </si>
  <si>
    <t>2001-0281-PAN</t>
  </si>
  <si>
    <t>2001-0294-PER</t>
  </si>
  <si>
    <t>Tsunami</t>
  </si>
  <si>
    <t>2001-0343-COL</t>
  </si>
  <si>
    <t>2001-0395-COL</t>
  </si>
  <si>
    <t>2001-0544-BRA</t>
  </si>
  <si>
    <t>2001-0602-USA</t>
  </si>
  <si>
    <t>2001-0671-BHS</t>
  </si>
  <si>
    <t>2001-0696-BRA</t>
  </si>
  <si>
    <t>2001-0738-CRI</t>
  </si>
  <si>
    <t>2001-0754-PER</t>
  </si>
  <si>
    <t>2002-0089-CHL</t>
  </si>
  <si>
    <t>2002-0125-ECU</t>
  </si>
  <si>
    <t>2002-0154-BRA</t>
  </si>
  <si>
    <t>2002-0160-URY</t>
  </si>
  <si>
    <t>2002-0237-NIC</t>
  </si>
  <si>
    <t>2002-0307-COL</t>
  </si>
  <si>
    <t>2002-0321-HTI</t>
  </si>
  <si>
    <t>2002-0322-CHL</t>
  </si>
  <si>
    <t>2002-0325-JAM</t>
  </si>
  <si>
    <t>2002-0329-HND</t>
  </si>
  <si>
    <t>2002-0409-CAN</t>
  </si>
  <si>
    <t>2002-0422-BOL</t>
  </si>
  <si>
    <t>2002-0437-ECU</t>
  </si>
  <si>
    <t>2002-0445-VEN</t>
  </si>
  <si>
    <t>2000-0128-USA</t>
  </si>
  <si>
    <t>2000-0266-ECU</t>
  </si>
  <si>
    <t>2000-0338-USA</t>
  </si>
  <si>
    <t>2000-0374-CRI</t>
  </si>
  <si>
    <t>2000-0387-NIC</t>
  </si>
  <si>
    <t>2000-0406-USA</t>
  </si>
  <si>
    <t>2000-0421-ARG</t>
  </si>
  <si>
    <t>2000-0423-CHL</t>
  </si>
  <si>
    <t>2000-0433-USA</t>
  </si>
  <si>
    <t>2000-0595-SLV</t>
  </si>
  <si>
    <t>2000-0607-ARG</t>
  </si>
  <si>
    <t>2000-0642-BLZ</t>
  </si>
  <si>
    <t>2000-0643-MEX</t>
  </si>
  <si>
    <t>2000-0735-VEN</t>
  </si>
  <si>
    <t>2000-0776-ARG</t>
  </si>
  <si>
    <t>2000-0804-MEX</t>
  </si>
  <si>
    <t>2000-0838-USA</t>
  </si>
  <si>
    <t>2000-0875-NIC</t>
  </si>
  <si>
    <t>2000-9496-CUB</t>
  </si>
  <si>
    <t>2000-9712-USA</t>
  </si>
  <si>
    <t>2001-9394-BRA</t>
  </si>
  <si>
    <t>2001-0013-SLV</t>
  </si>
  <si>
    <t>2001-0029-BOL</t>
  </si>
  <si>
    <t>2001-0053-CHL</t>
  </si>
  <si>
    <t>2001-0099-USA</t>
  </si>
  <si>
    <t>2001-0236-URY</t>
  </si>
  <si>
    <t>2001-0117-PER</t>
  </si>
  <si>
    <t>2001-0121-ARG</t>
  </si>
  <si>
    <t>2001-0252-ECU</t>
  </si>
  <si>
    <t>2001-0303-USA</t>
  </si>
  <si>
    <t>2001-0377-ARG</t>
  </si>
  <si>
    <t>2001-0561-SLV</t>
  </si>
  <si>
    <t>2001-0562-MEX</t>
  </si>
  <si>
    <t>2001-0566-USA</t>
  </si>
  <si>
    <t>2001-0603-HND</t>
  </si>
  <si>
    <t>2001-0604-PER</t>
  </si>
  <si>
    <t>2001-0722-USA</t>
  </si>
  <si>
    <t>2001-0723-BRA</t>
  </si>
  <si>
    <t>2001-0735-MEX</t>
  </si>
  <si>
    <t>2001-0753-GTM</t>
  </si>
  <si>
    <t>2001-0770-USA</t>
  </si>
  <si>
    <t>2001-9383-GTM</t>
  </si>
  <si>
    <t>2001-9383-HND</t>
  </si>
  <si>
    <t>2002-0077-PER</t>
  </si>
  <si>
    <t>2002-0092-USA</t>
  </si>
  <si>
    <t>2002-0119-USA</t>
  </si>
  <si>
    <t>2002-0165-USA</t>
  </si>
  <si>
    <t>2002-0183-USA</t>
  </si>
  <si>
    <t>2002-0187-PER</t>
  </si>
  <si>
    <t>2002-0240-URY</t>
  </si>
  <si>
    <t>2002-0337-SLV</t>
  </si>
  <si>
    <t>2002-0263-CRI</t>
  </si>
  <si>
    <t>2002-0283-USA</t>
  </si>
  <si>
    <t>2002-0312-USA</t>
  </si>
  <si>
    <t>2002-0351-USA</t>
  </si>
  <si>
    <t>2002-0355-USA</t>
  </si>
  <si>
    <t>2002-0368-ARG</t>
  </si>
  <si>
    <t>2002-0371-SLV</t>
  </si>
  <si>
    <t>2002-0411-USA</t>
  </si>
  <si>
    <t>2002-0418-HND</t>
  </si>
  <si>
    <t>2002-0493-PRY</t>
  </si>
  <si>
    <t>2002-0502-USA</t>
  </si>
  <si>
    <t>2002-0546-CHL</t>
  </si>
  <si>
    <t>2002-0583-GTM</t>
  </si>
  <si>
    <t>2002-0600-USA</t>
  </si>
  <si>
    <t>2002-0609-MEX</t>
  </si>
  <si>
    <t>2002-0617-BRB</t>
  </si>
  <si>
    <t>2002-0626-CYM</t>
  </si>
  <si>
    <t>2002-0656-CYM</t>
  </si>
  <si>
    <t>2002-0755-PAN</t>
  </si>
  <si>
    <t>2002-0793-USA</t>
  </si>
  <si>
    <t>2002-0830-BRA</t>
  </si>
  <si>
    <t>2002-0845-COL</t>
  </si>
  <si>
    <t>2002-9605-BRA</t>
  </si>
  <si>
    <t>2002-9843-PER</t>
  </si>
  <si>
    <t>2003-0028-BRA</t>
  </si>
  <si>
    <t>2003-0147-USA</t>
  </si>
  <si>
    <t>2003-0080-ARG</t>
  </si>
  <si>
    <t>2003-0153-BOL</t>
  </si>
  <si>
    <t>2003-0196-ARG</t>
  </si>
  <si>
    <t>2003-0238-DOM</t>
  </si>
  <si>
    <t>2003-0284-COL</t>
  </si>
  <si>
    <t>2003-0326-ECU</t>
  </si>
  <si>
    <t>2003-0477-DOM</t>
  </si>
  <si>
    <t>2003-0495-HTI</t>
  </si>
  <si>
    <t>2003-0511-USA</t>
  </si>
  <si>
    <t>2003-0595-USA</t>
  </si>
  <si>
    <t>2003-0599-PRI</t>
  </si>
  <si>
    <t>2003-0622-MEX</t>
  </si>
  <si>
    <t>2003-0759-HTI</t>
  </si>
  <si>
    <t>2003-0764-GTM</t>
  </si>
  <si>
    <t>2003-0661-HND</t>
  </si>
  <si>
    <t>2003-0710-MEX</t>
  </si>
  <si>
    <t>2003-0713-VEN</t>
  </si>
  <si>
    <t>2003-0788-COL</t>
  </si>
  <si>
    <t>2003-9758-HTI</t>
  </si>
  <si>
    <t>2004-0031-CAN</t>
  </si>
  <si>
    <t>2004-0074-CAN</t>
  </si>
  <si>
    <t>2004-0156-PER</t>
  </si>
  <si>
    <t>2004-0249-USA</t>
  </si>
  <si>
    <t>2004-0231-HTI</t>
  </si>
  <si>
    <t>2004-0231-PRI</t>
  </si>
  <si>
    <t>2004-0289-NIC</t>
  </si>
  <si>
    <t>2004-0307-ARG</t>
  </si>
  <si>
    <t>2004-0331-PRY</t>
  </si>
  <si>
    <t>2005-0003-BRA</t>
  </si>
  <si>
    <t>2004-0415-CUB</t>
  </si>
  <si>
    <t>2004-0415-CYM</t>
  </si>
  <si>
    <t>2004-0415-JAM</t>
  </si>
  <si>
    <t>2004-0415-USA</t>
  </si>
  <si>
    <t>2004-0455-DOM</t>
  </si>
  <si>
    <t>2004-0455-TCA</t>
  </si>
  <si>
    <t>2004-0462-CYM</t>
  </si>
  <si>
    <t>2004-0462-DOM</t>
  </si>
  <si>
    <t>2004-0462-VCT</t>
  </si>
  <si>
    <t>2004-0473-VIR</t>
  </si>
  <si>
    <t>2004-0556-CRI</t>
  </si>
  <si>
    <t>2004-0572-USA</t>
  </si>
  <si>
    <t>2004-0575-COL</t>
  </si>
  <si>
    <t>2004-0599-CRI</t>
  </si>
  <si>
    <t>2004-0675-USA</t>
  </si>
  <si>
    <t>2004-0676-VEN</t>
  </si>
  <si>
    <t>2004-9332-CUB</t>
  </si>
  <si>
    <t>2005-0042-GUY</t>
  </si>
  <si>
    <t>2005-0203-USA</t>
  </si>
  <si>
    <t>2005-0256-CHL</t>
  </si>
  <si>
    <t>2005-0296-BRA</t>
  </si>
  <si>
    <t>2005-0348-SLV</t>
  </si>
  <si>
    <t>2005-0351-CUB</t>
  </si>
  <si>
    <t>2005-0351-JAM</t>
  </si>
  <si>
    <t>2005-0378-HTI</t>
  </si>
  <si>
    <t>2005-0383-CAN</t>
  </si>
  <si>
    <t>2005-0553-CAN</t>
  </si>
  <si>
    <t>2005-0558-PER</t>
  </si>
  <si>
    <t>2005-0567-MEX</t>
  </si>
  <si>
    <t>2005-0567-NIC</t>
  </si>
  <si>
    <t>2005-0570-SLV</t>
  </si>
  <si>
    <t>2005-0572-COL</t>
  </si>
  <si>
    <t>2005-0585-BLZ</t>
  </si>
  <si>
    <t>2005-0597-DOM</t>
  </si>
  <si>
    <t>2005-0687-USA</t>
  </si>
  <si>
    <t>2006-0015-BOL</t>
  </si>
  <si>
    <t>2006-0038-BRA</t>
  </si>
  <si>
    <t>2006-0039-BOL</t>
  </si>
  <si>
    <t>2006-0093-ECU</t>
  </si>
  <si>
    <t>2006-0128-USA</t>
  </si>
  <si>
    <t>2006-0140-COL</t>
  </si>
  <si>
    <t>2006-0201-BRA</t>
  </si>
  <si>
    <t>2006-0257-USA</t>
  </si>
  <si>
    <t>2006-0269-CAN</t>
  </si>
  <si>
    <t>2006-0341-USA</t>
  </si>
  <si>
    <t>2006-0427-USA</t>
  </si>
  <si>
    <t>2006-0576-USA</t>
  </si>
  <si>
    <t>2006-0598-USA</t>
  </si>
  <si>
    <t>2006-0640-PAN</t>
  </si>
  <si>
    <t>2006-0643-VEN</t>
  </si>
  <si>
    <t>2007-0083-USA</t>
  </si>
  <si>
    <t>2006-0709-GTM</t>
  </si>
  <si>
    <t>2007-0026-USA</t>
  </si>
  <si>
    <t>Cold wave|Rain</t>
  </si>
  <si>
    <t>2007-0048-USA</t>
  </si>
  <si>
    <t>2007-0065-BOL</t>
  </si>
  <si>
    <t>2007-0135-ARG</t>
  </si>
  <si>
    <t>2007-0167-DOM</t>
  </si>
  <si>
    <t>2007-0251-USA</t>
  </si>
  <si>
    <t>2007-0360-BLZ</t>
  </si>
  <si>
    <t>2007-0360-DMA</t>
  </si>
  <si>
    <t>2007-0360-MEX</t>
  </si>
  <si>
    <t>2007-0360-MTQ</t>
  </si>
  <si>
    <t>2007-0439-GTM</t>
  </si>
  <si>
    <t>2007-0439-NIC</t>
  </si>
  <si>
    <t>2007-0454-PRY</t>
  </si>
  <si>
    <t>2007-0461-HND</t>
  </si>
  <si>
    <t>2007-0465-BRA</t>
  </si>
  <si>
    <t>2007-0503-CRI</t>
  </si>
  <si>
    <t>2007-0503-HND</t>
  </si>
  <si>
    <t>2007-0521-MEX</t>
  </si>
  <si>
    <t>2007-0572-BRB</t>
  </si>
  <si>
    <t>2007-0621-CAN</t>
  </si>
  <si>
    <t>2007-0621-USA</t>
  </si>
  <si>
    <t>2007-0641-USA</t>
  </si>
  <si>
    <t>2007-0652-BOL</t>
  </si>
  <si>
    <t>2007-0671-MEX</t>
  </si>
  <si>
    <t>2008-0027-COL</t>
  </si>
  <si>
    <t>2008-0234-NIC</t>
  </si>
  <si>
    <t>2008-0125-BRA</t>
  </si>
  <si>
    <t>2008-0137-PRY</t>
  </si>
  <si>
    <t>2008-0164-COL</t>
  </si>
  <si>
    <t>2008-0218-COL</t>
  </si>
  <si>
    <t>2008-0352-DOM</t>
  </si>
  <si>
    <t>2008-0268-GTM</t>
  </si>
  <si>
    <t>2008-0304-GTM</t>
  </si>
  <si>
    <t>2008-0338-DOM</t>
  </si>
  <si>
    <t>2008-0338-USA</t>
  </si>
  <si>
    <t>2008-0352-BHS</t>
  </si>
  <si>
    <t>2008-0352-CUB</t>
  </si>
  <si>
    <t>2008-0352-JAM</t>
  </si>
  <si>
    <t>2008-0384-HTI</t>
  </si>
  <si>
    <t>2008-0378-HTI</t>
  </si>
  <si>
    <t>2008-0384-CUB</t>
  </si>
  <si>
    <t>2008-0484-BLZ</t>
  </si>
  <si>
    <t>2008-0538-COL</t>
  </si>
  <si>
    <t>2008-0549-BRA</t>
  </si>
  <si>
    <t>2008-0559-COL</t>
  </si>
  <si>
    <t>2008-0601-USA</t>
  </si>
  <si>
    <t>2008-0599-USA</t>
  </si>
  <si>
    <t>2008-0600-USA</t>
  </si>
  <si>
    <t>Extra-tropical storm</t>
  </si>
  <si>
    <t>2008-0660-BOL</t>
  </si>
  <si>
    <t>2009-0143-PER</t>
  </si>
  <si>
    <t>2009-0128-ARG</t>
  </si>
  <si>
    <t>2009-0198-HTI</t>
  </si>
  <si>
    <t>2009-0205-HND</t>
  </si>
  <si>
    <t>2009-0207-BRA</t>
  </si>
  <si>
    <t>2009-0234-NIC</t>
  </si>
  <si>
    <t>2009-0531-BRA</t>
  </si>
  <si>
    <t>2009-0301-PER</t>
  </si>
  <si>
    <t>2009-0356-ARG</t>
  </si>
  <si>
    <t>2009-0367-MEX</t>
  </si>
  <si>
    <t>2009-0604-USA</t>
  </si>
  <si>
    <t>2010-0168-COL</t>
  </si>
  <si>
    <t>2009-0509-ARG</t>
  </si>
  <si>
    <t>2009-0557-HND</t>
  </si>
  <si>
    <t>2009-0560-BRA</t>
  </si>
  <si>
    <t>2009-0561-MEX</t>
  </si>
  <si>
    <t>2009-0563-NIC</t>
  </si>
  <si>
    <t>2009-0564-PER</t>
  </si>
  <si>
    <t>2009-0569-PER</t>
  </si>
  <si>
    <t>2009-0599-USA</t>
  </si>
  <si>
    <t>2009-0601-USA</t>
  </si>
  <si>
    <t>2009-0614-MEX</t>
  </si>
  <si>
    <t>2010-0017-HTI</t>
  </si>
  <si>
    <t>2010-0065-PER</t>
  </si>
  <si>
    <t>2010-0091-CHL</t>
  </si>
  <si>
    <t>2010-0092-HTI</t>
  </si>
  <si>
    <t>2010-0163-USA</t>
  </si>
  <si>
    <t>2010-0248-BRA</t>
  </si>
  <si>
    <t>2010-0274-ECU</t>
  </si>
  <si>
    <t>2010-0279-DOM</t>
  </si>
  <si>
    <t>2010-0294-ARG</t>
  </si>
  <si>
    <t>2010-0294-CHL</t>
  </si>
  <si>
    <t>2010-0401-COL</t>
  </si>
  <si>
    <t>2010-0421-BOL</t>
  </si>
  <si>
    <t>2010-0442-GTM</t>
  </si>
  <si>
    <t>2010-0508-HTI</t>
  </si>
  <si>
    <t>2010-0502-COL</t>
  </si>
  <si>
    <t>2010-0503-GTM</t>
  </si>
  <si>
    <t>2010-0510-MEX</t>
  </si>
  <si>
    <t>2010-0522-USA</t>
  </si>
  <si>
    <t>2010-0542-HTI</t>
  </si>
  <si>
    <t>2010-0557-HTI</t>
  </si>
  <si>
    <t>2010-0557-VEN</t>
  </si>
  <si>
    <t>2010-0680-PRY</t>
  </si>
  <si>
    <t>2010-9077-GRD</t>
  </si>
  <si>
    <t>2011-0112-PRY</t>
  </si>
  <si>
    <t>2010-9556-BRA</t>
  </si>
  <si>
    <t>2011-0105-MEX</t>
  </si>
  <si>
    <t>2011-0140-USA</t>
  </si>
  <si>
    <t>2011-0166-USA</t>
  </si>
  <si>
    <t>2011-0189-USA</t>
  </si>
  <si>
    <t>2011-0278-ECU</t>
  </si>
  <si>
    <t>2011-0199-DOM</t>
  </si>
  <si>
    <t>2011-0303-DOM</t>
  </si>
  <si>
    <t>2011-0303-PRI</t>
  </si>
  <si>
    <t>2011-0460-MEX</t>
  </si>
  <si>
    <t>2011-0383-HTI</t>
  </si>
  <si>
    <t>2011-0386-PAN</t>
  </si>
  <si>
    <t>2011-0427-BRA</t>
  </si>
  <si>
    <t>2011-0444-USA</t>
  </si>
  <si>
    <t>2011-0456-USA</t>
  </si>
  <si>
    <t>2011-0607-USA</t>
  </si>
  <si>
    <t>2012-0095-ECU</t>
  </si>
  <si>
    <t>2011-0608-USA</t>
  </si>
  <si>
    <t>2011-0639-USA</t>
  </si>
  <si>
    <t>2011-0646-USA</t>
  </si>
  <si>
    <t>2011-0660-PER</t>
  </si>
  <si>
    <t>2011-9363-MEX</t>
  </si>
  <si>
    <t>2013-0117-USA</t>
  </si>
  <si>
    <t>2013-0118-USA</t>
  </si>
  <si>
    <t>2012-0020-PER</t>
  </si>
  <si>
    <t>2012-0051-BOL</t>
  </si>
  <si>
    <t>2012-0114-HTI</t>
  </si>
  <si>
    <t>2012-0124-MEX</t>
  </si>
  <si>
    <t>2012-0176-USA</t>
  </si>
  <si>
    <t>2012-0187-COL</t>
  </si>
  <si>
    <t>2012-0236-DOM</t>
  </si>
  <si>
    <t>2012-0386-PER</t>
  </si>
  <si>
    <t>2012-0238-COL</t>
  </si>
  <si>
    <t>2012-0343-CRI</t>
  </si>
  <si>
    <t>2012-0400-NIC</t>
  </si>
  <si>
    <t>2012-0407-GTM</t>
  </si>
  <si>
    <t>2012-0626-CAN</t>
  </si>
  <si>
    <t>2012-0410-BHS</t>
  </si>
  <si>
    <t>2012-0410-JAM</t>
  </si>
  <si>
    <t>2013-0212-USA</t>
  </si>
  <si>
    <t>2013-0286-USA</t>
  </si>
  <si>
    <t>2012-0542-USA</t>
  </si>
  <si>
    <t>2012-0601-USA</t>
  </si>
  <si>
    <t>2012-0605-CHL</t>
  </si>
  <si>
    <t>2012-9235-USA</t>
  </si>
  <si>
    <t>2012-9379-HND</t>
  </si>
  <si>
    <t>2012-9489-USA</t>
  </si>
  <si>
    <t>2013-0003-BRA</t>
  </si>
  <si>
    <t>2013-0014-ECU</t>
  </si>
  <si>
    <t>2013-0058-COL</t>
  </si>
  <si>
    <t>2013-0142-USA</t>
  </si>
  <si>
    <t>2013-0184-USA</t>
  </si>
  <si>
    <t>2013-0214-PRY</t>
  </si>
  <si>
    <t>2013-0254-USA</t>
  </si>
  <si>
    <t>2013-0335-MEX</t>
  </si>
  <si>
    <t>2013-0355-PER</t>
  </si>
  <si>
    <t>2013-0358-MEX</t>
  </si>
  <si>
    <t>2013-0493-HND</t>
  </si>
  <si>
    <t>2013-0383-BOL</t>
  </si>
  <si>
    <t>2013-0511-CUB</t>
  </si>
  <si>
    <t>2013-0406-MEX</t>
  </si>
  <si>
    <t>2013-0513-COL</t>
  </si>
  <si>
    <t>2013-0531-LCA</t>
  </si>
  <si>
    <t>2013-0580-CAN</t>
  </si>
  <si>
    <t>2013-0519-BRA</t>
  </si>
  <si>
    <t>2013-0521-BRA</t>
  </si>
  <si>
    <t>2013-0531-DOM</t>
  </si>
  <si>
    <t>2013-0531-VCT</t>
  </si>
  <si>
    <t>2013-0552-BRA</t>
  </si>
  <si>
    <t>2013-9185-PAN</t>
  </si>
  <si>
    <t>2014-0021-ARG</t>
  </si>
  <si>
    <t>2014-0053-USA</t>
  </si>
  <si>
    <t>2014-0334-PER</t>
  </si>
  <si>
    <t>2014-0094-CHL</t>
  </si>
  <si>
    <t>2014-0111-NIC</t>
  </si>
  <si>
    <t>2014-0126-USA</t>
  </si>
  <si>
    <t>2014-0127-MEX</t>
  </si>
  <si>
    <t>2014-0234-GTM</t>
  </si>
  <si>
    <t>2014-0245-BRA</t>
  </si>
  <si>
    <t>2014-0431-COL</t>
  </si>
  <si>
    <t>2014-0442-ARG</t>
  </si>
  <si>
    <t>2014-0447-HND</t>
  </si>
  <si>
    <t>2014-0447-NIC</t>
  </si>
  <si>
    <t>2014-0453-PRI</t>
  </si>
  <si>
    <t>2014-0459-USA</t>
  </si>
  <si>
    <t>2014-0482-USA</t>
  </si>
  <si>
    <t>2014-9580-CRI</t>
  </si>
  <si>
    <t>2015-0046-USA</t>
  </si>
  <si>
    <t>2015-0444-GTM</t>
  </si>
  <si>
    <t>2015-0086-COL</t>
  </si>
  <si>
    <t>2015-0116-HTI</t>
  </si>
  <si>
    <t>2015-0122-USA</t>
  </si>
  <si>
    <t>2015-0325-COL</t>
  </si>
  <si>
    <t>2015-0123-USA</t>
  </si>
  <si>
    <t>2015-0138-USA</t>
  </si>
  <si>
    <t>2015-0143-CHL</t>
  </si>
  <si>
    <t>2015-0168-CUB</t>
  </si>
  <si>
    <t>2015-0198-SLV</t>
  </si>
  <si>
    <t>Storm surge</t>
  </si>
  <si>
    <t>2015-0199-PER</t>
  </si>
  <si>
    <t>2015-0275-CAN</t>
  </si>
  <si>
    <t>2015-0338-CHL</t>
  </si>
  <si>
    <t>2015-0366-HTI</t>
  </si>
  <si>
    <t>2015-0375-HTI</t>
  </si>
  <si>
    <t>2015-0382-MEX</t>
  </si>
  <si>
    <t>2015-0400-USA</t>
  </si>
  <si>
    <t>2015-0401-USA</t>
  </si>
  <si>
    <t>2015-0446-SLV</t>
  </si>
  <si>
    <t>2015-0550-ECU</t>
  </si>
  <si>
    <t>2015-0551-URY</t>
  </si>
  <si>
    <t>2015-0565-USA</t>
  </si>
  <si>
    <t>2016-0012-USA</t>
  </si>
  <si>
    <t>2016-0325-MEX</t>
  </si>
  <si>
    <t>2016-0033-BRA</t>
  </si>
  <si>
    <t>2016-0053-HTI</t>
  </si>
  <si>
    <t>2016-0115-URY</t>
  </si>
  <si>
    <t>Lightening|Storm</t>
  </si>
  <si>
    <t>2016-0123-USA</t>
  </si>
  <si>
    <t>2016-0150-USA</t>
  </si>
  <si>
    <t>2016-0183-USA</t>
  </si>
  <si>
    <t>2016-0184-DOM</t>
  </si>
  <si>
    <t>2016-0185-HTI</t>
  </si>
  <si>
    <t>2016-0243-CAN</t>
  </si>
  <si>
    <t>2016-0418-HTI</t>
  </si>
  <si>
    <t>2016-0433-NIC</t>
  </si>
  <si>
    <t>2016-0521-USA</t>
  </si>
  <si>
    <t>2016-0522-VEN</t>
  </si>
  <si>
    <t>2016-0552-USA</t>
  </si>
  <si>
    <t>2016-9052-HTI</t>
  </si>
  <si>
    <t>2016-9435-BOL</t>
  </si>
  <si>
    <t>2017-0022-USA</t>
  </si>
  <si>
    <t>2017-0058-USA</t>
  </si>
  <si>
    <t>2017-0070-USA</t>
  </si>
  <si>
    <t>2017-0084-PER</t>
  </si>
  <si>
    <t>2017-0108-USA</t>
  </si>
  <si>
    <t>2017-0196-GTM</t>
  </si>
  <si>
    <t>2017-0202-BRA</t>
  </si>
  <si>
    <t>2017-0223-COL</t>
  </si>
  <si>
    <t>2017-0234-USA</t>
  </si>
  <si>
    <t>2018-0040-BRA</t>
  </si>
  <si>
    <t>Collapse|Flood</t>
  </si>
  <si>
    <t>2017-0362-USA</t>
  </si>
  <si>
    <t>Flood|Oil spill</t>
  </si>
  <si>
    <t>2017-0381-AIA</t>
  </si>
  <si>
    <t>2017-0381-CUB</t>
  </si>
  <si>
    <t>2017-0381-SXM</t>
  </si>
  <si>
    <t>Sint Maarten (Dutch part)</t>
  </si>
  <si>
    <t>2017-0383-DOM</t>
  </si>
  <si>
    <t>2017-0387-MEX</t>
  </si>
  <si>
    <t>2017-0392-MEX</t>
  </si>
  <si>
    <t>2017-0410-GTM</t>
  </si>
  <si>
    <t>2017-0410-HND</t>
  </si>
  <si>
    <t>2017-0471-CAN</t>
  </si>
  <si>
    <t>2017-0551-BRA</t>
  </si>
  <si>
    <t>2018-0161-ARG</t>
  </si>
  <si>
    <t>2018-0170-CUB</t>
  </si>
  <si>
    <t>2018-0195-CAN</t>
  </si>
  <si>
    <t>2018-0206-USA</t>
  </si>
  <si>
    <t>2018-0279-USA</t>
  </si>
  <si>
    <t>2018-0331-USA</t>
  </si>
  <si>
    <t>2018-0374-CRI</t>
  </si>
  <si>
    <t>2018-0374-HND</t>
  </si>
  <si>
    <t>2018-0374-NIC</t>
  </si>
  <si>
    <t>2018-0395-TTO</t>
  </si>
  <si>
    <t>2018-0409-USA</t>
  </si>
  <si>
    <t>2018-0442-PRY</t>
  </si>
  <si>
    <t>2018-9277-NIC</t>
  </si>
  <si>
    <t>2019-0007-USA</t>
  </si>
  <si>
    <t>2019-0073-BOL</t>
  </si>
  <si>
    <t>2019-0078-ECU</t>
  </si>
  <si>
    <t>2019-0081-USA</t>
  </si>
  <si>
    <t>2019-0093-PER</t>
  </si>
  <si>
    <t>2019-0100-BRA</t>
  </si>
  <si>
    <t>2019-0116-USA</t>
  </si>
  <si>
    <t>2019-0171-CAN</t>
  </si>
  <si>
    <t>2019-0184-USA</t>
  </si>
  <si>
    <t>2021-0510-HTI</t>
  </si>
  <si>
    <t>2019-0197-PRY</t>
  </si>
  <si>
    <t>2019-0225-MEX</t>
  </si>
  <si>
    <t>2019-0243-ECU</t>
  </si>
  <si>
    <t>2019-0358-BOL</t>
  </si>
  <si>
    <t>2019-0445-HTI</t>
  </si>
  <si>
    <t>2019-0450-MEX</t>
  </si>
  <si>
    <t>2019-0490-GTM</t>
  </si>
  <si>
    <t>2019-0595-COL</t>
  </si>
  <si>
    <t>2019-0542-BRA</t>
  </si>
  <si>
    <t>2019-0580-BRA</t>
  </si>
  <si>
    <t>2020-0032-PER</t>
  </si>
  <si>
    <t>2019-9666-ARG</t>
  </si>
  <si>
    <t>2020-0007-PRI</t>
  </si>
  <si>
    <t>2020-0070-PER</t>
  </si>
  <si>
    <t>2020-0077-BRA</t>
  </si>
  <si>
    <t>2020-0080-PRY</t>
  </si>
  <si>
    <t>2020-0092-ARG</t>
  </si>
  <si>
    <t>2020-0094-PER</t>
  </si>
  <si>
    <t>2020-0148-USA</t>
  </si>
  <si>
    <t>2020-0155-GUF</t>
  </si>
  <si>
    <t>French Guiana</t>
  </si>
  <si>
    <t>2020-0158-PRI</t>
  </si>
  <si>
    <t>2020-0183-GTM</t>
  </si>
  <si>
    <t>2020-0207-CUB</t>
  </si>
  <si>
    <t>2020-0219-MEX</t>
  </si>
  <si>
    <t>2020-0270-BRA</t>
  </si>
  <si>
    <t>2020-0280-URY</t>
  </si>
  <si>
    <t>2020-0441-USA</t>
  </si>
  <si>
    <t>2020-0464-SLV</t>
  </si>
  <si>
    <t>2020-0498-VEN</t>
  </si>
  <si>
    <t>2020-0474-CRI</t>
  </si>
  <si>
    <t>2020-0474-GTM</t>
  </si>
  <si>
    <t>2020-0474-HND</t>
  </si>
  <si>
    <t>2020-0478-VCT</t>
  </si>
  <si>
    <t>2020-0495-SLV</t>
  </si>
  <si>
    <t>2020-0506-MEX</t>
  </si>
  <si>
    <t>2021-0027-BOL</t>
  </si>
  <si>
    <t>2021-0037-USA</t>
  </si>
  <si>
    <t>2021-0059-USA</t>
  </si>
  <si>
    <t>2021-0069-CHL</t>
  </si>
  <si>
    <t>2021-0109-BOL</t>
  </si>
  <si>
    <t>2021-0122-MEX</t>
  </si>
  <si>
    <t>2021-0129-ARG</t>
  </si>
  <si>
    <t>2021-0142-BRA</t>
  </si>
  <si>
    <t>2021-0184-HTI</t>
  </si>
  <si>
    <t>2021-0195-VCT</t>
  </si>
  <si>
    <t>2021-0202-BRA</t>
  </si>
  <si>
    <t>2021-0214-COL</t>
  </si>
  <si>
    <t>2021-0219-COL</t>
  </si>
  <si>
    <t>2021-0229-COL</t>
  </si>
  <si>
    <t>2021-0305-USA</t>
  </si>
  <si>
    <t>2021-0328-PAN</t>
  </si>
  <si>
    <t>2021-0332-BRA</t>
  </si>
  <si>
    <t>2021-0359-MEX</t>
  </si>
  <si>
    <t>2021-0373-CUB</t>
  </si>
  <si>
    <t>2021-0373-USA</t>
  </si>
  <si>
    <t>2021-0433-USA</t>
  </si>
  <si>
    <t>2021-0511-HTI</t>
  </si>
  <si>
    <t>2021-0487-USA</t>
  </si>
  <si>
    <t>2021-0488-USA</t>
  </si>
  <si>
    <t>2021-0528-MEX</t>
  </si>
  <si>
    <t>2021-0551-USA</t>
  </si>
  <si>
    <t>2021-0562-USA</t>
  </si>
  <si>
    <t>2021-0600-MEX</t>
  </si>
  <si>
    <t>2021-0625-COL</t>
  </si>
  <si>
    <t>2021-0643-HND</t>
  </si>
  <si>
    <t>2021-0702-MEX</t>
  </si>
  <si>
    <t>2021-0758-ECU</t>
  </si>
  <si>
    <t>2022-0007-USA</t>
  </si>
  <si>
    <t>2022-0020-BRA</t>
  </si>
  <si>
    <t>2022-0080-USA</t>
  </si>
  <si>
    <t>2022-0058-PER</t>
  </si>
  <si>
    <t>2022-0069-HTI</t>
  </si>
  <si>
    <t>2022-0091-PRI</t>
  </si>
  <si>
    <t>2022-0121-COL</t>
  </si>
  <si>
    <t>2022-0126-USA</t>
  </si>
  <si>
    <t>2022-0130-DOM</t>
  </si>
  <si>
    <t>2022-0130-HTI</t>
  </si>
  <si>
    <t>2022-0132-USA</t>
  </si>
  <si>
    <t>2022-0133-ECU</t>
  </si>
  <si>
    <t>2022-0215-USA</t>
  </si>
  <si>
    <t>2022-0227-USA</t>
  </si>
  <si>
    <t>2022-0244-USA</t>
  </si>
  <si>
    <t>2022-0261-USA</t>
  </si>
  <si>
    <t>2022-0265-BRA</t>
  </si>
  <si>
    <t>2022-0266-CAN</t>
  </si>
  <si>
    <t>2022-0317-GTM</t>
  </si>
  <si>
    <t>2022-0366-CUB</t>
  </si>
  <si>
    <t>2022-0400-SLV</t>
  </si>
  <si>
    <t>2022-0406-ECU</t>
  </si>
  <si>
    <t>2022-0480-USA</t>
  </si>
  <si>
    <t>2022-0518-VEN</t>
  </si>
  <si>
    <t>2022-0579-MEX</t>
  </si>
  <si>
    <t>2022-0682-VEN</t>
  </si>
  <si>
    <t>2022-0728-COL</t>
  </si>
  <si>
    <t>2022-0743-COL</t>
  </si>
  <si>
    <t>2022-0863-USA</t>
  </si>
  <si>
    <t>2023-0157-BRA</t>
  </si>
  <si>
    <t>2023-0177-ECU</t>
  </si>
  <si>
    <t>2023-0206-USA</t>
  </si>
  <si>
    <t>2023-0342-ECU</t>
  </si>
  <si>
    <t>2023-0360-BRB</t>
  </si>
  <si>
    <t>2023-0365-GTM</t>
  </si>
  <si>
    <t>2023-0391-VEN</t>
  </si>
  <si>
    <t>Industrial accidents</t>
  </si>
  <si>
    <t>2023-0524-USA</t>
  </si>
  <si>
    <t>2023-0603-ARG</t>
  </si>
  <si>
    <t>2023-0703-HND</t>
  </si>
  <si>
    <t>2023-0753-PRY</t>
  </si>
  <si>
    <t>2023-0763-HTI</t>
  </si>
  <si>
    <t>2023-0810-COL</t>
  </si>
  <si>
    <t>2023-9167-HND</t>
  </si>
  <si>
    <t>2023-9868-USA</t>
  </si>
  <si>
    <t>2024-0011-COL</t>
  </si>
  <si>
    <t>2024-0036-BRA</t>
  </si>
  <si>
    <t>Flood|Lightening|Slide (land, mud, snow, rock)</t>
  </si>
  <si>
    <t>2024-0052-PER</t>
  </si>
  <si>
    <t>2024-0056-CHL</t>
  </si>
  <si>
    <t>2024-0104-BRA</t>
  </si>
  <si>
    <t>2024-0108-BRA</t>
  </si>
  <si>
    <t>2024-0162-PER</t>
  </si>
  <si>
    <t>2024-0226-GTM</t>
  </si>
  <si>
    <t>2024-0288-CAN</t>
  </si>
  <si>
    <t>2024-0340-USA</t>
  </si>
  <si>
    <t>Flood|Hail|Lightening</t>
  </si>
  <si>
    <t>2024-0352-MEX</t>
  </si>
  <si>
    <t>2024-0395-NIC</t>
  </si>
  <si>
    <t>2024-0402-HND</t>
  </si>
  <si>
    <t>2024-0422-JAM</t>
  </si>
  <si>
    <t>2024-0524-CAN</t>
  </si>
  <si>
    <t>2024-0573-CAN</t>
  </si>
  <si>
    <t>2024-0573-USA</t>
  </si>
  <si>
    <t>2024-0671-USA</t>
  </si>
  <si>
    <t>2024-0700-PER</t>
  </si>
  <si>
    <t>2024-0722-USA</t>
  </si>
  <si>
    <t>2024-0782-CUB</t>
  </si>
  <si>
    <t>Flood|Slide (land, mud, snow, rock)|Surge</t>
  </si>
  <si>
    <t>2024-0822-COL</t>
  </si>
  <si>
    <t>2024-0822-CRI</t>
  </si>
  <si>
    <t>2024-0822-CUB</t>
  </si>
  <si>
    <t>2024-0822-JAM</t>
  </si>
  <si>
    <t>2024-0827-USA</t>
  </si>
  <si>
    <t>2024-0835-COL</t>
  </si>
  <si>
    <t>2024-0856-DOM</t>
  </si>
  <si>
    <t>2024-0856-HTI</t>
  </si>
  <si>
    <t>2024-0857-BLZ</t>
  </si>
  <si>
    <t>2024-0857-HND</t>
  </si>
  <si>
    <t>2024-0894-BRA</t>
  </si>
  <si>
    <t>2000-0008-GTM</t>
  </si>
  <si>
    <t>2000-0019-BRA</t>
  </si>
  <si>
    <t>2000-0021-USA</t>
  </si>
  <si>
    <t>2000-0129-PER</t>
  </si>
  <si>
    <t>2000-0205-ECU</t>
  </si>
  <si>
    <t>2000-0216-GUF</t>
  </si>
  <si>
    <t>2000-0232-USA</t>
  </si>
  <si>
    <t>2000-0275-URY</t>
  </si>
  <si>
    <t>2000-0279-USA</t>
  </si>
  <si>
    <t>2000-0296-USA</t>
  </si>
  <si>
    <t>2000-0310-CHL</t>
  </si>
  <si>
    <t>2000-0360-USA</t>
  </si>
  <si>
    <t>2000-0422-URY</t>
  </si>
  <si>
    <t>2000-0375-CHL</t>
  </si>
  <si>
    <t>2000-0416-BOL</t>
  </si>
  <si>
    <t>2000-0420-CAN</t>
  </si>
  <si>
    <t>2000-0463-USA</t>
  </si>
  <si>
    <t>2000-0500-USA</t>
  </si>
  <si>
    <t>2000-0590-BRA</t>
  </si>
  <si>
    <t>2000-0598-USA</t>
  </si>
  <si>
    <t>2000-0611-MEX</t>
  </si>
  <si>
    <t>2000-0614-USA</t>
  </si>
  <si>
    <t>2000-0756-USA</t>
  </si>
  <si>
    <t>2000-0797-HTI</t>
  </si>
  <si>
    <t>2000-0882-SLV</t>
  </si>
  <si>
    <t>2000-9138-JAM</t>
  </si>
  <si>
    <t>2000-9860-HND</t>
  </si>
  <si>
    <t>2001-0102-USA</t>
  </si>
  <si>
    <t>2001-0145-USA</t>
  </si>
  <si>
    <t>2001-0207-HTI</t>
  </si>
  <si>
    <t>2001-0268-USA</t>
  </si>
  <si>
    <t>2001-0242-USA</t>
  </si>
  <si>
    <t>2001-0262-USA</t>
  </si>
  <si>
    <t>2001-0266-USA</t>
  </si>
  <si>
    <t>2001-0285-CHL</t>
  </si>
  <si>
    <t>2001-0307-PRI</t>
  </si>
  <si>
    <t>2001-0340-CAN</t>
  </si>
  <si>
    <t>2001-0474-USA</t>
  </si>
  <si>
    <t>2001-0488-MEX</t>
  </si>
  <si>
    <t>2001-0499-COL</t>
  </si>
  <si>
    <t>2001-0559-MEX</t>
  </si>
  <si>
    <t>2001-0564-USA</t>
  </si>
  <si>
    <t>2001-0570-GTM</t>
  </si>
  <si>
    <t>2001-0570-MEX</t>
  </si>
  <si>
    <t>2001-0582-ARG</t>
  </si>
  <si>
    <t>2001-0611-CYM</t>
  </si>
  <si>
    <t>2001-0611-NIC</t>
  </si>
  <si>
    <t>2002-0110-BOL</t>
  </si>
  <si>
    <t>2001-0615-JAM</t>
  </si>
  <si>
    <t>2001-0637-COL</t>
  </si>
  <si>
    <t>2001-0712-COL</t>
  </si>
  <si>
    <t>2001-0751-PER</t>
  </si>
  <si>
    <t>2001-9383-NIC</t>
  </si>
  <si>
    <t>2001-9383-SLV</t>
  </si>
  <si>
    <t>2002-0017-USA</t>
  </si>
  <si>
    <t>2002-0072-MEX</t>
  </si>
  <si>
    <t>2002-0082-BRA</t>
  </si>
  <si>
    <t>2002-0162-ECU</t>
  </si>
  <si>
    <t>2002-0264-PAN</t>
  </si>
  <si>
    <t>2002-0287-USA</t>
  </si>
  <si>
    <t>2002-0331-USA</t>
  </si>
  <si>
    <t>2002-0339-COL</t>
  </si>
  <si>
    <t>2002-0399-PAN</t>
  </si>
  <si>
    <t>2002-0403-BRA</t>
  </si>
  <si>
    <t>2002-0429-PER</t>
  </si>
  <si>
    <t>2002-0495-CHL</t>
  </si>
  <si>
    <t>2002-0598-HND</t>
  </si>
  <si>
    <t>2002-0618-USA</t>
  </si>
  <si>
    <t>2002-0627-JAM</t>
  </si>
  <si>
    <t>2002-0647-MEX</t>
  </si>
  <si>
    <t>2002-0669-MEX</t>
  </si>
  <si>
    <t>2002-0693-ECU</t>
  </si>
  <si>
    <t>2002-0700-USA</t>
  </si>
  <si>
    <t>2002-0840-DOM</t>
  </si>
  <si>
    <t>2003-0085-USA</t>
  </si>
  <si>
    <t>2002-0848-ARG</t>
  </si>
  <si>
    <t>2002-0851-SLV</t>
  </si>
  <si>
    <t>2002-0880-USA</t>
  </si>
  <si>
    <t>2002-9838-HND</t>
  </si>
  <si>
    <t>2003-0087-CAN</t>
  </si>
  <si>
    <t>2003-0051-PER</t>
  </si>
  <si>
    <t>2003-0138-COL</t>
  </si>
  <si>
    <t>2003-0139-USA</t>
  </si>
  <si>
    <t>2003-0191-GTM</t>
  </si>
  <si>
    <t>2003-0231-CAN</t>
  </si>
  <si>
    <t>2003-0413-USA</t>
  </si>
  <si>
    <t>2003-0299-USA</t>
  </si>
  <si>
    <t>2003-0369-CAN</t>
  </si>
  <si>
    <t>2003-0379-SLV</t>
  </si>
  <si>
    <t>2003-0436-MEX</t>
  </si>
  <si>
    <t>2003-0439-HTI</t>
  </si>
  <si>
    <t>2003-0448-BMU</t>
  </si>
  <si>
    <t>Bermuda</t>
  </si>
  <si>
    <t>2003-0468-CAN</t>
  </si>
  <si>
    <t>2003-0468-USA</t>
  </si>
  <si>
    <t>2003-0518-USA</t>
  </si>
  <si>
    <t>2003-0539-ARG</t>
  </si>
  <si>
    <t>2003-0579-BRA</t>
  </si>
  <si>
    <t>2003-0599-DOM</t>
  </si>
  <si>
    <t>2003-0623-USA</t>
  </si>
  <si>
    <t>2003-0624-HTI</t>
  </si>
  <si>
    <t>2003-0644-PER</t>
  </si>
  <si>
    <t>2003-0659-CRI</t>
  </si>
  <si>
    <t>2003-0741-USA</t>
  </si>
  <si>
    <t>2003-0827-USA</t>
  </si>
  <si>
    <t>2003-0830-USA</t>
  </si>
  <si>
    <t>2004-0031-USA</t>
  </si>
  <si>
    <t>2004-0121-USA</t>
  </si>
  <si>
    <t>2004-0131-BRA</t>
  </si>
  <si>
    <t>2004-0200-PER</t>
  </si>
  <si>
    <t>2004-0214-CRI</t>
  </si>
  <si>
    <t>2004-0236-BRA</t>
  </si>
  <si>
    <t>2004-0248-USA</t>
  </si>
  <si>
    <t>2004-0259-MEX</t>
  </si>
  <si>
    <t>2004-0317-BRA</t>
  </si>
  <si>
    <t>2004-0331-PER</t>
  </si>
  <si>
    <t>Rain|Snow/ice</t>
  </si>
  <si>
    <t>2004-0346-CAN</t>
  </si>
  <si>
    <t>2004-0462-VEN</t>
  </si>
  <si>
    <t>2004-0473-DOM</t>
  </si>
  <si>
    <t>2004-0502-USA</t>
  </si>
  <si>
    <t>2004-0615-PAN</t>
  </si>
  <si>
    <t>2004-0731-USA</t>
  </si>
  <si>
    <t>2004-9363-HND</t>
  </si>
  <si>
    <t>2005-0021-CRI</t>
  </si>
  <si>
    <t>2005-0029-USA</t>
  </si>
  <si>
    <t>2005-0219-USA</t>
  </si>
  <si>
    <t>2005-0073-VEN</t>
  </si>
  <si>
    <t>2005-0103-USA</t>
  </si>
  <si>
    <t>2005-0240-SLV</t>
  </si>
  <si>
    <t>2005-0351-HTI</t>
  </si>
  <si>
    <t>2005-0351-USA</t>
  </si>
  <si>
    <t>2005-0382-HTI</t>
  </si>
  <si>
    <t>2005-0382-JAM</t>
  </si>
  <si>
    <t>2005-0382-MEX</t>
  </si>
  <si>
    <t>2005-0382-VCT</t>
  </si>
  <si>
    <t>2005-0393-CHL</t>
  </si>
  <si>
    <t>2005-0397-VEN</t>
  </si>
  <si>
    <t>2005-0460-CAN</t>
  </si>
  <si>
    <t>2005-0530-USA</t>
  </si>
  <si>
    <t>2005-0550-CRI</t>
  </si>
  <si>
    <t>2005-0567-HTI</t>
  </si>
  <si>
    <t>2005-0585-HND</t>
  </si>
  <si>
    <t>2005-0585-HTI</t>
  </si>
  <si>
    <t>2005-0585-JAM</t>
  </si>
  <si>
    <t>2005-0585-MEX</t>
  </si>
  <si>
    <t>2005-0591-CAN</t>
  </si>
  <si>
    <t>2005-0593-GTM</t>
  </si>
  <si>
    <t>2005-0625-NIC</t>
  </si>
  <si>
    <t>2005-0724-USA</t>
  </si>
  <si>
    <t>2005-9734-PRY</t>
  </si>
  <si>
    <t>2006-0203-CAN</t>
  </si>
  <si>
    <t>2006-0283-ECU</t>
  </si>
  <si>
    <t>2006-0338-HND</t>
  </si>
  <si>
    <t>2006-0374-USA</t>
  </si>
  <si>
    <t>2006-0380-COL</t>
  </si>
  <si>
    <t>2006-0466-USA</t>
  </si>
  <si>
    <t>2006-0483-MEX</t>
  </si>
  <si>
    <t>2006-0546-USA</t>
  </si>
  <si>
    <t>2006-0642-USA</t>
  </si>
  <si>
    <t>2006-0647-PAN</t>
  </si>
  <si>
    <t>2006-0651-HTI</t>
  </si>
  <si>
    <t>2006-0707-USA</t>
  </si>
  <si>
    <t>2006-0709-MEX</t>
  </si>
  <si>
    <t>2006-0727-PRY</t>
  </si>
  <si>
    <t>2006-0743-USA</t>
  </si>
  <si>
    <t>2006-0744-USA</t>
  </si>
  <si>
    <t>2006-0759-USA</t>
  </si>
  <si>
    <t>2007-0150-COL</t>
  </si>
  <si>
    <t>2007-0003-BRA</t>
  </si>
  <si>
    <t>2007-0015-BRA</t>
  </si>
  <si>
    <t>2007-0041-USA</t>
  </si>
  <si>
    <t>2007-0042-BOL</t>
  </si>
  <si>
    <t>2007-0060-ARG</t>
  </si>
  <si>
    <t>2007-0066-CAN</t>
  </si>
  <si>
    <t>2007-0134-HTI</t>
  </si>
  <si>
    <t>2007-0135-URY</t>
  </si>
  <si>
    <t>2007-0173-USA</t>
  </si>
  <si>
    <t>2007-0176-COL</t>
  </si>
  <si>
    <t>2007-0183-URY</t>
  </si>
  <si>
    <t>2007-0254-USA</t>
  </si>
  <si>
    <t>2007-0263-ARG</t>
  </si>
  <si>
    <t>2007-0281-HTI</t>
  </si>
  <si>
    <t>2007-0360-LCA</t>
  </si>
  <si>
    <t>2007-0439-HND</t>
  </si>
  <si>
    <t>2007-0464-MEX</t>
  </si>
  <si>
    <t>2007-0581-USA</t>
  </si>
  <si>
    <t>2007-0496-HTI</t>
  </si>
  <si>
    <t>2007-0498-CUB</t>
  </si>
  <si>
    <t>2007-0519-USA</t>
  </si>
  <si>
    <t>2007-0523-JAM</t>
  </si>
  <si>
    <t>2007-0529-COL</t>
  </si>
  <si>
    <t>2007-0572-MTQ</t>
  </si>
  <si>
    <t>2007-0587-CHL</t>
  </si>
  <si>
    <t>2007-0612-DOM</t>
  </si>
  <si>
    <t>2007-0663-USA</t>
  </si>
  <si>
    <t>2008-0049-BOL</t>
  </si>
  <si>
    <t>2008-0064-PER</t>
  </si>
  <si>
    <t>2008-0210-USA</t>
  </si>
  <si>
    <t>2008-0229-CHL</t>
  </si>
  <si>
    <t>2008-0253-USA</t>
  </si>
  <si>
    <t>2008-0264-CAN</t>
  </si>
  <si>
    <t>2008-0288-MEX</t>
  </si>
  <si>
    <t>2008-0352-TCA</t>
  </si>
  <si>
    <t>2008-0352-USA</t>
  </si>
  <si>
    <t>2008-0384-TCA</t>
  </si>
  <si>
    <t>2008-0645-USA</t>
  </si>
  <si>
    <t>2008-0457-NIC</t>
  </si>
  <si>
    <t>2008-0484-CRI</t>
  </si>
  <si>
    <t>2009-0088-ECU</t>
  </si>
  <si>
    <t>2008-0503-PRY</t>
  </si>
  <si>
    <t>2008-0514-CUB</t>
  </si>
  <si>
    <t>2008-0551-CRI</t>
  </si>
  <si>
    <t>2008-9550-PRY</t>
  </si>
  <si>
    <t>2018-0111-USA</t>
  </si>
  <si>
    <t>2009-0152-PER</t>
  </si>
  <si>
    <t>2009-0163-BRA</t>
  </si>
  <si>
    <t>2009-0178-USA</t>
  </si>
  <si>
    <t>2009-0184-USA</t>
  </si>
  <si>
    <t>2009-0189-CAN</t>
  </si>
  <si>
    <t>2009-0238-BRA</t>
  </si>
  <si>
    <t>2009-0515-MEX</t>
  </si>
  <si>
    <t>2009-0377-MEX</t>
  </si>
  <si>
    <t>2009-0469-HTI</t>
  </si>
  <si>
    <t>2009-0477-USA</t>
  </si>
  <si>
    <t>2010-0436-GLP</t>
  </si>
  <si>
    <t>2009-0512-BRA</t>
  </si>
  <si>
    <t>2009-0555-PAN</t>
  </si>
  <si>
    <t>2009-0586-ARG</t>
  </si>
  <si>
    <t>2009-0603-USA</t>
  </si>
  <si>
    <t>2009-0637-COL</t>
  </si>
  <si>
    <t>2009-0644-USA</t>
  </si>
  <si>
    <t>2010-0058-MEX</t>
  </si>
  <si>
    <t>Cold wave|Slide (land, mud, snow, rock)</t>
  </si>
  <si>
    <t>2009-9415-GTM</t>
  </si>
  <si>
    <t>2009-9415-VEN</t>
  </si>
  <si>
    <t>2009-9559-HND</t>
  </si>
  <si>
    <t>2010-0067-DOM</t>
  </si>
  <si>
    <t>2010-0067-HTI</t>
  </si>
  <si>
    <t>2010-0147-BRA</t>
  </si>
  <si>
    <t>2010-0187-USA</t>
  </si>
  <si>
    <t>2010-0220-GTM</t>
  </si>
  <si>
    <t>2010-0267-PAN</t>
  </si>
  <si>
    <t>2010-0270-ECU</t>
  </si>
  <si>
    <t>2010-0273-NIC</t>
  </si>
  <si>
    <t>2010-0443-HND</t>
  </si>
  <si>
    <t>2010-0459-GTM</t>
  </si>
  <si>
    <t>2010-0467-MEX</t>
  </si>
  <si>
    <t>2010-0496-MEX</t>
  </si>
  <si>
    <t>2010-0468-ATG</t>
  </si>
  <si>
    <t>2010-0491-NIC</t>
  </si>
  <si>
    <t>2010-0501-JAM</t>
  </si>
  <si>
    <t>2010-0503-HND</t>
  </si>
  <si>
    <t>2010-0503-MEX</t>
  </si>
  <si>
    <t>2010-0503-SLV</t>
  </si>
  <si>
    <t>2010-0557-DOM</t>
  </si>
  <si>
    <t>2011-0267-GTM</t>
  </si>
  <si>
    <t>2010-0571-DOM</t>
  </si>
  <si>
    <t>2010-0616-VEN</t>
  </si>
  <si>
    <t>2010-0674-BRA</t>
  </si>
  <si>
    <t>2010-0651-USA</t>
  </si>
  <si>
    <t>2010-0680-BOL</t>
  </si>
  <si>
    <t>2010-0680-PER</t>
  </si>
  <si>
    <t>2010-0689-USA</t>
  </si>
  <si>
    <t>2010-0702-ECU</t>
  </si>
  <si>
    <t>2010-9077-BRB</t>
  </si>
  <si>
    <t>2011-0040-BOL</t>
  </si>
  <si>
    <t>2011-0086-BRA</t>
  </si>
  <si>
    <t>2011-0095-ECU</t>
  </si>
  <si>
    <t>2011-0107-BOL</t>
  </si>
  <si>
    <t>2011-0131-CAN</t>
  </si>
  <si>
    <t>2011-0241-MEX</t>
  </si>
  <si>
    <t>2011-0179-VCT</t>
  </si>
  <si>
    <t>2011-0187-BRA</t>
  </si>
  <si>
    <t>2011-0195-USA</t>
  </si>
  <si>
    <t>2011-0201-PER</t>
  </si>
  <si>
    <t>2011-0213-BRA</t>
  </si>
  <si>
    <t>2011-0328-BHS</t>
  </si>
  <si>
    <t>2011-0328-CAN</t>
  </si>
  <si>
    <t>2011-0328-DOM</t>
  </si>
  <si>
    <t>2011-0328-HTI</t>
  </si>
  <si>
    <t>2011-0328-PRI</t>
  </si>
  <si>
    <t>2011-0349-USA</t>
  </si>
  <si>
    <t>2011-0366-GTM</t>
  </si>
  <si>
    <t>2011-0386-HND</t>
  </si>
  <si>
    <t>2011-0386-NIC</t>
  </si>
  <si>
    <t>2011-0386-SLV</t>
  </si>
  <si>
    <t>2011-0425-USA</t>
  </si>
  <si>
    <t>2011-0443-PER</t>
  </si>
  <si>
    <t>2011-0512-MEX</t>
  </si>
  <si>
    <t>2011-0513-GTM</t>
  </si>
  <si>
    <t>2011-0584-CHL</t>
  </si>
  <si>
    <t>2011-0589-GTM</t>
  </si>
  <si>
    <t>2011-0589-MEX</t>
  </si>
  <si>
    <t>2011-0630-CAN</t>
  </si>
  <si>
    <t>2012-0010-USA</t>
  </si>
  <si>
    <t>2012-0068-CAN</t>
  </si>
  <si>
    <t>2012-0070-CHL</t>
  </si>
  <si>
    <t>2012-0071-ECU</t>
  </si>
  <si>
    <t>2012-0087-ARG</t>
  </si>
  <si>
    <t>2012-0114-DOM</t>
  </si>
  <si>
    <t>2012-0251-CUB</t>
  </si>
  <si>
    <t>2012-0214-USA</t>
  </si>
  <si>
    <t>2012-0276-MEX</t>
  </si>
  <si>
    <t>2012-0401-MEX</t>
  </si>
  <si>
    <t>2012-0281-CRI</t>
  </si>
  <si>
    <t>2012-0313-PRI</t>
  </si>
  <si>
    <t>2012-0313-USA</t>
  </si>
  <si>
    <t>2012-0410-CUB</t>
  </si>
  <si>
    <t>2012-0410-USA</t>
  </si>
  <si>
    <t>Fire|Flood</t>
  </si>
  <si>
    <t>2012-0411-HTI</t>
  </si>
  <si>
    <t>2012-0462-PRY</t>
  </si>
  <si>
    <t>2012-0480-PAN</t>
  </si>
  <si>
    <t>2012-0486-USA</t>
  </si>
  <si>
    <t>2012-0493-CAN</t>
  </si>
  <si>
    <t>2012-0493-USA</t>
  </si>
  <si>
    <t>2013-0054-USA</t>
  </si>
  <si>
    <t>2013-0055-USA</t>
  </si>
  <si>
    <t>2012-0611-USA</t>
  </si>
  <si>
    <t>2012-0613-USA</t>
  </si>
  <si>
    <t>2012-0615-USA</t>
  </si>
  <si>
    <t>2013-0120-ECU</t>
  </si>
  <si>
    <t>2013-0056-PER</t>
  </si>
  <si>
    <t>2013-0500-COL</t>
  </si>
  <si>
    <t>2013-0119-ARG</t>
  </si>
  <si>
    <t>2013-0187-BHS</t>
  </si>
  <si>
    <t>2013-0190-CAN</t>
  </si>
  <si>
    <t>2013-0209-USA</t>
  </si>
  <si>
    <t>2013-0211-USA</t>
  </si>
  <si>
    <t>2013-0291-USA</t>
  </si>
  <si>
    <t>2013-0315-USA</t>
  </si>
  <si>
    <t>2013-0334-USA</t>
  </si>
  <si>
    <t>2013-0357-PER</t>
  </si>
  <si>
    <t>Cold wave|Snow/ice</t>
  </si>
  <si>
    <t>2013-0365-BOL</t>
  </si>
  <si>
    <t>2013-0370-NIC</t>
  </si>
  <si>
    <t>2013-0409-PER</t>
  </si>
  <si>
    <t>2013-0405-GTM</t>
  </si>
  <si>
    <t>2013-0408-BRA</t>
  </si>
  <si>
    <t>2013-0408-PRY</t>
  </si>
  <si>
    <t>2013-0439-USA</t>
  </si>
  <si>
    <t>2014-0103-BRA</t>
  </si>
  <si>
    <t>2013-0543-SLV</t>
  </si>
  <si>
    <t>2013-0548-USA</t>
  </si>
  <si>
    <t>2013-0550-USA</t>
  </si>
  <si>
    <t>2013-9369-BOL</t>
  </si>
  <si>
    <t>2013-9496-PRY</t>
  </si>
  <si>
    <t>2014-0002-BRA</t>
  </si>
  <si>
    <t>2014-0019-COL</t>
  </si>
  <si>
    <t>2014-0040-PER</t>
  </si>
  <si>
    <t>2014-0118-CHL</t>
  </si>
  <si>
    <t>2014-0165-USA</t>
  </si>
  <si>
    <t>2014-0188-BRA</t>
  </si>
  <si>
    <t>2014-0200-HTI</t>
  </si>
  <si>
    <t>2014-0263-USA</t>
  </si>
  <si>
    <t>2014-0310-USA</t>
  </si>
  <si>
    <t>2014-0385-MEX</t>
  </si>
  <si>
    <t>2014-0444-USA</t>
  </si>
  <si>
    <t>2014-0505-COL</t>
  </si>
  <si>
    <t>2014-0525-CHL</t>
  </si>
  <si>
    <t>2014-9277-GTM</t>
  </si>
  <si>
    <t>2014-9457-BOL</t>
  </si>
  <si>
    <t>2014-9580-NIC</t>
  </si>
  <si>
    <t>2015-0044-ARG</t>
  </si>
  <si>
    <t>2015-0060-DOM</t>
  </si>
  <si>
    <t>2015-0072-USA</t>
  </si>
  <si>
    <t>2015-0208-BRA</t>
  </si>
  <si>
    <t>2015-0142-ARG</t>
  </si>
  <si>
    <t>2015-0171-COL</t>
  </si>
  <si>
    <t>2015-0177-USA</t>
  </si>
  <si>
    <t>2015-0180-USA</t>
  </si>
  <si>
    <t>2015-0184-PRY</t>
  </si>
  <si>
    <t>2015-0187-MEX</t>
  </si>
  <si>
    <t>2015-0285-BRA</t>
  </si>
  <si>
    <t>2015-0310-PRY</t>
  </si>
  <si>
    <t>2015-0312-USA</t>
  </si>
  <si>
    <t>2015-0361-ECU</t>
  </si>
  <si>
    <t>Lava flow</t>
  </si>
  <si>
    <t>2015-0383-BOL</t>
  </si>
  <si>
    <t>2015-0399-USA</t>
  </si>
  <si>
    <t>2015-0421-USA</t>
  </si>
  <si>
    <t>2015-0446-DOM</t>
  </si>
  <si>
    <t>2015-0470-MEX</t>
  </si>
  <si>
    <t>2015-0489-BRA</t>
  </si>
  <si>
    <t>2015-0551-BRA</t>
  </si>
  <si>
    <t>2015-0613-USA</t>
  </si>
  <si>
    <t>2015-0531-USA</t>
  </si>
  <si>
    <t>2015-0551-PRY</t>
  </si>
  <si>
    <t>2016-0010-USA</t>
  </si>
  <si>
    <t>2016-0039-ECU</t>
  </si>
  <si>
    <t>2016-0085-USA</t>
  </si>
  <si>
    <t>2016-0087-USA</t>
  </si>
  <si>
    <t>2016-0117-ECU</t>
  </si>
  <si>
    <t>2016-0181-USA</t>
  </si>
  <si>
    <t>2016-0246-BOL</t>
  </si>
  <si>
    <t>2016-0284-HND</t>
  </si>
  <si>
    <t>2016-0284-BLZ</t>
  </si>
  <si>
    <t>2016-0284-MEX</t>
  </si>
  <si>
    <t>2016-0292-USA</t>
  </si>
  <si>
    <t>2016-0298-PER</t>
  </si>
  <si>
    <t>2016-0322-USA</t>
  </si>
  <si>
    <t>2016-0331-USA</t>
  </si>
  <si>
    <t>2016-0355-BHS</t>
  </si>
  <si>
    <t>2016-0355-HTI</t>
  </si>
  <si>
    <t>2016-0355-LCA</t>
  </si>
  <si>
    <t>2016-0433-CRI</t>
  </si>
  <si>
    <t>2016-0463-USA</t>
  </si>
  <si>
    <t>2016-0477-USA</t>
  </si>
  <si>
    <t>2016-0493-USA</t>
  </si>
  <si>
    <t>2016-0494-VCT</t>
  </si>
  <si>
    <t>2016-0522-COL</t>
  </si>
  <si>
    <t>2016-0532-MEX</t>
  </si>
  <si>
    <t>2016-0550-USA</t>
  </si>
  <si>
    <t>2016-9249-PRY</t>
  </si>
  <si>
    <t>2017-0002-CHL</t>
  </si>
  <si>
    <t>2017-0031-ARG</t>
  </si>
  <si>
    <t>2017-0104-ARG</t>
  </si>
  <si>
    <t>2017-0119-COL</t>
  </si>
  <si>
    <t>2017-0126-CAN</t>
  </si>
  <si>
    <t>2017-0137-HTI</t>
  </si>
  <si>
    <t>2017-0185-CHL</t>
  </si>
  <si>
    <t>2017-0209-HTI</t>
  </si>
  <si>
    <t>2017-0215-COL</t>
  </si>
  <si>
    <t>2017-0216-GUY</t>
  </si>
  <si>
    <t>2017-0252-USA</t>
  </si>
  <si>
    <t>2017-0282-USA</t>
  </si>
  <si>
    <t>2017-0381-BLM</t>
  </si>
  <si>
    <t>Saint Barthélemy</t>
  </si>
  <si>
    <t>2017-0381-BRB</t>
  </si>
  <si>
    <t>2017-0381-HTI</t>
  </si>
  <si>
    <t>2017-0381-PRI</t>
  </si>
  <si>
    <t>2017-0381-TCA</t>
  </si>
  <si>
    <t>2017-0381-VGB</t>
  </si>
  <si>
    <t>2017-0382-GTM</t>
  </si>
  <si>
    <t>2017-0383-DMA</t>
  </si>
  <si>
    <t>2017-0383-HTI</t>
  </si>
  <si>
    <t>2017-0410-COL</t>
  </si>
  <si>
    <t>2017-0410-PAN</t>
  </si>
  <si>
    <t>2017-0410-SLV</t>
  </si>
  <si>
    <t>2017-0416-GTM</t>
  </si>
  <si>
    <t>2017-0434-USA</t>
  </si>
  <si>
    <t>2017-0542-USA</t>
  </si>
  <si>
    <t>2017-0563-USA</t>
  </si>
  <si>
    <t>2018-0011-PER</t>
  </si>
  <si>
    <t>2018-0046-USA</t>
  </si>
  <si>
    <t>2018-0066-PRY</t>
  </si>
  <si>
    <t>2018-0146-USA</t>
  </si>
  <si>
    <t>2018-0218-PRI</t>
  </si>
  <si>
    <t>2018-0280-DOM</t>
  </si>
  <si>
    <t>2018-0280-PRI</t>
  </si>
  <si>
    <t>2018-0360-HTI</t>
  </si>
  <si>
    <t>2018-0386-VEN</t>
  </si>
  <si>
    <t>2018-0415-BRA</t>
  </si>
  <si>
    <t>2018-0421-MEX</t>
  </si>
  <si>
    <t>2018-0457-USA</t>
  </si>
  <si>
    <t>2018-0468-USA</t>
  </si>
  <si>
    <t>2018-0478-BOL</t>
  </si>
  <si>
    <t>2018-9277-GTM</t>
  </si>
  <si>
    <t>2019-0008-ARG</t>
  </si>
  <si>
    <t>2019-0008-BRA</t>
  </si>
  <si>
    <t>2019-0025-CUB</t>
  </si>
  <si>
    <t>2019-0037-BOL</t>
  </si>
  <si>
    <t>2019-0040-URY</t>
  </si>
  <si>
    <t>2019-0086-USA</t>
  </si>
  <si>
    <t>2019-0091-CHL</t>
  </si>
  <si>
    <t>2019-0150-PRY</t>
  </si>
  <si>
    <t>2019-0159-COL</t>
  </si>
  <si>
    <t>2019-0306-USA</t>
  </si>
  <si>
    <t>2019-0307-USA</t>
  </si>
  <si>
    <t>2019-0335-USA</t>
  </si>
  <si>
    <t>2019-0338-CRI</t>
  </si>
  <si>
    <t>2019-0338-NIC</t>
  </si>
  <si>
    <t>2019-0428-BOL</t>
  </si>
  <si>
    <t>2019-0428-BRA</t>
  </si>
  <si>
    <t>2019-0517-USA</t>
  </si>
  <si>
    <t>2019-0519-MEX</t>
  </si>
  <si>
    <t>2021-0565-USA</t>
  </si>
  <si>
    <t>2019-0593-USA</t>
  </si>
  <si>
    <t>2019-0608-URY</t>
  </si>
  <si>
    <t>2020-0083-BRA</t>
  </si>
  <si>
    <t>2019-0653-COL</t>
  </si>
  <si>
    <t>2020-0488-COL</t>
  </si>
  <si>
    <t>2020-0022-BRA</t>
  </si>
  <si>
    <t>2020-0056-BRA</t>
  </si>
  <si>
    <t>2020-0071-COL</t>
  </si>
  <si>
    <t>2020-0072-ECU</t>
  </si>
  <si>
    <t>2020-0075-HND</t>
  </si>
  <si>
    <t>2020-0091-BOL</t>
  </si>
  <si>
    <t>2020-0167-USA</t>
  </si>
  <si>
    <t>2020-0191-CAN</t>
  </si>
  <si>
    <t>2020-0212-USA</t>
  </si>
  <si>
    <t>2020-0218-GTM</t>
  </si>
  <si>
    <t>2020-0218-SLV</t>
  </si>
  <si>
    <t>2020-0312-DOM</t>
  </si>
  <si>
    <t>2020-0316-MEX</t>
  </si>
  <si>
    <t>2020-0316-USA</t>
  </si>
  <si>
    <t>2020-0376-USA</t>
  </si>
  <si>
    <t>2020-0412-USA</t>
  </si>
  <si>
    <t>2020-0438-USA</t>
  </si>
  <si>
    <t>2020-0474-COL</t>
  </si>
  <si>
    <t>2020-0474-PAN</t>
  </si>
  <si>
    <t>2020-0477-COL</t>
  </si>
  <si>
    <t>2020-0479-ECU</t>
  </si>
  <si>
    <t>2020-0483-MEX</t>
  </si>
  <si>
    <t>2020-0495-NIC</t>
  </si>
  <si>
    <t>2020-0495-PAN</t>
  </si>
  <si>
    <t>2020-0560-BRA</t>
  </si>
  <si>
    <t>2020-0580-USA</t>
  </si>
  <si>
    <t>2021-0002-ARG</t>
  </si>
  <si>
    <t>2021-0011-USA</t>
  </si>
  <si>
    <t>2021-0067-PRY</t>
  </si>
  <si>
    <t>2021-0094-PER</t>
  </si>
  <si>
    <t>2021-0101-PER</t>
  </si>
  <si>
    <t>2021-0150-USA</t>
  </si>
  <si>
    <t>2021-0166-USA</t>
  </si>
  <si>
    <t>2021-0182-COL</t>
  </si>
  <si>
    <t>2021-0211-USA</t>
  </si>
  <si>
    <t>2021-0232-BRA</t>
  </si>
  <si>
    <t>2021-0266-USA</t>
  </si>
  <si>
    <t>2021-0367-CAN</t>
  </si>
  <si>
    <t>2021-0373-LCA</t>
  </si>
  <si>
    <t>2021-0390-USA</t>
  </si>
  <si>
    <t>2021-0398-SUR</t>
  </si>
  <si>
    <t>Suriname</t>
  </si>
  <si>
    <t>2021-0410-USA</t>
  </si>
  <si>
    <t>2021-0538-VEN</t>
  </si>
  <si>
    <t>2021-0588-GTM</t>
  </si>
  <si>
    <t>2021-0590-SLV</t>
  </si>
  <si>
    <t>2021-0607-MEX</t>
  </si>
  <si>
    <t>2021-0626-USA</t>
  </si>
  <si>
    <t>2021-0741-CAN</t>
  </si>
  <si>
    <t>2021-0741-USA</t>
  </si>
  <si>
    <t>2021-0711-COL</t>
  </si>
  <si>
    <t>2021-0797-USA</t>
  </si>
  <si>
    <t>2021-0815-USA</t>
  </si>
  <si>
    <t>2021-0834-BOL</t>
  </si>
  <si>
    <t>2022-0065-BRA</t>
  </si>
  <si>
    <t>2022-0400-NIC</t>
  </si>
  <si>
    <t>2022-0068-ECU</t>
  </si>
  <si>
    <t>2022-0091-DOM</t>
  </si>
  <si>
    <t>2022-0157-USA</t>
  </si>
  <si>
    <t>2022-0163-PER</t>
  </si>
  <si>
    <t>2021-0462-PER</t>
  </si>
  <si>
    <t>2022-0185-USA</t>
  </si>
  <si>
    <t>2022-0190-BRA</t>
  </si>
  <si>
    <t>2022-0192-COL</t>
  </si>
  <si>
    <t>2022-0193-USA</t>
  </si>
  <si>
    <t>2022-0212-USA</t>
  </si>
  <si>
    <t>2022-0229-COL</t>
  </si>
  <si>
    <t>2022-0244-CAN</t>
  </si>
  <si>
    <t>2022-0246-USA</t>
  </si>
  <si>
    <t>2022-0250-VEN</t>
  </si>
  <si>
    <t>2022-0315-SUR</t>
  </si>
  <si>
    <t>2022-0333-MEX</t>
  </si>
  <si>
    <t>2022-0572-MEX</t>
  </si>
  <si>
    <t>2022-0647-CRI</t>
  </si>
  <si>
    <t>2022-0647-SLV</t>
  </si>
  <si>
    <t>2022-0675-MEX</t>
  </si>
  <si>
    <t>2022-0684-COL</t>
  </si>
  <si>
    <t>2022-0698-MEX</t>
  </si>
  <si>
    <t>2022-0705-VEN</t>
  </si>
  <si>
    <t>2022-0712-VEN</t>
  </si>
  <si>
    <t>2022-0789-COL</t>
  </si>
  <si>
    <t>2022-0721-VEN</t>
  </si>
  <si>
    <t>2022-0818-CAN</t>
  </si>
  <si>
    <t>2022-9211-BRA</t>
  </si>
  <si>
    <t>2023-0028-BRA</t>
  </si>
  <si>
    <t>2023-0052-CAN</t>
  </si>
  <si>
    <t>2023-0126-ECU</t>
  </si>
  <si>
    <t>2019-0596-MEX</t>
  </si>
  <si>
    <t>2020-0060-ARG</t>
  </si>
  <si>
    <t>2020-0089-USA</t>
  </si>
  <si>
    <t>2020-0122-PER</t>
  </si>
  <si>
    <t>2020-0238-USA</t>
  </si>
  <si>
    <t>2020-0264-GTM</t>
  </si>
  <si>
    <t>2020-0266-CAN</t>
  </si>
  <si>
    <t>2020-0281-MEX</t>
  </si>
  <si>
    <t>2020-0312-CUB</t>
  </si>
  <si>
    <t>2020-0312-USA</t>
  </si>
  <si>
    <t>2020-0317-COL</t>
  </si>
  <si>
    <t>2020-0330-PAN</t>
  </si>
  <si>
    <t>2020-0376-HTI</t>
  </si>
  <si>
    <t>2020-0416-MEX</t>
  </si>
  <si>
    <t>2020-0427-BOL</t>
  </si>
  <si>
    <t>2023-0675-MEX</t>
  </si>
  <si>
    <t>2020-0474-BLZ</t>
  </si>
  <si>
    <t>2020-0474-SLV</t>
  </si>
  <si>
    <t>2020-0482-LCA</t>
  </si>
  <si>
    <t>2020-0495-HND</t>
  </si>
  <si>
    <t>2020-0583-USA</t>
  </si>
  <si>
    <t>2020-9582-BRA</t>
  </si>
  <si>
    <t>2020-9585-USA</t>
  </si>
  <si>
    <t>2021-0035-BOL</t>
  </si>
  <si>
    <t>2021-0040-BRA</t>
  </si>
  <si>
    <t>2021-0087-BRA</t>
  </si>
  <si>
    <t>2021-0092-ECU</t>
  </si>
  <si>
    <t>2021-0098-PER</t>
  </si>
  <si>
    <t>2021-0199-USA</t>
  </si>
  <si>
    <t>2021-0117-USA</t>
  </si>
  <si>
    <t>2021-0140-ARG</t>
  </si>
  <si>
    <t>2021-0170-PER</t>
  </si>
  <si>
    <t>2021-0212-PER</t>
  </si>
  <si>
    <t>2021-0233-BOL</t>
  </si>
  <si>
    <t>2021-0235-PER</t>
  </si>
  <si>
    <t>2023-0720-CRI</t>
  </si>
  <si>
    <t>2021-0250-USA</t>
  </si>
  <si>
    <t>2021-0251-USA</t>
  </si>
  <si>
    <t>2021-0269-VEN</t>
  </si>
  <si>
    <t>2021-0280-ECU</t>
  </si>
  <si>
    <t>2021-0300-GTM</t>
  </si>
  <si>
    <t>2021-0326-GUY</t>
  </si>
  <si>
    <t>2021-0340-COL</t>
  </si>
  <si>
    <t>2021-0446-CRI</t>
  </si>
  <si>
    <t>2021-0526-USA</t>
  </si>
  <si>
    <t>2021-0533-USA</t>
  </si>
  <si>
    <t>2021-0551-CUB</t>
  </si>
  <si>
    <t>2021-0566-USA</t>
  </si>
  <si>
    <t>2021-0583-USA</t>
  </si>
  <si>
    <t>2021-0638-COL</t>
  </si>
  <si>
    <t>2021-0647-MEX</t>
  </si>
  <si>
    <t>2022-0850-LCA</t>
  </si>
  <si>
    <t>2021-0693-COL</t>
  </si>
  <si>
    <t>2021-0758-PER</t>
  </si>
  <si>
    <t>2021-0774-COL</t>
  </si>
  <si>
    <t>2021-0784-USA</t>
  </si>
  <si>
    <t>2021-9569-BRA</t>
  </si>
  <si>
    <t>2022-0026-PER</t>
  </si>
  <si>
    <t>Oil spill|Tsunami/Tidal wave</t>
  </si>
  <si>
    <t>2022-0057-HTI</t>
  </si>
  <si>
    <t>2022-0086-HND</t>
  </si>
  <si>
    <t>2022-0089-BRA</t>
  </si>
  <si>
    <t>2022-0102-BOL</t>
  </si>
  <si>
    <t>2022-0109-COL</t>
  </si>
  <si>
    <t>2022-0178-ECU</t>
  </si>
  <si>
    <t>2022-0200-COL</t>
  </si>
  <si>
    <t>2022-0233-COL</t>
  </si>
  <si>
    <t>2022-0262-ECU</t>
  </si>
  <si>
    <t>2022-0284-USA</t>
  </si>
  <si>
    <t>2022-0304-CAN</t>
  </si>
  <si>
    <t>2022-0375-GUY</t>
  </si>
  <si>
    <t>2022-0318-BRA</t>
  </si>
  <si>
    <t>2022-0325-CAN</t>
  </si>
  <si>
    <t>2022-0361-USA</t>
  </si>
  <si>
    <t>2022-0367-CUB</t>
  </si>
  <si>
    <t>2022-0409-BRA</t>
  </si>
  <si>
    <t>2022-0430-PER</t>
  </si>
  <si>
    <t>2022-0486-USA</t>
  </si>
  <si>
    <t>2022-0603-CAN</t>
  </si>
  <si>
    <t>2022-0603-DOM</t>
  </si>
  <si>
    <t>2022-0603-GLP</t>
  </si>
  <si>
    <t>2022-0614-USA</t>
  </si>
  <si>
    <t>2022-0615-VEN</t>
  </si>
  <si>
    <t>2022-0647-GTM</t>
  </si>
  <si>
    <t>2022-0655-HND</t>
  </si>
  <si>
    <t>2022-0699-COL</t>
  </si>
  <si>
    <t>2022-0719-BLZ</t>
  </si>
  <si>
    <t>2022-0815-BRA</t>
  </si>
  <si>
    <t>2022-0846-TTO</t>
  </si>
  <si>
    <t>2022-0793-BRA</t>
  </si>
  <si>
    <t>2023-0007-COL</t>
  </si>
  <si>
    <t>2023-0050-CHL</t>
  </si>
  <si>
    <t>2023-0066-PER</t>
  </si>
  <si>
    <t>2023-0092-BRA</t>
  </si>
  <si>
    <t>2023-0125-BRA</t>
  </si>
  <si>
    <t>2023-0155-ECU</t>
  </si>
  <si>
    <t>2023-0155-PER</t>
  </si>
  <si>
    <t>2023-0175-BOL</t>
  </si>
  <si>
    <t>2023-0192-USA</t>
  </si>
  <si>
    <t>2023-0203-BRA</t>
  </si>
  <si>
    <t>2023-0204-BRA</t>
  </si>
  <si>
    <t>2023-0233-BRA</t>
  </si>
  <si>
    <t>2023-0288-USA</t>
  </si>
  <si>
    <t>2023-0332-USA</t>
  </si>
  <si>
    <t>2023-0360-VCT</t>
  </si>
  <si>
    <t>2023-0362-CHL</t>
  </si>
  <si>
    <t>2023-0389-DOM</t>
  </si>
  <si>
    <t>2023-0411-ARG</t>
  </si>
  <si>
    <t>2023-0426-USA</t>
  </si>
  <si>
    <t>2023-0534-USA</t>
  </si>
  <si>
    <t>2023-0603-BRA</t>
  </si>
  <si>
    <t>2023-0732-HND</t>
  </si>
  <si>
    <t>2023-0747-BRA</t>
  </si>
  <si>
    <t>Flood|Lightening|Surge</t>
  </si>
  <si>
    <t>2023-0760-BOL</t>
  </si>
  <si>
    <t>2023-0783-BOL</t>
  </si>
  <si>
    <t>2023-0831-ARG</t>
  </si>
  <si>
    <t>2023-0831-URY</t>
  </si>
  <si>
    <t>2023-9706-BOL</t>
  </si>
  <si>
    <t>2024-0004-USA</t>
  </si>
  <si>
    <t>Flood|Severe winter conditions</t>
  </si>
  <si>
    <t>2024-0016-BOL</t>
  </si>
  <si>
    <t>2024-0079-USA</t>
  </si>
  <si>
    <t>2024-0103-PER</t>
  </si>
  <si>
    <t>2024-0121-ARG</t>
  </si>
  <si>
    <t>2024-0137-URY</t>
  </si>
  <si>
    <t>2024-0205-USA</t>
  </si>
  <si>
    <t>2024-0269-ARG</t>
  </si>
  <si>
    <t>2024-0292-URY</t>
  </si>
  <si>
    <t>2024-0296-USA</t>
  </si>
  <si>
    <t>2024-0350-COL</t>
  </si>
  <si>
    <t>2024-0351-USA</t>
  </si>
  <si>
    <t>2024-0353-GTM</t>
  </si>
  <si>
    <t>2024-0386-ECU</t>
  </si>
  <si>
    <t>2024-0422-GRD</t>
  </si>
  <si>
    <t>2024-0473-PER</t>
  </si>
  <si>
    <t>2024-0518-CAN</t>
  </si>
  <si>
    <t>2024-0616-PAN</t>
  </si>
  <si>
    <t>2024-0665-MEX</t>
  </si>
  <si>
    <t>2024-0685-MEX</t>
  </si>
  <si>
    <t>2024-0754-USA</t>
  </si>
  <si>
    <t>2024-0788-USA</t>
  </si>
  <si>
    <t>2024-0816-PAN</t>
  </si>
  <si>
    <t>2024-0857-CRI</t>
  </si>
  <si>
    <t>2024-0857-GTM</t>
  </si>
  <si>
    <t>2024-0857-SLV</t>
  </si>
  <si>
    <t>2024-9268-BRA</t>
  </si>
  <si>
    <t>2024-9796-USA</t>
  </si>
  <si>
    <t>2022-0757-PAN</t>
  </si>
  <si>
    <t>Saint Kitts and Nevis</t>
  </si>
  <si>
    <t>2000-0080-USA</t>
  </si>
  <si>
    <t>2000-0081-COL</t>
  </si>
  <si>
    <t>2000-0175-USA</t>
  </si>
  <si>
    <t>2000-0215-HND</t>
  </si>
  <si>
    <t>2000-0240-USA</t>
  </si>
  <si>
    <t>2000-0255-ARG</t>
  </si>
  <si>
    <t>2000-0276-MEX</t>
  </si>
  <si>
    <t>2000-0297-USA</t>
  </si>
  <si>
    <t>2000-0299-GTM</t>
  </si>
  <si>
    <t>2000-0403-PER</t>
  </si>
  <si>
    <t>Locust infestation</t>
  </si>
  <si>
    <t>2000-0486-PRY</t>
  </si>
  <si>
    <t>2000-0609-GTM</t>
  </si>
  <si>
    <t>2000-0650-VEN</t>
  </si>
  <si>
    <t>2000-0627-PAN</t>
  </si>
  <si>
    <t>2000-0644-NIC</t>
  </si>
  <si>
    <t>2000-0648-COL</t>
  </si>
  <si>
    <t>2000-0666-BRA</t>
  </si>
  <si>
    <t>2000-0733-ARG</t>
  </si>
  <si>
    <t>2000-0809-BRA</t>
  </si>
  <si>
    <t>2000-0840-URY</t>
  </si>
  <si>
    <t>2000-0869-CUB</t>
  </si>
  <si>
    <t>2000-9881-BOL</t>
  </si>
  <si>
    <t>2001-0012-ARG</t>
  </si>
  <si>
    <t>2001-0042-SLV</t>
  </si>
  <si>
    <t>2001-0052-CAN</t>
  </si>
  <si>
    <t>2001-0106-USA</t>
  </si>
  <si>
    <t>2001-0186-ECU</t>
  </si>
  <si>
    <t>2001-0194-USA</t>
  </si>
  <si>
    <t>2001-0203-CAN</t>
  </si>
  <si>
    <t>2001-0213-BRA</t>
  </si>
  <si>
    <t>2001-0351-USA</t>
  </si>
  <si>
    <t>2001-0365-CHL</t>
  </si>
  <si>
    <t>2001-0401-ARG</t>
  </si>
  <si>
    <t>2001-0442-ARG</t>
  </si>
  <si>
    <t>2001-0451-USA</t>
  </si>
  <si>
    <t>2001-0456-ECU</t>
  </si>
  <si>
    <t>2001-0460-USA</t>
  </si>
  <si>
    <t>2001-0473-USA</t>
  </si>
  <si>
    <t>2001-0477-USA</t>
  </si>
  <si>
    <t>2001-0570-DOM</t>
  </si>
  <si>
    <t>2001-0601-USA</t>
  </si>
  <si>
    <t>2001-0611-HTI</t>
  </si>
  <si>
    <t>2001-0612-CUB</t>
  </si>
  <si>
    <t>2001-0771-USA</t>
  </si>
  <si>
    <t>2001-0773-USA</t>
  </si>
  <si>
    <t>2002-0103-GTM</t>
  </si>
  <si>
    <t>2002-0128-USA</t>
  </si>
  <si>
    <t>2002-0184-USA</t>
  </si>
  <si>
    <t>2002-0266-USA</t>
  </si>
  <si>
    <t>2002-0296-PRY</t>
  </si>
  <si>
    <t>2002-0310-USA</t>
  </si>
  <si>
    <t>2002-0328-NIC</t>
  </si>
  <si>
    <t>2002-0404-CAN</t>
  </si>
  <si>
    <t>2002-0494-ARG</t>
  </si>
  <si>
    <t>2002-0503-ECU</t>
  </si>
  <si>
    <t>2002-0569-USA</t>
  </si>
  <si>
    <t>2002-0604-CUB</t>
  </si>
  <si>
    <t>2002-0625-USA</t>
  </si>
  <si>
    <t>2002-0636-CUB</t>
  </si>
  <si>
    <t>2002-0656-JAM</t>
  </si>
  <si>
    <t>2002-0657-HTI</t>
  </si>
  <si>
    <t>2002-0687-CAN</t>
  </si>
  <si>
    <t>2002-0723-ARG</t>
  </si>
  <si>
    <t>2002-0724-USA</t>
  </si>
  <si>
    <t>2002-0802-USA</t>
  </si>
  <si>
    <t>2002-0805-MEX</t>
  </si>
  <si>
    <t>2002-0839-COL</t>
  </si>
  <si>
    <t>2002-0846-ECU</t>
  </si>
  <si>
    <t>2002-0847-CHL</t>
  </si>
  <si>
    <t>2002-0849-GTM</t>
  </si>
  <si>
    <t>2002-0850-NIC</t>
  </si>
  <si>
    <t>2002-9292-MEX</t>
  </si>
  <si>
    <t>2003-0039-MEX</t>
  </si>
  <si>
    <t>2003-0042-CHL</t>
  </si>
  <si>
    <t>2003-0047-BOL</t>
  </si>
  <si>
    <t>2003-0210-USA</t>
  </si>
  <si>
    <t>2003-0238-PRI</t>
  </si>
  <si>
    <t>2003-0268-HTI</t>
  </si>
  <si>
    <t>2003-0411-PAN</t>
  </si>
  <si>
    <t>2003-0481-HND</t>
  </si>
  <si>
    <t>2003-0487-CAN</t>
  </si>
  <si>
    <t>2003-0521-BRA</t>
  </si>
  <si>
    <t>2003-0571-DOM</t>
  </si>
  <si>
    <t>2003-0578-COL</t>
  </si>
  <si>
    <t>2003-0618-USA</t>
  </si>
  <si>
    <t>2003-0621-BOL</t>
  </si>
  <si>
    <t>2003-0628-PAN</t>
  </si>
  <si>
    <t>2003-0633-USA</t>
  </si>
  <si>
    <t>2003-0756-USA</t>
  </si>
  <si>
    <t>2003-0769-URY</t>
  </si>
  <si>
    <t>2003-0773-VEN</t>
  </si>
  <si>
    <t>2003-0780-USA</t>
  </si>
  <si>
    <t>2003-0782-USA</t>
  </si>
  <si>
    <t>2004-0141-MEX</t>
  </si>
  <si>
    <t>2004-0146-USA</t>
  </si>
  <si>
    <t>2004-0196-USA</t>
  </si>
  <si>
    <t>2004-0331-CHL</t>
  </si>
  <si>
    <t>2004-0331-URY</t>
  </si>
  <si>
    <t>2004-0473-HTI</t>
  </si>
  <si>
    <t>2004-0448-USA</t>
  </si>
  <si>
    <t>2004-0455-USA</t>
  </si>
  <si>
    <t>2004-0462-BRB</t>
  </si>
  <si>
    <t>2004-0462-HTI</t>
  </si>
  <si>
    <t>2004-0476-PAN</t>
  </si>
  <si>
    <t>2004-0624-ARG</t>
  </si>
  <si>
    <t>2005-0015-USA</t>
  </si>
  <si>
    <t>2005-0055-ARG</t>
  </si>
  <si>
    <t>2005-0305-VEN</t>
  </si>
  <si>
    <t>2005-0319-GTM</t>
  </si>
  <si>
    <t>2005-0321-PER</t>
  </si>
  <si>
    <t>2005-0348-HND</t>
  </si>
  <si>
    <t>2005-0470-MEX</t>
  </si>
  <si>
    <t>2005-0382-TTO</t>
  </si>
  <si>
    <t>2005-0456-URY</t>
  </si>
  <si>
    <t>2005-0467-USA</t>
  </si>
  <si>
    <t>2005-0524-MEX</t>
  </si>
  <si>
    <t>2005-0567-CRI</t>
  </si>
  <si>
    <t>2005-0567-HND</t>
  </si>
  <si>
    <t>2005-0567-SLV</t>
  </si>
  <si>
    <t>2005-0585-BHS</t>
  </si>
  <si>
    <t>2005-0585-CUB</t>
  </si>
  <si>
    <t>2005-0585-USA</t>
  </si>
  <si>
    <t>2005-0586-HTI</t>
  </si>
  <si>
    <t>2005-0625-COL</t>
  </si>
  <si>
    <t>2005-0625-HND</t>
  </si>
  <si>
    <t>2005-0640-BLZ</t>
  </si>
  <si>
    <t>2005-0640-HND</t>
  </si>
  <si>
    <t>2005-0728-CAN</t>
  </si>
  <si>
    <t>2005-0732-SLV</t>
  </si>
  <si>
    <t>2005-0739-DOM</t>
  </si>
  <si>
    <t>2006-0171-USA</t>
  </si>
  <si>
    <t>2006-0180-USA</t>
  </si>
  <si>
    <t>2006-0182-USA</t>
  </si>
  <si>
    <t>2006-0206-CAN</t>
  </si>
  <si>
    <t>2006-0213-PER</t>
  </si>
  <si>
    <t>2006-0407-MEX</t>
  </si>
  <si>
    <t>2006-0224-CAN</t>
  </si>
  <si>
    <t>2006-0247-SUR</t>
  </si>
  <si>
    <t>2006-0260-USA</t>
  </si>
  <si>
    <t>2006-0319-CUB</t>
  </si>
  <si>
    <t>2006-0344-USA</t>
  </si>
  <si>
    <t>2006-0363-CHL</t>
  </si>
  <si>
    <t>2006-0387-USA</t>
  </si>
  <si>
    <t>2006-0418-USA</t>
  </si>
  <si>
    <t>2006-0498-MEX</t>
  </si>
  <si>
    <t>2006-0461-USA</t>
  </si>
  <si>
    <t>2006-0566-USA</t>
  </si>
  <si>
    <t>2007-0134-DOM</t>
  </si>
  <si>
    <t>2006-0699-SLV</t>
  </si>
  <si>
    <t>2006-0706-USA</t>
  </si>
  <si>
    <t>2006-0728-PAN</t>
  </si>
  <si>
    <t>2006-0729-MSR</t>
  </si>
  <si>
    <t>Montserrat</t>
  </si>
  <si>
    <t>2007-0039-PER</t>
  </si>
  <si>
    <t>2007-0156-USA</t>
  </si>
  <si>
    <t>2007-0158-CHL</t>
  </si>
  <si>
    <t>2007-0162-COL</t>
  </si>
  <si>
    <t>2007-0263-CHL</t>
  </si>
  <si>
    <t>2007-0351-USA</t>
  </si>
  <si>
    <t>2007-0359-USA</t>
  </si>
  <si>
    <t>2007-0360-CUB</t>
  </si>
  <si>
    <t>2007-0362-PER</t>
  </si>
  <si>
    <t>2007-0435-MEX</t>
  </si>
  <si>
    <t>2007-0690-USA</t>
  </si>
  <si>
    <t>2007-0439-SLV</t>
  </si>
  <si>
    <t>2007-0689-USA</t>
  </si>
  <si>
    <t>2007-0466-CRI</t>
  </si>
  <si>
    <t>2007-0468-GTM</t>
  </si>
  <si>
    <t>2007-0503-GTM</t>
  </si>
  <si>
    <t>2007-0503-SLV</t>
  </si>
  <si>
    <t>2007-0523-BHS</t>
  </si>
  <si>
    <t>2007-0523-CUB</t>
  </si>
  <si>
    <t>2007-0523-DOM</t>
  </si>
  <si>
    <t>2007-0528-BRA</t>
  </si>
  <si>
    <t>2007-0612-HTI</t>
  </si>
  <si>
    <t>2007-9548-USA</t>
  </si>
  <si>
    <t>2008-0010-USA</t>
  </si>
  <si>
    <t>Broken Dam/Burst bank|Rain</t>
  </si>
  <si>
    <t>2008-0016-BRA</t>
  </si>
  <si>
    <t>2008-0053-ARG</t>
  </si>
  <si>
    <t>2008-0065-BRA</t>
  </si>
  <si>
    <t>2008-0065-PRY</t>
  </si>
  <si>
    <t>2008-0099-USA</t>
  </si>
  <si>
    <t>2008-0247-GTM</t>
  </si>
  <si>
    <t>2008-0131-USA</t>
  </si>
  <si>
    <t>2008-0170-CAN</t>
  </si>
  <si>
    <t>2008-0182-CHL</t>
  </si>
  <si>
    <t>2008-0194-USA</t>
  </si>
  <si>
    <t>2008-0257-SUR</t>
  </si>
  <si>
    <t>2009-0086-PER</t>
  </si>
  <si>
    <t>Rockfall (wet)</t>
  </si>
  <si>
    <t>2008-0338-HTI</t>
  </si>
  <si>
    <t>2008-0346-BRA</t>
  </si>
  <si>
    <t>2008-0378-USA</t>
  </si>
  <si>
    <t>2008-0384-USA</t>
  </si>
  <si>
    <t>2008-0409-PAN</t>
  </si>
  <si>
    <t>2008-0427-CRI</t>
  </si>
  <si>
    <t>2008-0484-GTM</t>
  </si>
  <si>
    <t>2008-0484-SLV</t>
  </si>
  <si>
    <t>2008-0514-CYM</t>
  </si>
  <si>
    <t>2009-0096-COL</t>
  </si>
  <si>
    <t>2008-0532-CUB</t>
  </si>
  <si>
    <t>2008-0533-BOL</t>
  </si>
  <si>
    <t>2008-0546-COL</t>
  </si>
  <si>
    <t>2008-0551-PAN</t>
  </si>
  <si>
    <t>2008-0604-KNA</t>
  </si>
  <si>
    <t>2008-0563-USA</t>
  </si>
  <si>
    <t>2008-0604-ATG</t>
  </si>
  <si>
    <t>2008-0627-USA</t>
  </si>
  <si>
    <t>2008-0638-USA</t>
  </si>
  <si>
    <t>2008-0649-COL</t>
  </si>
  <si>
    <t>2008-0661-PRY</t>
  </si>
  <si>
    <t>2009-0128-BRA</t>
  </si>
  <si>
    <t>2008-9661-BOL</t>
  </si>
  <si>
    <t>2009-0016-DOM</t>
  </si>
  <si>
    <t>2009-0017-BRA</t>
  </si>
  <si>
    <t>2009-0035-COL</t>
  </si>
  <si>
    <t>2009-0565-DOM</t>
  </si>
  <si>
    <t>2009-0042-DOM</t>
  </si>
  <si>
    <t>2009-0056-USA</t>
  </si>
  <si>
    <t>2009-0106-USA</t>
  </si>
  <si>
    <t>2009-0322-NIC</t>
  </si>
  <si>
    <t>2009-0349-USA</t>
  </si>
  <si>
    <t>2009-0356-BRA</t>
  </si>
  <si>
    <t>2009-0418-HTI</t>
  </si>
  <si>
    <t>2009-0450-PRY</t>
  </si>
  <si>
    <t>2009-0477-MEX</t>
  </si>
  <si>
    <t>2010-0158-MEX</t>
  </si>
  <si>
    <t>2009-0531-URY</t>
  </si>
  <si>
    <t>2009-0564-PRY</t>
  </si>
  <si>
    <t>2009-0594-MEX</t>
  </si>
  <si>
    <t>2009-0600-BRA</t>
  </si>
  <si>
    <t>2009-0619-CAN</t>
  </si>
  <si>
    <t>2010-0162-USA</t>
  </si>
  <si>
    <t>2009-0660-PER</t>
  </si>
  <si>
    <t>2009-9055-ARG</t>
  </si>
  <si>
    <t>2009-9210-PRY</t>
  </si>
  <si>
    <t>2010-0023-BOL</t>
  </si>
  <si>
    <t>2010-0028-PAN</t>
  </si>
  <si>
    <t>2010-0045-USA</t>
  </si>
  <si>
    <t>2010-0196-USA</t>
  </si>
  <si>
    <t>2010-0211-SLV</t>
  </si>
  <si>
    <t>2010-0225-USA</t>
  </si>
  <si>
    <t>2010-0260-NIC</t>
  </si>
  <si>
    <t>2010-0289-COL</t>
  </si>
  <si>
    <t>2010-0294-URY</t>
  </si>
  <si>
    <t>2011-0199-HTI</t>
  </si>
  <si>
    <t>2010-0343-PER</t>
  </si>
  <si>
    <t>2010-0426-MEX</t>
  </si>
  <si>
    <t>2010-0447-HND</t>
  </si>
  <si>
    <t>2010-0470-CRI</t>
  </si>
  <si>
    <t>2010-0571-LCA</t>
  </si>
  <si>
    <t>2010-0571-VCT</t>
  </si>
  <si>
    <t>2010-0575-CRI</t>
  </si>
  <si>
    <t>2010-0663-USA</t>
  </si>
  <si>
    <t>2010-0690-USA</t>
  </si>
  <si>
    <t>2010-9077-VCT</t>
  </si>
  <si>
    <t>2011-0064-PER</t>
  </si>
  <si>
    <t>2010-9253-BOL</t>
  </si>
  <si>
    <t>2011-0134-USA</t>
  </si>
  <si>
    <t>2011-0161-MEX</t>
  </si>
  <si>
    <t>2011-0209-ARG</t>
  </si>
  <si>
    <t>2011-0209-CHL</t>
  </si>
  <si>
    <t>2011-0264-USA</t>
  </si>
  <si>
    <t>2011-0267-MEX</t>
  </si>
  <si>
    <t>2011-0303-HTI</t>
  </si>
  <si>
    <t>2011-0303-MTQ</t>
  </si>
  <si>
    <t>2011-0328-USA</t>
  </si>
  <si>
    <t>2011-0361-BRA</t>
  </si>
  <si>
    <t>2011-0386-CRI</t>
  </si>
  <si>
    <t>2011-0432-DMA</t>
  </si>
  <si>
    <t>2011-0609-USA</t>
  </si>
  <si>
    <t>2011-0610-USA</t>
  </si>
  <si>
    <t>2011-0611-USA</t>
  </si>
  <si>
    <t>2011-0619-VEN</t>
  </si>
  <si>
    <t>2012-0060-USA</t>
  </si>
  <si>
    <t>2018-9277-PAN</t>
  </si>
  <si>
    <t>2011-0635-VEN</t>
  </si>
  <si>
    <t>2012-0075-BRA</t>
  </si>
  <si>
    <t>2012-0094-COL</t>
  </si>
  <si>
    <t>2012-0122-USA</t>
  </si>
  <si>
    <t>2012-0167-DOM</t>
  </si>
  <si>
    <t>2012-0177-USA</t>
  </si>
  <si>
    <t>2012-0237-HTI</t>
  </si>
  <si>
    <t>2012-0313-CUB</t>
  </si>
  <si>
    <t>2012-0402-PER</t>
  </si>
  <si>
    <t>2012-0501-HTI</t>
  </si>
  <si>
    <t>2012-0503-USA</t>
  </si>
  <si>
    <t>2013-0013-USA</t>
  </si>
  <si>
    <t>2012-0596-HTI</t>
  </si>
  <si>
    <t>2012-0599-PER</t>
  </si>
  <si>
    <t>2012-0608-ECU</t>
  </si>
  <si>
    <t>2012-0614-USA</t>
  </si>
  <si>
    <t>2012-9021-PRY</t>
  </si>
  <si>
    <t>2012-9355-GTM</t>
  </si>
  <si>
    <t>2013-0057-BOL</t>
  </si>
  <si>
    <t>2013-0077-BRA</t>
  </si>
  <si>
    <t>2013-0210-USA</t>
  </si>
  <si>
    <t>2013-0183-USA</t>
  </si>
  <si>
    <t>2013-0277-USA</t>
  </si>
  <si>
    <t>2013-0307-GTM</t>
  </si>
  <si>
    <t>2013-0510-USA</t>
  </si>
  <si>
    <t>2013-0354-USA</t>
  </si>
  <si>
    <t>2013-0372-ECU</t>
  </si>
  <si>
    <t>2013-0404-USA</t>
  </si>
  <si>
    <t>2013-0407-CHL</t>
  </si>
  <si>
    <t>2013-0558-USA</t>
  </si>
  <si>
    <t>2013-0579-USA</t>
  </si>
  <si>
    <t>2014-0007-HND</t>
  </si>
  <si>
    <t>2014-0009-CAN</t>
  </si>
  <si>
    <t>2014-0009-USA</t>
  </si>
  <si>
    <t>2014-0035-BOL</t>
  </si>
  <si>
    <t>2014-0048-USA</t>
  </si>
  <si>
    <t>2014-0052-USA</t>
  </si>
  <si>
    <t>2014-0100-USA</t>
  </si>
  <si>
    <t>2014-0072-USA</t>
  </si>
  <si>
    <t>2014-0183-GTM</t>
  </si>
  <si>
    <t>2014-0188-ARG</t>
  </si>
  <si>
    <t>2014-0188-PRY</t>
  </si>
  <si>
    <t>2014-0278-PAN</t>
  </si>
  <si>
    <t>2014-0386-MEX</t>
  </si>
  <si>
    <t>2014-0417-MEX</t>
  </si>
  <si>
    <t>2014-0422-SLV</t>
  </si>
  <si>
    <t>2014-0491-USA</t>
  </si>
  <si>
    <t>2014-0529-PER</t>
  </si>
  <si>
    <t>2014-0534-PER</t>
  </si>
  <si>
    <t>2014-9023-USA</t>
  </si>
  <si>
    <t>2014-9102-HTI</t>
  </si>
  <si>
    <t>2014-9469-JAM</t>
  </si>
  <si>
    <t>2015-0025-USA</t>
  </si>
  <si>
    <t>2015-0070-ARG</t>
  </si>
  <si>
    <t>2015-0073-USA</t>
  </si>
  <si>
    <t>2015-0092-CHL</t>
  </si>
  <si>
    <t>2015-0155-USA</t>
  </si>
  <si>
    <t>2015-0156-BRA</t>
  </si>
  <si>
    <t>2015-0157-BRA</t>
  </si>
  <si>
    <t>2015-0204-CHL</t>
  </si>
  <si>
    <t>2015-0211-USA</t>
  </si>
  <si>
    <t>2015-0212-USA</t>
  </si>
  <si>
    <t>2015-0237-CRI</t>
  </si>
  <si>
    <t>2015-0313-GUY</t>
  </si>
  <si>
    <t>2015-0326-USA</t>
  </si>
  <si>
    <t>2015-0353-GTM</t>
  </si>
  <si>
    <t>2015-0355-GTM</t>
  </si>
  <si>
    <t>2015-0435-CHL</t>
  </si>
  <si>
    <t>2015-0511-BLZ</t>
  </si>
  <si>
    <t>2015-0446-GTM</t>
  </si>
  <si>
    <t>2016-0126-HTI</t>
  </si>
  <si>
    <t>2015-0446-NIC</t>
  </si>
  <si>
    <t>2015-0522-PER</t>
  </si>
  <si>
    <t>2015-0551-ARG</t>
  </si>
  <si>
    <t>2015-0558-USA</t>
  </si>
  <si>
    <t>2015-0621-COL</t>
  </si>
  <si>
    <t>2015-9353-PAN</t>
  </si>
  <si>
    <t>2015-9372-CUB</t>
  </si>
  <si>
    <t>2019-0090-USA</t>
  </si>
  <si>
    <t>2016-0054-PER</t>
  </si>
  <si>
    <t>2016-0124-USA</t>
  </si>
  <si>
    <t>2016-0172-CAN</t>
  </si>
  <si>
    <t>Explosion</t>
  </si>
  <si>
    <t>2016-0125-USA</t>
  </si>
  <si>
    <t>2016-0151-ECU</t>
  </si>
  <si>
    <t>2016-0184-HTI</t>
  </si>
  <si>
    <t>2016-0203-USA</t>
  </si>
  <si>
    <t>2017-0062-USA</t>
  </si>
  <si>
    <t>2016-0284-GTM</t>
  </si>
  <si>
    <t>2016-0297-USA</t>
  </si>
  <si>
    <t>2016-0318-GTM</t>
  </si>
  <si>
    <t>2016-0319-MEX</t>
  </si>
  <si>
    <t>2016-0355-DOM</t>
  </si>
  <si>
    <t>2016-0356-HND</t>
  </si>
  <si>
    <t>2016-0423-DOM</t>
  </si>
  <si>
    <t>2016-0518-COL</t>
  </si>
  <si>
    <t>2016-0518-PER</t>
  </si>
  <si>
    <t>2016-0533-COL</t>
  </si>
  <si>
    <t>2017-0090-COL</t>
  </si>
  <si>
    <t>2017-0190-GTM</t>
  </si>
  <si>
    <t>2017-0195-ARG</t>
  </si>
  <si>
    <t>2017-0203-USA</t>
  </si>
  <si>
    <t>2017-0221-ARG</t>
  </si>
  <si>
    <t>2017-0253-USA</t>
  </si>
  <si>
    <t>2018-0112-BRA</t>
  </si>
  <si>
    <t>2017-0336-USA</t>
  </si>
  <si>
    <t>2017-0381-KNA</t>
  </si>
  <si>
    <t>2017-0381-MAF</t>
  </si>
  <si>
    <t>Saint Martin (French Part)</t>
  </si>
  <si>
    <t>2017-0381-USA</t>
  </si>
  <si>
    <t>2017-0383-MTQ</t>
  </si>
  <si>
    <t>2017-0383-USA</t>
  </si>
  <si>
    <t>2017-0410-CRI</t>
  </si>
  <si>
    <t>2017-0410-NIC</t>
  </si>
  <si>
    <t>2017-0410-USA</t>
  </si>
  <si>
    <t>2017-0449-GTM</t>
  </si>
  <si>
    <t>2017-0449-HND</t>
  </si>
  <si>
    <t>2018-0129-USA</t>
  </si>
  <si>
    <t>2017-0449-NIC</t>
  </si>
  <si>
    <t>2017-0450-GTM</t>
  </si>
  <si>
    <t>2017-0478-COL</t>
  </si>
  <si>
    <t>2017-0498-MEX</t>
  </si>
  <si>
    <t>2017-0511-USA</t>
  </si>
  <si>
    <t>2017-0512-USA</t>
  </si>
  <si>
    <t>2017-0529-CHL</t>
  </si>
  <si>
    <t>2017-0564-USA</t>
  </si>
  <si>
    <t>2018-0010-USA</t>
  </si>
  <si>
    <t>2018-0130-USA</t>
  </si>
  <si>
    <t>2018-0045-USA</t>
  </si>
  <si>
    <t>2018-0062-BOL</t>
  </si>
  <si>
    <t>2018-0131-COL</t>
  </si>
  <si>
    <t>2018-0160-CAN</t>
  </si>
  <si>
    <t>2018-0218-DOM</t>
  </si>
  <si>
    <t>2018-0258-USA</t>
  </si>
  <si>
    <t>2018-0290-VEN</t>
  </si>
  <si>
    <t>2018-0321-SLV</t>
  </si>
  <si>
    <t>2018-0342-USA</t>
  </si>
  <si>
    <t>2018-0344-USA</t>
  </si>
  <si>
    <t>2018-0367-MEX</t>
  </si>
  <si>
    <t>2018-0373-CUB</t>
  </si>
  <si>
    <t>2018-0373-USA</t>
  </si>
  <si>
    <t>2018-0374-GTM</t>
  </si>
  <si>
    <t>2018-0374-SLV</t>
  </si>
  <si>
    <t>2018-0439-ARG</t>
  </si>
  <si>
    <t>2018-0396-COL</t>
  </si>
  <si>
    <t>2018-0406-MEX</t>
  </si>
  <si>
    <t>2018-9103-URY</t>
  </si>
  <si>
    <t>2019-0023-CHL</t>
  </si>
  <si>
    <t>2019-0027-PER</t>
  </si>
  <si>
    <t>2019-0045-USA</t>
  </si>
  <si>
    <t>Sand/Dust storm</t>
  </si>
  <si>
    <t>Lightening|Snow/ice</t>
  </si>
  <si>
    <t>2019-0046-USA</t>
  </si>
  <si>
    <t>2019-0146-BRA</t>
  </si>
  <si>
    <t>2019-0160-USA</t>
  </si>
  <si>
    <t>2019-0233-SLV</t>
  </si>
  <si>
    <t>2019-0243-PER</t>
  </si>
  <si>
    <t>2019-0250-USA</t>
  </si>
  <si>
    <t>2019-0273-URY</t>
  </si>
  <si>
    <t>2019-0283-ECU</t>
  </si>
  <si>
    <t>2019-0338-HND</t>
  </si>
  <si>
    <t>2019-0360-GTM</t>
  </si>
  <si>
    <t>2019-0368-BRA</t>
  </si>
  <si>
    <t>2019-0412-USA</t>
  </si>
  <si>
    <t>2019-0417-USA</t>
  </si>
  <si>
    <t>2019-0418-MEX</t>
  </si>
  <si>
    <t>2019-0428-PRY</t>
  </si>
  <si>
    <t>2019-0455-COL</t>
  </si>
  <si>
    <t>2019-0456-DOM</t>
  </si>
  <si>
    <t>2019-0475-ECU</t>
  </si>
  <si>
    <t>GDP (current US$)</t>
  </si>
  <si>
    <t>Year</t>
    <phoneticPr fontId="1" type="noConversion"/>
  </si>
  <si>
    <r>
      <t>total</t>
    </r>
    <r>
      <rPr>
        <sz val="11"/>
        <color rgb="FF006100"/>
        <rFont val="等线"/>
        <family val="3"/>
        <charset val="134"/>
        <scheme val="minor"/>
      </rPr>
      <t>：</t>
    </r>
  </si>
  <si>
    <r>
      <t>total</t>
    </r>
    <r>
      <rPr>
        <sz val="11"/>
        <color rgb="FF006100"/>
        <rFont val="等线"/>
        <family val="3"/>
        <charset val="134"/>
        <scheme val="minor"/>
      </rPr>
      <t>：</t>
    </r>
    <phoneticPr fontId="1" type="noConversion"/>
  </si>
  <si>
    <r>
      <t>total</t>
    </r>
    <r>
      <rPr>
        <sz val="11"/>
        <color rgb="FF006100"/>
        <rFont val="等线"/>
        <family val="3"/>
        <charset val="134"/>
        <scheme val="minor"/>
      </rPr>
      <t>：</t>
    </r>
    <phoneticPr fontId="1" type="noConversion"/>
  </si>
  <si>
    <t>Keep</t>
  </si>
  <si>
    <t>Observation</t>
  </si>
  <si>
    <t>Year</t>
  </si>
  <si>
    <t>Damage as % of annual GDP</t>
  </si>
  <si>
    <t>Retained</t>
  </si>
  <si>
    <r>
      <t>Normalised damage ratio (x</t>
    </r>
    <r>
      <rPr>
        <vertAlign val="subscript"/>
        <sz val="11"/>
        <color theme="1"/>
        <rFont val="Calibri"/>
        <family val="2"/>
      </rPr>
      <t>t</t>
    </r>
    <r>
      <rPr>
        <sz val="11"/>
        <color theme="1"/>
        <rFont val="Calibri"/>
        <family val="2"/>
      </rPr>
      <t>)</t>
    </r>
    <phoneticPr fontId="1" type="noConversion"/>
  </si>
  <si>
    <r>
      <t>Normalized Damage (x</t>
    </r>
    <r>
      <rPr>
        <vertAlign val="subscript"/>
        <sz val="11"/>
        <color theme="1"/>
        <rFont val="Calibri"/>
        <family val="2"/>
      </rPr>
      <t>t</t>
    </r>
    <r>
      <rPr>
        <sz val="11"/>
        <color theme="1"/>
        <rFont val="Calibri"/>
        <family val="2"/>
      </rPr>
      <t>)</t>
    </r>
    <phoneticPr fontId="1" type="noConversion"/>
  </si>
  <si>
    <r>
      <t>Normalized Damage (x</t>
    </r>
    <r>
      <rPr>
        <vertAlign val="subscript"/>
        <sz val="11"/>
        <color theme="1"/>
        <rFont val="Calibri"/>
        <family val="2"/>
      </rPr>
      <t>t</t>
    </r>
    <r>
      <rPr>
        <sz val="11"/>
        <color theme="1"/>
        <rFont val="Calibri"/>
        <family val="2"/>
      </rPr>
      <t>)</t>
    </r>
    <phoneticPr fontId="1" type="noConversion"/>
  </si>
  <si>
    <t>2024-0+116:2341012-BRA</t>
    <phoneticPr fontId="1" type="noConversion"/>
  </si>
  <si>
    <t>Disaster Type</t>
  </si>
  <si>
    <t>Location</t>
  </si>
  <si>
    <t>Itaberaba, Itamaraju, Porto Seguro, Eunápolis, Prado, Teixeira de Freitas , Jucuruçu, Itagimirim, Medeiros Neto municipalities (Bahia state); Minas Gerais state; Espirito Santo; Tocantins</t>
  </si>
  <si>
    <t>Brasileia, Assis Brasil, Xapuri, Rio Branco, Epitaciolândia Municipalities (Acre); Manaus Municipality (Amazonas)</t>
  </si>
  <si>
    <t>Mairipora, Francisco Morato, Itapevi, Guarulhos, Cajamar districts (Sao Paulo province), Rio de Janeiro province</t>
  </si>
  <si>
    <t>Rio Grande do Sul</t>
  </si>
  <si>
    <t>Metropolitan, Central, Vale do Rio Pardo, Vale do Taquari, and Serra Gaúcha areas (Rio Grande do Sul)</t>
  </si>
  <si>
    <t>Formosa da Serra Negra, São Roberto, São João do Sóter, Tuntum, Monção, Pindaré-Mirim, Conceição do Lago Açu, Lago da Pedra, Lagoa Grande do Maranhão, Carutapera, Governador Nunes Freire, Boa Vista do Gurupi, and Trizidela do Vale (Maranhao state)</t>
  </si>
  <si>
    <t>Mimoso do Sul, Apiacá Municipal, Vargem Alta Muniz Freire and Bom Jesus do Norte municipalities (Espirito Santo); Rio de Janeiro States)</t>
  </si>
  <si>
    <t>2024-0012-BRA</t>
  </si>
  <si>
    <t>Belford Roxo, Duque de Caxias, Nova Iguaçu, Japeri, São João de Meriti, São Gonçalo, Mesquita, Nilópolis, Nova Iguaçu, and Queimados Municipalities (Rio de Janeiro); São Paulo, Santa Catarina, Paraná and Rio Grande do Sul</t>
  </si>
  <si>
    <t>Rio do Sul, Tubarão, Blumenau, and Lontras municipalities (Santa Catarina state)</t>
  </si>
  <si>
    <t>Permnambouc, Bahia, Piaui, Alagoas, Ceara, Sergipe, Sao Paulo, Minas Girais, Rio de Janeiro, Espirito Santo provinces</t>
  </si>
  <si>
    <t>Nova Friburgo, Petropolis, Teresopolis districts (Rio De Janeiro province)</t>
  </si>
  <si>
    <t>Minas Gerais, Espirito Santo, Rio de Janeiro provinces</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</si>
  <si>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</si>
  <si>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Rio de Janeiro city (Rio de Janeiro district, Rio de Janeiro province), Petropolis, Paracambi, Duque de Caxias, Belford Roxo, Niteori, Japeri, Bom Jardim districts (Rio de Janeiro province)</t>
  </si>
  <si>
    <t>Paraiba, Piaui, Rio Grande do Norte, Maranhao, Pernambuco, Ceara provinces</t>
  </si>
  <si>
    <t>Blumenau, Ilhota, Gaspar, Jaragua do Sul, Sao Bonifacio, Sao Joao da Bastida, Rio dos Cedros, Garuva, Itapoa, Benedito Novo, Luiz Alves districts (Santa Catarina province)</t>
  </si>
  <si>
    <t>Rio Grande do Sul province</t>
  </si>
  <si>
    <t>Alagoas, Pernambuco provinces</t>
  </si>
  <si>
    <t>Xerem town (Duque De Caxias district, Rio de Janeiro province)</t>
  </si>
  <si>
    <t>Lajedinho district (Bahia province)</t>
  </si>
  <si>
    <t>Espirito Santo, Minas Gerais provinces</t>
  </si>
  <si>
    <t>Arapongas, Rolândia, Londrina districts (Parana province), Sao Paulo province, Aquidauana, Miranda, Dois Irmãos do Buriti, Taquarussu districts (Mato Grosso do Sul province)</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</si>
  <si>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</si>
  <si>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Rio de Janeiro</t>
  </si>
  <si>
    <t>Santa Catarina State</t>
  </si>
  <si>
    <t>Minas Gerais</t>
  </si>
  <si>
    <t>Florianopolis and Vale do Itajai (Santa Catarina State )</t>
  </si>
  <si>
    <t>Ceara, Maranhao, Para, Pernambuco, and Piau States</t>
  </si>
  <si>
    <t>Maceio district (Alagoas province)</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</si>
  <si>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</si>
  <si>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Maranhao, Ceara, Alagoas, Para, Paraiba, Pernambuco, Bahia, Amazonas, Santa Catarina, Piaui, Rio Grande do Norte provinces</t>
  </si>
  <si>
    <t>Niteroi, Sao Goncalo, Rio de Janeiro districts (Rio de Janeiro province)</t>
  </si>
  <si>
    <t>Rondonia, Acre provinces</t>
  </si>
  <si>
    <t>Santa Catarina, Rio Grande do Sul provinces</t>
  </si>
  <si>
    <t>Guaruja , Santos, Sao Vicente (Baixada Santista Regions, Sao Paulo state)</t>
  </si>
  <si>
    <t>Alfredo Chaves, Iconha Municipalities (Espirito Santo State); Minas Gerais state; Rio de Janeiro</t>
  </si>
  <si>
    <t>Marilia, Botucatu, Laranjal Paulista,Taboao da Serra (Sao Paulo State)</t>
  </si>
  <si>
    <t>Vale do Itajai region (Santa Caterina State)</t>
  </si>
  <si>
    <t>Oriximiná Municipality (northern Parà)</t>
  </si>
  <si>
    <t>Sao Paulo state</t>
  </si>
  <si>
    <t>Angra dos Reis, Paraty, Mesquita, Duque de Caxias, Cachoeiras de Macacu (Rio de Janeiro state)</t>
  </si>
  <si>
    <t>Rodeio Municipality (Santa Caterina State)</t>
  </si>
  <si>
    <t>Florianópolis City (Santa Caterina State)</t>
  </si>
  <si>
    <t>Santa Maria de Itabira Municipality (central Minas Gerais state); Cruzeiro do Sul Municipality (Acre state)</t>
  </si>
  <si>
    <t>Miracema, Laje do Muriae, Santo Antonio de Padua, Italva and Itaocara municipalities (Rio de Janeiro state)</t>
  </si>
  <si>
    <t>Pernambuco, Alagoas and Paraíba states; Olinda, Jaboatão dos Guararapes, São José da Coroa Grande (greater Ricefe region)</t>
  </si>
  <si>
    <t>Alagoas, Pernambuco, and Rio Grande do Norte States</t>
  </si>
  <si>
    <t>Sao Sebastiao City and one in Ubatuba City (Sao Paulo state)</t>
  </si>
  <si>
    <t>Bandeirantes (Paraná state)</t>
  </si>
  <si>
    <t>Petropolis, Magaratiba, Niteroi, Angra dos Reis districts (Rio de Janeiro province) Xerem, Duque de Caxias towns (Duque de Caxais district, Rio de Janeiro province)</t>
  </si>
  <si>
    <t>Sao Paulo</t>
  </si>
  <si>
    <t>External IDs</t>
  </si>
  <si>
    <t>ISO</t>
  </si>
  <si>
    <t>Origin</t>
  </si>
  <si>
    <t>AID Contribution ('000 US$)</t>
  </si>
  <si>
    <t>Magnitude</t>
  </si>
  <si>
    <t>Latitude</t>
  </si>
  <si>
    <t>Longitude</t>
  </si>
  <si>
    <t>River Basin</t>
  </si>
  <si>
    <t>USA</t>
  </si>
  <si>
    <t>Arizona, California, Colorado, Idaho, Montana, Nevada, New Mexico, Oregon, South Dakota, Texas, Utah, Washington, Wyoming, Florida, North Dakota provinces</t>
  </si>
  <si>
    <t>COL</t>
  </si>
  <si>
    <t>Narino, Putumayo, Santander, Antioquia, Choco, Cundinamarca, Tolima, Valle del Cauca, Amazonas provinces</t>
  </si>
  <si>
    <t>Heavy rains</t>
  </si>
  <si>
    <t>San Miguel</t>
  </si>
  <si>
    <t>Oklahoma province</t>
  </si>
  <si>
    <t>Brief torrential rain</t>
  </si>
  <si>
    <t>Polecat Creek, Bird Creek, Neosho River, and Caney River</t>
  </si>
  <si>
    <t>Alaska province</t>
  </si>
  <si>
    <t>Mass movement (wet)</t>
  </si>
  <si>
    <t>BRA</t>
  </si>
  <si>
    <t>Pennsylvania province</t>
  </si>
  <si>
    <t>ARG</t>
  </si>
  <si>
    <t>La Pampa, Mendoza, San Luis, Formosa provinces</t>
  </si>
  <si>
    <t>Maui district (Hawaii province)</t>
  </si>
  <si>
    <t>Bullock, Montgomery districts (Alabama province), Colquitt, Grady, Mitchell, Thomas, Tift districts (Georgia province), Washington district (Floride province), Lonoke, Prairie, Saline districts (Arkansas province)</t>
  </si>
  <si>
    <t>Tolima, Santander, Valle provinces</t>
  </si>
  <si>
    <t>Catamarca, Cordoba, Jujuy, La Rioja, Santiago del Estero, Salta,Tucuman provinces</t>
  </si>
  <si>
    <t>Heavy rain</t>
  </si>
  <si>
    <t>Epidemic</t>
  </si>
  <si>
    <t>ECU</t>
  </si>
  <si>
    <t>Guayas, Los Rios provinces</t>
  </si>
  <si>
    <t>Quito district (Pichincha province)</t>
  </si>
  <si>
    <t>BOL</t>
  </si>
  <si>
    <t>Nuflo de Chavez, Obispo Santiesteban districts (Santa Cruz province), Bermejo town (Acre district, Tarija province), Avilez district (Tarija province), Gran Chaco district (Tarija province), Chuquisaca province</t>
  </si>
  <si>
    <t>Bermejo, Grande</t>
  </si>
  <si>
    <t>MEX</t>
  </si>
  <si>
    <t>Chalco district (Mexico province)</t>
  </si>
  <si>
    <t>Acatlan de Perez Figueroa city (Tuxtepec district, Oaxaca province)</t>
  </si>
  <si>
    <t>NIC</t>
  </si>
  <si>
    <t>El Rama district (Atlantico Sur province)</t>
  </si>
  <si>
    <t>Park, Jefferson, Larimer districts (Colorado province)</t>
  </si>
  <si>
    <t>PER</t>
  </si>
  <si>
    <t>Arma village (La Convenci?n district, Cusco province)</t>
  </si>
  <si>
    <t>SLV</t>
  </si>
  <si>
    <t>Ahuachapan, Cabanas, Chalatenango, Cuscatlan, La Libertad, La Paz, La Union, Morazan, San Miguel, San Salvador, San Vicente, Santa Ana, Sonsonate, Usulutan provinces</t>
  </si>
  <si>
    <t>Miami-Dade, Monroe, Broward, Collier districts (Florida province)</t>
  </si>
  <si>
    <t>Penipe, Guano districts (Chimborazo province)</t>
  </si>
  <si>
    <t>Buenos Aires D.f., Buenos Aires provinces</t>
  </si>
  <si>
    <t>Extreme temperature</t>
  </si>
  <si>
    <t>Chihuahua province</t>
  </si>
  <si>
    <t>Chuquisaca, Cochabamba, La Paz, Oruro, Potosi, Tarija provinces</t>
  </si>
  <si>
    <t>Alabama, Georgia, Louisiana, North Carolina, South Carolina, Tennessee, Virginia, New York, Pennsylvania, Massachussetts provinces</t>
  </si>
  <si>
    <t>Tuscaloosa district (Alabama province), Connecticut, Florida, Georgia, Massachusetts, Mississippi, Norh Carolina, New Jersey, New York, Pennsylvania, Rhode Island provinces</t>
  </si>
  <si>
    <t>South Carolina, Georgia, Alabama, Florida, Louisiana, Texas provinces</t>
  </si>
  <si>
    <t>Atlantico Norte, Jinotega, Nueva Segovia provinces</t>
  </si>
  <si>
    <t>Gainesville, Alachua areas (Alachua district, Florida province), Lafayette, Gulf districts (Florida province)</t>
  </si>
  <si>
    <t>Carchi, Imbabura provinces</t>
  </si>
  <si>
    <t>Adams, Columbia, Crawford, Dane, Dodge, Grant, Green, Iowa, Juneau, La crosse, Lafayette, Monroe, Richland, Rock, Sauk, Vernon districts (Wisconsin province)</t>
  </si>
  <si>
    <t>CRI</t>
  </si>
  <si>
    <t>Miramar de Puntarenas town (Montes de Oro district, Puntarenas province)</t>
  </si>
  <si>
    <t>USGS:usp0009vy1</t>
  </si>
  <si>
    <t>Laguna de Apoyo nature reserve (Masaya district, Masaya province)</t>
  </si>
  <si>
    <t>Hanford area (Benton district, Washington province)</t>
  </si>
  <si>
    <t>Buenos Aires, Sante Fe, Formosa, Santa Cruz provinces</t>
  </si>
  <si>
    <t>CHL</t>
  </si>
  <si>
    <t>Antofagasta, Araucania, Arica y Painacota, Atacama, Coquimbo, Los Lagos, Los Rios, Tarapaca provinces</t>
  </si>
  <si>
    <t>Texas, Louisiana, Alabama provinces</t>
  </si>
  <si>
    <t>Cabanas, Cuscatlan, La Paz, La Union, Morazan, San Miguel, San Salvador, San Vicente, Usulutan provinces</t>
  </si>
  <si>
    <t>Neugen, Rio Negro, Chubut, Santa Cruz (Patagonia region)</t>
  </si>
  <si>
    <t>BLZ</t>
  </si>
  <si>
    <t>San Pedro and Belize cities, Cay Caulker and Ambergris Caye islands (Belize province), Corozal, Cayo, Orange Walk provinces</t>
  </si>
  <si>
    <t>Puebla, Campeche, Quintana Roo, Yucatan, Veracruz, Chiapas, Oaxaca, Tabasco, Tamaulipas provinces</t>
  </si>
  <si>
    <t>VEN</t>
  </si>
  <si>
    <t>Aragua, Carabobo, Falcon, Districto Capital, Merida, Miranda, Sucre, Trujillo, Vargas, Zulia provinces</t>
  </si>
  <si>
    <t>Canada de Gomez city (Iriondo disctrict, Santa Fe province)</t>
  </si>
  <si>
    <t>Volcanic activity</t>
  </si>
  <si>
    <t>Mexico, Puebla, Morelos provinces</t>
  </si>
  <si>
    <t>Texas, Oklahoma, New Mexico, Arkansas, Missouri, Minnesota provinces</t>
  </si>
  <si>
    <t>El Viejo district (Chinandega province)</t>
  </si>
  <si>
    <t>CUB</t>
  </si>
  <si>
    <t>Guantanamo, Santiago De Cuba, Las Tunas, Camaguey provinces</t>
  </si>
  <si>
    <t>Wyoming province</t>
  </si>
  <si>
    <t>GTM</t>
  </si>
  <si>
    <t>El Caracol, El Patrocinio, El Rodeo, San Francisco de Sales cities (San Vicente Pacaya district, Escuintla province)</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</si>
  <si>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</si>
  <si>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</si>
  <si>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Crittenden, Daviess, Webster districts (Kentucky province)</t>
  </si>
  <si>
    <t>Hipre village (Uraya area, Angaraes district, Huancavelica province)</t>
  </si>
  <si>
    <t>Torrential rain</t>
  </si>
  <si>
    <t>GUF</t>
  </si>
  <si>
    <t>Remire (Montjoly) district (Cayenne province)</t>
  </si>
  <si>
    <t>Franklin, Jefferson districts (Missouri province)</t>
  </si>
  <si>
    <t>Flat Creek, Bourbeuse, Big and Meramec rivers</t>
  </si>
  <si>
    <t>URY</t>
  </si>
  <si>
    <t>Artigas, Canelones, Cerro Largo, Colonia, Durazno, Flores, Florida, Lavalleja, Maldonado, Montevideo, Paysandu, Rio Negro, Rivera, Rocha, Salto, San Jose, Soriano, Tacuarembo, Treinta Y Tres provinces</t>
  </si>
  <si>
    <t>Sarasota district (Florida province)</t>
  </si>
  <si>
    <t>Liberty district (Texas province)</t>
  </si>
  <si>
    <t>Valdivia district (Los Rios province), Cautin district (Araucania province)</t>
  </si>
  <si>
    <t>Anderson, Benton, Cheatham, Davidson, Henry, Hickman, Houston, Jackson, Knox, Lake, Obion, Perry, Pickett, Stewart districts (Tennessee province)</t>
  </si>
  <si>
    <t>Paysandu, Maldonado provinces</t>
  </si>
  <si>
    <t>Metropolitana, Coquimbo, Valparaiso, Maule, Araucania, Los Lagos, Los Rios, Libertador Gral. Bernardo O'higgins provinces</t>
  </si>
  <si>
    <t>Cochabamba, Santa Cruz, La Paz provinces</t>
  </si>
  <si>
    <t>CAN</t>
  </si>
  <si>
    <t>Pine Lake area (Division No. 8 district, Alberta province)</t>
  </si>
  <si>
    <t>Granite Falls city (Yellow Medicine, Minnesota province)</t>
  </si>
  <si>
    <t>Morris, Sussex districts (New Jersey province)</t>
  </si>
  <si>
    <t>Recife city (Recife district, Pernambuco province), Jaboatao Dos Guararapes, Moreno districts (Pernambuco province)</t>
  </si>
  <si>
    <t>USGS:usp0009zmm</t>
  </si>
  <si>
    <t>Near Yountville city (Napa district, California province)</t>
  </si>
  <si>
    <t>Chiapas, Veracruz, Guerrero provinces</t>
  </si>
  <si>
    <t>Xenia city (Greene district, Ohio province)</t>
  </si>
  <si>
    <t>Buffalo city (Erie district, New York province)</t>
  </si>
  <si>
    <t>HTI</t>
  </si>
  <si>
    <t>Abricots village (Jeremie district, Grande Anse province)</t>
  </si>
  <si>
    <t>JAM</t>
  </si>
  <si>
    <t>Clarendon, Hanover, Manchester, Portland, Saint Ann, Saint Catherine, Saint Elizabeth, Saint James, Saint Thomas, Trelawny, Westmoreland provinces</t>
  </si>
  <si>
    <t>HND</t>
  </si>
  <si>
    <t>Montana de la Flor area (Marale district, Francisco Morazan province)</t>
  </si>
  <si>
    <t>Kentucky, Ohio provinces</t>
  </si>
  <si>
    <t>Licking River, Ohio River, Scioto River</t>
  </si>
  <si>
    <t>USGS:usp000a373</t>
  </si>
  <si>
    <t>Jurado island and Jurado districts (Choco province)</t>
  </si>
  <si>
    <t>Fort Worth Texas city (Tarrant district, Texas province), Reagan, Burleson districts (Texas province)</t>
  </si>
  <si>
    <t>Atlantida, Choluteca, Colon, Comayagua, Copan, Cortes, Francisco Morazan, Gracias A Dios, Intibuca, Islas De Bahia, La Paz, Lempira, Name Unknown, Ocotepeque, Olancho, Paraiso, Santa Barbara, Valle, Yoro provinces</t>
  </si>
  <si>
    <t>Los Alamos, Rio Arriba, Sandoval, Santa Fe districts (New Mexico province)</t>
  </si>
  <si>
    <t>Avellaneda, Berisso, Lanus, Quilmes, San Fernando, San Miguel districts (Buenos Aires province), Rosario district (Santa Fe province), Parana city (Entre Rios province); Buenos Aires city (Buenos Aires D.f. province), La Pampa, La Cordoba provinces</t>
  </si>
  <si>
    <t>Distrito Federal, Veracruz, Chiapas, Tabasco, Zacatecas provinces</t>
  </si>
  <si>
    <t>Franklin, Jefferson, Gasconade districts (Missouri province)</t>
  </si>
  <si>
    <t>Guatemala district (Guatemala province), Alta Verapaz, Escuintla, Huehuetenango, Jalapa, Quiché, Totonicapan, Zacapa provinces</t>
  </si>
  <si>
    <t>Motagua river</t>
  </si>
  <si>
    <t>Infestation</t>
  </si>
  <si>
    <t>Cajamarca, Lambayeque</t>
  </si>
  <si>
    <t>PRY</t>
  </si>
  <si>
    <t>Alto Paraguay, Alto Parana, Amambay, Boqueron, Caaguazu, Caazapa, Canindeyu, Central, Concepcion, Cordillera, Guaira, Itapua, Misiones, Neembucu, Paraguari, Presidente Hayes, San Pedro provinces</t>
  </si>
  <si>
    <t>Teleman area (Panzos district, Alta Verapaz province), Guatemala district (Guatemala province), Zacapa district (Zacapa province)</t>
  </si>
  <si>
    <t>Concepcion river</t>
  </si>
  <si>
    <t>Distrito Capital province</t>
  </si>
  <si>
    <t>PAN</t>
  </si>
  <si>
    <t>Chiriqui province</t>
  </si>
  <si>
    <t>Léon, Chinandega, Managua, Granada, Rivas provinces</t>
  </si>
  <si>
    <t>Ayapel district (Cordoba province), San Benito Abad district (Sucre province)</t>
  </si>
  <si>
    <t>Magdalena, Cauca, San Jorge and Sinu</t>
  </si>
  <si>
    <t>Rio Grande Do Sul province</t>
  </si>
  <si>
    <t>Buenos Aires, Cordoba, LaPampa, Santa Fe provinces</t>
  </si>
  <si>
    <t>Belo Horizonte district (Minas Gerais province), Santos, Guaruja districts (Sao Paulo province), Santa Leopoldina district (Espirito Santo province), Alto Feliz district (Rio Grande do Sul province)</t>
  </si>
  <si>
    <t>Canelones province</t>
  </si>
  <si>
    <t>Centro Habana district (Ciudad de La Habana province)</t>
  </si>
  <si>
    <t>Gran Chaco district (Tarija province)</t>
  </si>
  <si>
    <t>Toledo, Stann Creek provinces</t>
  </si>
  <si>
    <t>Padre Abad district (Ucayali province)</t>
  </si>
  <si>
    <t>Aguaytia, Negro rivers</t>
  </si>
  <si>
    <t>Texas province</t>
  </si>
  <si>
    <t>Nueces, Colorado, Guadalupe, Mission, Frio, San Antonio Oso Creek in Corpus Christi, Yegya Creek.</t>
  </si>
  <si>
    <t>District of Columbia province</t>
  </si>
  <si>
    <t>Palma Sola city (Santa Barbara district, Jujuy province), Salta and Catamarca provinces</t>
  </si>
  <si>
    <t>Colon, Santiago, Sibundoy, San Francisco districts (Putumayo province)</t>
  </si>
  <si>
    <t>USGS:usp000a7m5</t>
  </si>
  <si>
    <t>Jutapia province</t>
  </si>
  <si>
    <t>Hoisington city (Barton district, Kansas province)</t>
  </si>
  <si>
    <t>Mazamri area (Satipo district, Junin province)</t>
  </si>
  <si>
    <t>Bocas del Toro province</t>
  </si>
  <si>
    <t>USGS:usp000ah4q</t>
  </si>
  <si>
    <t>Arequipa, Moquegua, Tacna, Ayacucho provinces</t>
  </si>
  <si>
    <t>Barranquilla (dist.port.), Soledad districts (Atlantico province)</t>
  </si>
  <si>
    <t>La Fea town (Valdivia district, Antioquia province)</t>
  </si>
  <si>
    <t>Santa Catarina, Rio Grande do Sul, Sao Paulo, Parana provinces</t>
  </si>
  <si>
    <t>Hondo city (Medina district, Texas province)</t>
  </si>
  <si>
    <t>BHS</t>
  </si>
  <si>
    <t>New Providence island (Administrative unit not available)</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</si>
  <si>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</si>
  <si>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Hurricane Michelle</t>
  </si>
  <si>
    <t>USGS:usp000am2s</t>
  </si>
  <si>
    <t>Antambaba district (Apurcmac province)</t>
  </si>
  <si>
    <t>Pernambuco province</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</si>
  <si>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</si>
  <si>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Beni, Chuquisaca, Cochabamba, La Paz, Oruro, Pando, Potosi, Santa Cruz, Tarija provinces</t>
  </si>
  <si>
    <t>General Lagos, Putre Camarones, Huara municipalities (Arica district, Arica y Painacota province), Parinacota disctrict (Arica y Painacota province)</t>
  </si>
  <si>
    <t>USGS:uw10530748</t>
  </si>
  <si>
    <t>Seattle city (King district), Tacoma city (Pierce district), Olympia city (Thurston district) (Washington province)</t>
  </si>
  <si>
    <t>Artigas, Rivera, Durazno provinces</t>
  </si>
  <si>
    <t>El Collao, Chucui­to, San Roman, Puno, Huancane districts (Puno province), Lima, Ica, Arequipa,Tacna, Moquegua provinces</t>
  </si>
  <si>
    <t>Buenos Aires province</t>
  </si>
  <si>
    <t>Zamora Chinchipe, Napo, Pastaza, Morona Santiago, Orellana provinces</t>
  </si>
  <si>
    <t>Florida province</t>
  </si>
  <si>
    <t>Chubut, Neuquen, Rio Negro (Patagonia), Catamarca, Buenos Aires provinces</t>
  </si>
  <si>
    <t>San Salvador, Soyapango districts (San Salvador province)</t>
  </si>
  <si>
    <t>Acelhuate</t>
  </si>
  <si>
    <t>Baja California Sur province</t>
  </si>
  <si>
    <t>Howard, Prince George's districts (Maryland province)</t>
  </si>
  <si>
    <t>Colon, Atlantida, Yoro, Cortes, Gracias A Dios, Islas De Bahia provinces</t>
  </si>
  <si>
    <t>Jachahuanca village (Junin district, Junin province)</t>
  </si>
  <si>
    <t>Tennessee, Kentucky, West Virginia, Virginia, Georgia provinces</t>
  </si>
  <si>
    <t>Jaguare, Rio Banal, Nova Venecia districts (Espirito Santo province), Minas Gerais province</t>
  </si>
  <si>
    <t>Quintana Roo province</t>
  </si>
  <si>
    <t>El Progreso, Jalapa, Chiquimula, Zacapa, Jutiapa provinces</t>
  </si>
  <si>
    <t>Illinois, Indiana, Iowa, Kansas, Michigan, Minnesota, Missouri, Nebraska, North Dakota, Ohio, South Dakota, Wisconsin provinces</t>
  </si>
  <si>
    <t>Chiquimula province</t>
  </si>
  <si>
    <t>Choluteca, Valle, Francisco Morazan, Paraiso, La Paz, Comayagua, Intibuca, Yoro, Lempira provinces</t>
  </si>
  <si>
    <t>Calhoun, Lee, Pontotoc, Prentiss, Union districts (Mississippi province)</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</si>
  <si>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</si>
  <si>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Artibonite province</t>
  </si>
  <si>
    <t>Minnesota, Iowa, Wisconsin, Illinois provinces</t>
  </si>
  <si>
    <t>Snowmelt</t>
  </si>
  <si>
    <t>Minnesota, Mississippi, St. Croix and Red</t>
  </si>
  <si>
    <t>Texas, Mississippi, Louisiana, Florida, Pennsylvania, South Carolina, North Carolina, Georgia, Pensylvania, New Jersey, Virginia, Iowa provinces</t>
  </si>
  <si>
    <t>Cleveland area (Henry district, Illinois province), Barstow, Osborn areas (Rock Island district, Illinois province)</t>
  </si>
  <si>
    <t>Ice jam/break</t>
  </si>
  <si>
    <t>ROck river</t>
  </si>
  <si>
    <t>New Hampshire, Vermont, Maine, Massachusetts, Rhode Island provinces</t>
  </si>
  <si>
    <t>Puerto Montt city (Llanquihue district, Los Lagos province), Araucania province</t>
  </si>
  <si>
    <t>PRI</t>
  </si>
  <si>
    <t>Yauco, Guayanilla districts (Mayaguez province)</t>
  </si>
  <si>
    <t>Guanajibo River</t>
  </si>
  <si>
    <t>Alberta province</t>
  </si>
  <si>
    <t>Brainerd city (Crow King district, Minnesota province)</t>
  </si>
  <si>
    <t>Guerrero, Chiapas provinces</t>
  </si>
  <si>
    <t>Amazonas, Arauca, Boyaca, Caqueta, Casanare, Guainia, Guaviare, Meta, Norte De Santander, Putumayo, Vaupes, Vichada provinces</t>
  </si>
  <si>
    <t>Cacahoatan, Tapachula districts (Chiapas province)</t>
  </si>
  <si>
    <t>Cordell city (Washita district, Oklahoma province), Polk, Merrick, Hamilton districts (Nebraska province)</t>
  </si>
  <si>
    <t>Peten, Zacapa, Quetzaltenango provinces</t>
  </si>
  <si>
    <t>Oaxaca province</t>
  </si>
  <si>
    <t>Buenos Aires, Cordoba, La Pampa, Santa Fe provinces</t>
  </si>
  <si>
    <t>Salado River and tributaries</t>
  </si>
  <si>
    <t>CYM</t>
  </si>
  <si>
    <t>Atlantico Norte province</t>
  </si>
  <si>
    <t>Clarendon, Hanover, Manchester, Portland, Saint Andrew And Kingston, Saint Ann, Saint Catherine, Saint Elizabeth, Saint James, Saint Mary, Saint Thomas, Trelawny, Westmoreland provinces</t>
  </si>
  <si>
    <t>Filadelfia district (Caldas province)</t>
  </si>
  <si>
    <t>Tolima, Cundinamarca, Antioquia provinces</t>
  </si>
  <si>
    <t>USGS:usp000atz4</t>
  </si>
  <si>
    <t>Pucuncho city (Cayarani municipality, Condesuyos district, Arequipa province) ; Chuquibamba municipality (Condesuyos district, Arequipa province)</t>
  </si>
  <si>
    <t>Nueva Segovia, Madriz, Esteli, Leon, Chinandega, Carazo, Boaco, Jinotega, Matagalpa provinces</t>
  </si>
  <si>
    <t>Usulutan, San Miguel, Morazan, La Union provinces</t>
  </si>
  <si>
    <t>USGS:usp000a9jv</t>
  </si>
  <si>
    <t>La Paz, Cuscatlan, San Vicente, San Salvador, Morazan, La Libertad provinces ; San Juan Tepezontes district (La Paz province), Cojutepeque district (Cuscatlan province)</t>
  </si>
  <si>
    <t>Quebec province</t>
  </si>
  <si>
    <t>Virginia, New Jersey, Pennsylvania, North Carolina, West Virginia, Maryland provinces</t>
  </si>
  <si>
    <t>Chone, Portoviejo districts (Manabi province)</t>
  </si>
  <si>
    <t>Marion, Clay districts (Florida province)</t>
  </si>
  <si>
    <t>Saskatchewan, Alberta</t>
  </si>
  <si>
    <t>Cuiaba district (Mato Grosso province)</t>
  </si>
  <si>
    <t>Cuiba</t>
  </si>
  <si>
    <t>Blue Grass, Bettendorf cities (Scott district, Iowa province), Leon city (Decatur district, Iowa province)</t>
  </si>
  <si>
    <t>Metropolitana, Araucania, Biobio, Libertador Gral. Bernardo O'higgins, Maule, Los Rios provinces</t>
  </si>
  <si>
    <t>Adolfo Alsina, Avellaneda, Conesa, El Cuy, General Roca, Pichi Mahuida districts (Rio Negro province)</t>
  </si>
  <si>
    <t>La Rioja province</t>
  </si>
  <si>
    <t>Oregon, Washington, Idaho, California, Nevada, Colorado, Arizona, Wyoming, Texas, Oklahoma provinces</t>
  </si>
  <si>
    <t>Quero, Cevallos, Mocha, San Pedro de Pelileo, Tisaleo districts (Tungurahua province), Penipe, Guano districts (Chimborazo province)</t>
  </si>
  <si>
    <t>Virginia province</t>
  </si>
  <si>
    <t>Mullens, Pineville, Welch, Corinne, Kimble, Dorothy. Guyandotte and Tug Fork rivers</t>
  </si>
  <si>
    <t>Siren city (Burnett district, Wisconsin province)</t>
  </si>
  <si>
    <t>Watkins area (Adams district, Colorado province)</t>
  </si>
  <si>
    <t>DOM</t>
  </si>
  <si>
    <t>Santo Domingo province</t>
  </si>
  <si>
    <t>Pasadena city (Harris district, Texas province)</t>
  </si>
  <si>
    <t>Grande Anse, Centre, Sud, Nippes, Ouest, Artibonite, Nord Ouest, Nord, Nord Est, Sud Est provinces</t>
  </si>
  <si>
    <t>Matanzas, Cienfuegos, Villa Clara, Sancti Spiritus, Isla de la Juventud, Pinar del Rio, Ciudad De La Habana, Ciego de Avila provinces</t>
  </si>
  <si>
    <t>Tennesse, Kentucky provinces</t>
  </si>
  <si>
    <t>Jakson town (Dakota district, Nebraska province)</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</si>
  <si>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</si>
  <si>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</si>
  <si>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Suchitepequez, Quetzaltenango, Jalapa, Peten, Santa Rosa, Guatemala, Baja Verapaz, Huehuetenango, Escuintla, San Marcos, El Progreso</t>
  </si>
  <si>
    <t>GRD</t>
  </si>
  <si>
    <t>St. Patrick's, St. Mark's, Carriacou and Petit Martinique</t>
  </si>
  <si>
    <t>Nuevo Leon, Tamaulipas provinces</t>
  </si>
  <si>
    <t>Pilon</t>
  </si>
  <si>
    <t>Louisiane, Mississippi, Alabama, Tennessee provinces</t>
  </si>
  <si>
    <t>VCT</t>
  </si>
  <si>
    <t>Charlotte, Grenadines, Saint Andrew, Saint David, Saint George, Saint Patrick provinces</t>
  </si>
  <si>
    <t>Satipo district (Junin province)</t>
  </si>
  <si>
    <t>El Dorado, Canonico, San Mateo towns (Montecristo district, Bolivar province)</t>
  </si>
  <si>
    <t>Washington DC (District of Columbia district, District of Columbia province), North Carolina, South Carolina, Virginia, New York, Pennsylvania, Kentucky, New Jersey, Maryland, Missouri, Tennesse provinces</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</si>
  <si>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</si>
  <si>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Angra Dos Reis district, Rio de Janeiro province</t>
  </si>
  <si>
    <t>Ciego De Avila, Cienfuegos, Sancti Spiritus, Villa Clara provinces</t>
  </si>
  <si>
    <t>Zaza</t>
  </si>
  <si>
    <t>Arizona province</t>
  </si>
  <si>
    <t>Coquimbo province</t>
  </si>
  <si>
    <t>Guayaquil, Duran districts (Guayas province), Huaquillas district (El Oro province), Portoviejo, Manta, Montecristi, Sucre, San Vicente districts (Manabi province), Pichincha, Bolivar, Canar, Esmeraldas, Los Rios provinces</t>
  </si>
  <si>
    <t>Portoviejo, Bulu Bulu</t>
  </si>
  <si>
    <t>Rio de Janeiro state</t>
  </si>
  <si>
    <t>Canelones, Montevideo provinces</t>
  </si>
  <si>
    <t>Atlantico Norte, Atlantico Sur, Boaco, Carazo, Chinandega, Chontales, Esteli, Granada, Jinotega, Leon, Madriz, Managua, Masaya, Matagalpa, Nueva Segovia, Rio San Juan, Rivas provinces</t>
  </si>
  <si>
    <t>Antioquia, Bolivar, Boyaca, Caldas, Caqueta, Casanare, Cauca, Cesar, Choco, Cordoba, Cundinamarca, Huila, Meta, Nariño, Norte De Santander, Putumayo, Quindío, Risaralda, Santander, Sucre, Tolima, Valle Del Cauca provinces</t>
  </si>
  <si>
    <t>L'Asile village (Anse-A-Veau district, Nippes province), Cap Tiburon village (Chardonnieres district, Sud province), Port-Salut, Cayes districts (Sud province), Grande Anse province</t>
  </si>
  <si>
    <t>Metropolitana, Atacama, Coquimbo, Valparaiso, Libertador Gral. Bernardo O'higgins, Maule, Bio Bio, Araucania provinces</t>
  </si>
  <si>
    <t>Manchester, Saint Andrew And Kingston, Clarendon, Saint Catherine, Saint Thomas, Saint Ann, Portland, Saint Elizabeth provinces</t>
  </si>
  <si>
    <t>Distrito Central, Talanga districts (Francisco Morazan province), Juticalpa district (Olancho province), Choluteca, Paraiso, Santa Barbara, Valle, Yoro provinces</t>
  </si>
  <si>
    <t>Juticalpa</t>
  </si>
  <si>
    <t>Lac-Saint-Jean-Est, Le Domaine-du-Roy, Le Saguenay-et-son-Fjord, Maria-Chapdelaine, Nord-du-Québec districts (Quebec / Québec province)</t>
  </si>
  <si>
    <t>Sur Lipez, Nor Lipez, Enrique Baldivieso, Antonio Quijarro districts (Potosi province)</t>
  </si>
  <si>
    <t>Mass movement (dry)</t>
  </si>
  <si>
    <t>Santiago De Mendez municipality (Santiago district, Morona Santiago province)</t>
  </si>
  <si>
    <t>Amazonas, Apure, Barinas, Bolivar, Delta Amacuro, Merida, Monagas, Portuguesa, Trujillo provinces</t>
  </si>
  <si>
    <t>Sarare, Arauca, Apure. Orinoco</t>
  </si>
  <si>
    <t>Tumbes, Cajamarca, Lima, Juni­n, Cusco, Huancavelica, Puno, Piura, Lambayeque, Arequipa, Moquegua, Apurimac, Madre de Dios, La Libertad, Huanuco provinces</t>
  </si>
  <si>
    <t>Rimac, Chillon, Caete Rivers</t>
  </si>
  <si>
    <t>Fallbrok area (San Diego district, Californie province)</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</si>
  <si>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</si>
  <si>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</si>
  <si>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</si>
  <si>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Tennessee, Virginia, Kentucky, Ohio, Arkansas, Oklahoma, Texas provinces</t>
  </si>
  <si>
    <t>Cumberland, Kentucky and Licking, Tygart and Triplett Creeks, Cumberland, Powell, Clinch, north fork of Holston, Powell, North Fork, Ohio, Buffalo and Black rivers, Poteau, Trinity</t>
  </si>
  <si>
    <t>Tumbes, Puno provinces</t>
  </si>
  <si>
    <t>Zarumilla, Lake Titicaca</t>
  </si>
  <si>
    <t>Canelones, Durazno, Florida, Montevideo, Rocha, San Jose provinces</t>
  </si>
  <si>
    <t>San Salvador district (San Salvador province)</t>
  </si>
  <si>
    <t>Limon, Heredia, Cartago, Alajuela provinces</t>
  </si>
  <si>
    <t>Happy town (Randall, Swisher districts, Texas province)</t>
  </si>
  <si>
    <t>Colorado province</t>
  </si>
  <si>
    <t>USGS:usp000b53c</t>
  </si>
  <si>
    <t>Aminga, Anillaco, Agua Blanca, Chuquis towns (Castro Barros district, La Rioja Provinve)</t>
  </si>
  <si>
    <t>Cabanas, Cuscatlan, Libertad, Santa Ana, San Salvador departments</t>
  </si>
  <si>
    <t>Comal, Guadalupe, Bandera, Uvalde, McMullen, Taylor districts (Texas province)</t>
  </si>
  <si>
    <t>San Antonio, Medina, San Marcos, Sabinal, Frio, Pedernales, Nueces, Guadalupe, Blanco, Atascosa</t>
  </si>
  <si>
    <t>Valle, La Paz, Choluteca, Olancho, Cortes, Francisco, Morazan, Olancho, Comayagua, El Paraiso, Yoro, Santa Barbara, Copan regions</t>
  </si>
  <si>
    <t>Caaguazu province</t>
  </si>
  <si>
    <t>Alabama, district of Columbia, Illinois, Indiana, Louisiana, Mississippi, Texas, Florida, Massachusetts, Missouri, New York City, Ohio, Georgia, Kentucky, Maryland, Michigan, Nebraska, South Dacota, Tennessee, Texas, Virginia, Wisconsin</t>
  </si>
  <si>
    <t>Bio Bio, Maule provinces</t>
  </si>
  <si>
    <t>Andalien, Bio Bio, Nonguen, Itata, Tinguirica, Claro, Teno and Lontue rivers</t>
  </si>
  <si>
    <t>San Lucas Toliman, Solola districts (Solola province)</t>
  </si>
  <si>
    <t>Georgia province</t>
  </si>
  <si>
    <t>Campeche, Quintana Roo, Yucatan provinces</t>
  </si>
  <si>
    <t>BRB</t>
  </si>
  <si>
    <t>St. Andrew, St. George, St. James, St. John, St. Joseph, St. Lucy, St. Michael, St. Peter, St. Philip, St. Thomas, Christ Church provinces</t>
  </si>
  <si>
    <t>Cayman Brac, Little Cayman</t>
  </si>
  <si>
    <t>Little Cayman, Cayman Brac provinces</t>
  </si>
  <si>
    <t>Bocas del Toro, Veraguas, Darien, Colon, Cocle, Kuna Yala, Panama provinces</t>
  </si>
  <si>
    <t>Indio, Sixaola. Capira, Maria Chiquita, Santa Maria de Belen</t>
  </si>
  <si>
    <t>Marin, Los Angeles, Santa Cruz districts (California province), Oregon, Nevada provinces</t>
  </si>
  <si>
    <t>Teresopolis district (Rio de Janeiro province)</t>
  </si>
  <si>
    <t>Tierralta district (Cordoba province)</t>
  </si>
  <si>
    <t>Minas Gerais, Paraiba, Rio Grande do Norte, Pernambuco, Piaui provinces</t>
  </si>
  <si>
    <t>Amazonas, Ancash, Apurimac, Arequipa, Ayacucho, Cajamarca, Callao, Cusco, Huancavelica, Huanuco, Ica, Junin, La Libertad, Lambayeque, Lima, Loreto, Madre de Dios, Moquegua, Pasco, Piura, Puno, San Martin, Tacna, Tumbes, Ucayali provinces</t>
  </si>
  <si>
    <t>La Paz city (Murillo district, La Paz province)</t>
  </si>
  <si>
    <t>Coqueyapu, La Paz</t>
  </si>
  <si>
    <t>Alabama, Louisiana, Virginia, North Carolina, South Carolina, Mississipi, Georgia, Pensylvania,</t>
  </si>
  <si>
    <t>La Yerbabuena village (Cuauhtemoc district, Colima province)</t>
  </si>
  <si>
    <t>Teofilo Otoni district (Minas Gerais province)</t>
  </si>
  <si>
    <t>Santo Antonio, Todos os Santos rivers</t>
  </si>
  <si>
    <t>Huaquillas district (El Oro province)</t>
  </si>
  <si>
    <t>San Miguelito district (Panama province), Bocas del Toro, Veraguas, Chiriqui provinces</t>
  </si>
  <si>
    <t>Wayne, Jefferson districts (Illinois province)</t>
  </si>
  <si>
    <t>Georgia, Alaska provinces</t>
  </si>
  <si>
    <t>Antioquia, Bolivar, Cesar, Cundinamarca, Choco, Santander, Casanare, Tolima provinces</t>
  </si>
  <si>
    <t>Tunjuelito, Magdalena and Cauca</t>
  </si>
  <si>
    <t>Chiriqui</t>
  </si>
  <si>
    <t>Porto Alegre district (Rio Grande do Sul province)</t>
  </si>
  <si>
    <t>Rio Cai and Rio Sao Sebastiao</t>
  </si>
  <si>
    <t>Puno, Arequipa, Tacna, Moquegua, Ayacucho, Huancavelica, Cusco, Apurimac provinces</t>
  </si>
  <si>
    <t>Aisen del Gral. Carlos Ibañez del Campo, Antofagasta, Araucania, Arica y Painacota, Atacama, Biobio, Coquimbo, Libertador Gral. Bernardo O'Higgins, Los Lagos, Los Rios, Magallanes y Antartica chilena, Maule, Metropolitana, Tarapaca, Valparaiso provinces</t>
  </si>
  <si>
    <t>Marcovia, Choluteca districts (Choluteca province)</t>
  </si>
  <si>
    <t>Claremont, Glendora, La Verne areas (Los Angeles district, California province))</t>
  </si>
  <si>
    <t>Saint Thomas, Saint Andrew And Kingston, Saint Elizabeth, Clarendon, Westmoreland provinces</t>
  </si>
  <si>
    <t>Acapulco De Juarez district (Guerrero province)</t>
  </si>
  <si>
    <t>Nayarit, Jalisco, Sinaloa, Colima provinces</t>
  </si>
  <si>
    <t>Pedro Mancayo, Cayambe, Quito, Ruminahui, Mejia districts (Pichincha province), Gonzalo Pizarro district (Sucumbios province), El Chaco, Quijos districts (Napo province)</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</si>
  <si>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</si>
  <si>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San Pedro de Macoris district (San Pedro de Macoris province)</t>
  </si>
  <si>
    <t>Buenos Aires, Chubut, Entre Rios, Rio Negro, Santa Fe provinces</t>
  </si>
  <si>
    <t>Yuqueri Grande, Chico River</t>
  </si>
  <si>
    <t>Ahuachapan province</t>
  </si>
  <si>
    <t>Fulton, Tioga, Broome, Oswego, Delaware, Dutchess districts (New York province), Wayne district (Pennsylvania province), Connecticut, Massachusetts, Michigan, New Hampshire, New Jersey, Ohio, Wisconsin provinces</t>
  </si>
  <si>
    <t>Liure, Soledad districts (Paraiso province), Orocuina, El Corpus districts (Choculeta province)</t>
  </si>
  <si>
    <t>Alta Verapaz, Baja Verapaz, Chimaltenango, Chiquimula, El Progreso, Escuintla, Guatemala, Huehuetenango, Izabal, Jalapa, Jutiapa, Petén, Quetzaltenango, Quiché, Retalhuleu, Sacatepéquez, San Marcos, Santa Rosa, Sololá, Suchitepéquez, Totonicapán, Zacapa provinces</t>
  </si>
  <si>
    <t>Oklahoma, Missouri, Wisconsin, Michigan, Arkansas provinces</t>
  </si>
  <si>
    <t>Lincoln district (New Mexico province)</t>
  </si>
  <si>
    <t>Pike district (Kentucky province), Virginia province</t>
  </si>
  <si>
    <t>Tug Fork of the Big Sandy River, Knox Creek</t>
  </si>
  <si>
    <t>Neembucu province</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</si>
  <si>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</si>
  <si>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Carazo, Chinandega, Granada, Leon, Managua, Masaya, Rivas provinces</t>
  </si>
  <si>
    <t>Fort Frances, Rainy River, Alberton, Atikokan, Chapple, Dawson, Emo, La Vallee cities (Kenora district, Ontario province), Ignace, Lake of the Woods, Nestor Falls, Sioux Narrows, Machin cities (Rainy river district, Ontario province)</t>
  </si>
  <si>
    <t>Catamarca, Chaco, Corrientes, Formosa, Jujuy, Misiones, Salta, Santiago Del Estero, Tucuman provinces</t>
  </si>
  <si>
    <t>Galapos Isl.</t>
  </si>
  <si>
    <t>Ladysmith city (Rusk district, Wisconsin province)</t>
  </si>
  <si>
    <t>Isla De La Juventud, Pinar del Rio provinces</t>
  </si>
  <si>
    <t>Oregon province</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</si>
  <si>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</si>
  <si>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Westmoreland, Clarendon, Hanover provinces</t>
  </si>
  <si>
    <t>Alberta, Ontario, Quebec</t>
  </si>
  <si>
    <t>Entre Rios, Santa Fe, Buenos Aires, Buenors Aires D.f. provinces</t>
  </si>
  <si>
    <t>St. Tammany, Terrebonne, Lafayette, Acadia, Evangeline, Rapides districts (Louisiana province)</t>
  </si>
  <si>
    <t>Oklahoma, Massachusetts, New York, Arkansas, Missouri, New Mexico, Louisiana, Texas provinces</t>
  </si>
  <si>
    <t>Chihuahua, Sonora, Baja California, Baja California Sur provinces</t>
  </si>
  <si>
    <t>Arauca province</t>
  </si>
  <si>
    <t>Aruca</t>
  </si>
  <si>
    <t>Banos de Angua Santa district (Tungurahua province)</t>
  </si>
  <si>
    <t>Libertador Gral. Bernardo O'higgins, Maule, Biobio, Los Lagos, Los Rios, Aisen del Gral. Carlos Ibanez del Campo, Magallanes y Antartica chilena, Araucania provinces</t>
  </si>
  <si>
    <t>Retalhuleu, Suchitepequez, Escuintla, San Marcos provinces</t>
  </si>
  <si>
    <t>Managua province</t>
  </si>
  <si>
    <t>Baja California, Coahuila, Tamaulipas, Veracruz, Sinaloa, Tlaxcala, Sonora, San Luis Potosi provinces</t>
  </si>
  <si>
    <t>Cochabamba, Santa Cruz provinces</t>
  </si>
  <si>
    <t>El Nino, heavy rains</t>
  </si>
  <si>
    <t>San Julian, Chutacagua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</si>
  <si>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</si>
  <si>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</si>
  <si>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Ayacucho, Huancavelica, Tacna, Moquegua, Arequipa, Puno, Cusco, Apurimac provinces</t>
  </si>
  <si>
    <t>Bois-Franc municipality (La Vallée-de-la-Gatineau district, Quebec province)</t>
  </si>
  <si>
    <t>Nicolet, Riviere des Pins</t>
  </si>
  <si>
    <t>Sonora, Sinaloa, Nayarit, Jalisco, Colima, Baja California Sur, Baja California provinces</t>
  </si>
  <si>
    <t>Queretaro, Guanajuato, Jalisco, Michoacan, Veracruz, Oaxaca, Sonora, Nuevo Leon, Durango, Puebla, Zacatecas, Baja California Sur, Chiapas, Nayarit, Mexico, Tabasco provinces</t>
  </si>
  <si>
    <t>Tropical depressions</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</si>
  <si>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</si>
  <si>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</si>
  <si>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Baja California, Chihuahua, Sonora provinces</t>
  </si>
  <si>
    <t>USGS:usp000cfzw</t>
  </si>
  <si>
    <t>Corredores, Golfito districts (Puntarenas province)</t>
  </si>
  <si>
    <t>Los Angeles district (California province)</t>
  </si>
  <si>
    <t>La Paz, Agua Escondida areas (La Paz district, Baja California Sur province), Ciudad Constitucion area (Comondu district, Baja California Sur province)</t>
  </si>
  <si>
    <t>Nogales district (Veracruz province)</t>
  </si>
  <si>
    <t>Chiquito</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</si>
  <si>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</si>
  <si>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</si>
  <si>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Guantanamo province</t>
  </si>
  <si>
    <t>Eloy Alfaro, San Lorenzo districts (Esmeraldas province)</t>
  </si>
  <si>
    <t>Cayapas, Onzoles, Santiago</t>
  </si>
  <si>
    <t>Bocas del Toro, Colon provinces</t>
  </si>
  <si>
    <t>Torrential rains</t>
  </si>
  <si>
    <t>Sixaola</t>
  </si>
  <si>
    <t>San Bernardino district (California province)</t>
  </si>
  <si>
    <t>Alabama, Illinois, Indiana, Louisiana, Michigan, Missouri, Mississippi, New York, Tennessee,Texas, Pennsylvania, Nebraska, Wisconsin provinces</t>
  </si>
  <si>
    <t>Buenos Aires, Buenos Aires D.f., Entre Rios, Santa Fe provinces</t>
  </si>
  <si>
    <t>Rio de Janeiro, Sao Paulo, Minas Gerais, Santa Catarina, Espirito Santo provinces</t>
  </si>
  <si>
    <t>Denver, Boulder districts (Colorado province), Wyoming province</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</si>
  <si>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</si>
  <si>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Chima town (Larecaja province, La Paz department)</t>
  </si>
  <si>
    <t>Hevay rains</t>
  </si>
  <si>
    <t>Santa Fe City (La Capital district, Santa Fe province), Garay, General Obligado, Las Colonias, San Cristobal, San Javier, San Justo, San Martin, Vera districts (Santa Fe province)</t>
  </si>
  <si>
    <t>Salado, arana</t>
  </si>
  <si>
    <t>Maria Trinidad Sanches province</t>
  </si>
  <si>
    <t>Nagua</t>
  </si>
  <si>
    <t>Florencia district (Caqueta province)</t>
  </si>
  <si>
    <t>Rio Hacha</t>
  </si>
  <si>
    <t>Guano, Penipe districts (Chimborazo province), Cevallos, Mocha, Quero, San Pedro de Pelileo, Tisaleo districts (Tungurahua province)</t>
  </si>
  <si>
    <t>USGS:usp000c89d</t>
  </si>
  <si>
    <t>Puerto Plata district (Puerto Plata province), San Francisco de Macoris district (Duarte province), Santiago district (Santiago province), Nagua district (Maria Trinidad Sanches province)</t>
  </si>
  <si>
    <t>Port-au-Prince district (Ouest province)</t>
  </si>
  <si>
    <t>Snohomish, Mason, Grays Harbor, Jefferson, Clallam, Skagit, Whatcom districts (Washington province)</t>
  </si>
  <si>
    <t>Skokomish, Nooksack, Skagit, Stillaguamish, Sauk, Stehekin</t>
  </si>
  <si>
    <t>West Virginia, Tennessee, Kentucky, Pennsylvania, North Carolina, Virginia provinces</t>
  </si>
  <si>
    <t>Aguadilla, Arecibo, Bayamon, Guayama, Humacao, Mayaguez, Ponce, San Juan provinces</t>
  </si>
  <si>
    <t>Chihuahua, Puebla, Nuevo Leon, Hidalgo, Sonora, Durango, San Luis Potosi, Tlaxcala provinces</t>
  </si>
  <si>
    <t>Cap Haitien district (Nord province)</t>
  </si>
  <si>
    <t>Grande Riviere du Nord</t>
  </si>
  <si>
    <t>Petén province</t>
  </si>
  <si>
    <t>La Ceiba district (Atlantida province), Yoro province</t>
  </si>
  <si>
    <t>Locomapa, Guampa, Guaymas</t>
  </si>
  <si>
    <t>Puebla province</t>
  </si>
  <si>
    <t>Manzinilla, San Antonio, Alseseca</t>
  </si>
  <si>
    <t>Barinas, Bolivar districts (Barinas province), Cardinal Quintero district (Merida province)</t>
  </si>
  <si>
    <t>Santo Domingo</t>
  </si>
  <si>
    <t>Choco, Antioquia, Cordoba provinces</t>
  </si>
  <si>
    <t>Saint Nicolas, Bombardopolis, Baie-de-Henne, Jean Rabel towns (Mole Saint Nicolas district, Nord Ouest province)</t>
  </si>
  <si>
    <t>Irregular and insufficient rainfall in 2001 and 2002</t>
  </si>
  <si>
    <t>Delaware, Kentucky, Massachusetts, Maryland, North Carolina, New Hampshire, New Jersey, New York, District of Columbia, Ohio, Pennsylvania, Rhode Island, Tennessee, Virginia, Vermont, West Virginia, Illinois, Missouri, Iowa, Nebraska, Connecticut provinces</t>
  </si>
  <si>
    <t>Badger town (Division No. 6 district, Newfoundland and Labrador province)</t>
  </si>
  <si>
    <t>Ice jams</t>
  </si>
  <si>
    <t>Exploits, Red Indian, Badger</t>
  </si>
  <si>
    <t>Melgar, Azangaro, Huancane, San Antonio de Putina, Carabaya districts (Puno province), Cusco, Madre de Dios, Apuri­mac, Arequipa, Ayacucho, Ucayali, Huancavelica, Ica provinces</t>
  </si>
  <si>
    <t>Inambari, Puquir, Colorado, Manu, Tambopata, Choco, Huancane, Huatanaya, Ramis, Vilcanota</t>
  </si>
  <si>
    <t>Manizales district (Caldas province)</t>
  </si>
  <si>
    <t>Mitchell, Worth districts (Georgia province), Jackson district (Alabama province) North Carolina, South Carolina, Tennessee provinces</t>
  </si>
  <si>
    <t>Cerro Cocol hill (San Pedro Sacate??quez district, San Marcos province)</t>
  </si>
  <si>
    <t>Colchester, Cumberland districts (Nova Scotia/Nouvelle Ecosse province)</t>
  </si>
  <si>
    <t>Heavy rains, snow melt</t>
  </si>
  <si>
    <t>Philip, Black, Little LaHave, Salmon, Corner Brook</t>
  </si>
  <si>
    <t>Palm Beach district (Florida province)</t>
  </si>
  <si>
    <t>Summerhaven area (Pima district, Arizona province), Lemmon mount (Pima district, Arizona province)</t>
  </si>
  <si>
    <t>British Columbia, Alberta, Saskatchewan, Manitoba provinces</t>
  </si>
  <si>
    <t>Country wide</t>
  </si>
  <si>
    <t>Santa Maria Chilchotla, Santa Ana Ateixtlahuaca, Eloxochitlan municipalities (Teotitlan district, Oaxaca province)</t>
  </si>
  <si>
    <t>Saint-Marc district (Artibonite province)</t>
  </si>
  <si>
    <t>Grande Riviere</t>
  </si>
  <si>
    <t>BMU</t>
  </si>
  <si>
    <t>Ontario province</t>
  </si>
  <si>
    <t>North Carolina, Maryland, Virginia, West Virginia, Delaware, Pennsylvania, New Jersey, District of Columbia provinces</t>
  </si>
  <si>
    <t>Fontana, Rancho Cucamonga areas (San Bernardino district, California province)</t>
  </si>
  <si>
    <t>Sante Fe, Cordoba, Buenos Aires provinces</t>
  </si>
  <si>
    <t>Baia Branca municipality (Mage district), Rio de Janeiro city (Rio de Janeiro district, Rio de Janeiro province), Seropedica, Sao Jao de Meriti, Duque de Caxias, Nova Iguacu districts (Rio de Janeiro province)</t>
  </si>
  <si>
    <t>Barahona, Pedernales, Baoruco provinces</t>
  </si>
  <si>
    <t>Paso Robles, Templeton, Atascadero, Cambria, Morro Bay, Oceano villages (San Luis Obispo district, California province)</t>
  </si>
  <si>
    <t>Cap Haitien district (Nord province), Port De Paix district (Nord Ouest province)</t>
  </si>
  <si>
    <t>El Dorado, Lamas, Picota, Moyobamaba, Bellavista, San Martin districts (San Martin province), Huancane, Lampa, Azangaro, San Roman districts (Puno province), Cusco, Apurimac, Collao, Madre de Dios, Huanuco provinces</t>
  </si>
  <si>
    <t>Ramis, Hauncane</t>
  </si>
  <si>
    <t>Matina district (Limon province)</t>
  </si>
  <si>
    <t>Chirripo</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</si>
  <si>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</si>
  <si>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</si>
  <si>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</si>
  <si>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Arkansas, Texas provinces</t>
  </si>
  <si>
    <t>USGS:usp000bnyr</t>
  </si>
  <si>
    <t>Colima, Armeria, Coquimatlan, Ixtlahuacan, Cuahutemoc, Villa de Alvarez, Manzanillo, Minatitlan, Tecoman districts (Colima province), Zapotitlan de Vadillo, Toliman, Tonila, Pihuamo districts (Jalisco province)</t>
  </si>
  <si>
    <t>Valparaiso province</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</si>
  <si>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</si>
  <si>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Las Piedras, Rio Grande, Naguabo, Luquillo, Humacao, Juncos, Fajardo districts (Humacao province), Penuelas, Guanica districts (Mayaguez province)</t>
  </si>
  <si>
    <t>Gurabo, Fajardo</t>
  </si>
  <si>
    <t>Grand Bois area</t>
  </si>
  <si>
    <t>USGS:usp000c4rd</t>
  </si>
  <si>
    <t>Colon district (Colon province), Panama district (Panama province)</t>
  </si>
  <si>
    <t>Copan, Cortes provinces</t>
  </si>
  <si>
    <t>Cold front</t>
  </si>
  <si>
    <t>Ulua river</t>
  </si>
  <si>
    <t>Nova Scotia, Prince Edward Island provinces</t>
  </si>
  <si>
    <t>Jacul, Upper Ibicui</t>
  </si>
  <si>
    <t>Dajabon, Duarte, Espaillat, La Vega, Maria Trinidad Sanches, Mensenor Nouel, Monte Cristi, Puerto Plata, Samana, Salcedo, Sanchez Ramirez, Santiago, Santiago Rodriguez, Valverde provinces</t>
  </si>
  <si>
    <t>Torrential rains, electric storms,</t>
  </si>
  <si>
    <t>Yaque del Norte, Yuna</t>
  </si>
  <si>
    <t>Antioquia, Atlantico, Bolivar, Boyaca, Caldas, Cesar, Cordoba, Cundinamarca, Choco, Guajira, Huila, Magdalena, Norte de Santander, Quindio, Risaralda, Santander, Sucre, Tolima, Valle del Cauca provinces</t>
  </si>
  <si>
    <t>Constant rains</t>
  </si>
  <si>
    <t>Magdalena, Cauca, Atrato</t>
  </si>
  <si>
    <t>Pennsylvania, Connecticut, New York, New Jersey, Vermont, Virginia, Massachusetts, Rhode Island provinces</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</si>
  <si>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</si>
  <si>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</si>
  <si>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</si>
  <si>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Puerto Armuelles municipality (Baru district, Chiriqui province)</t>
  </si>
  <si>
    <t>Tennessee, Alabama, Georgia provinces</t>
  </si>
  <si>
    <t>Paysandu, Rivera, Salto, Treinta y Tres provinces</t>
  </si>
  <si>
    <t>Zulia province</t>
  </si>
  <si>
    <t>Guachi, Capazon</t>
  </si>
  <si>
    <t>Mason, Tazewell, Logan, Will, De Witt districts (Illinois province)</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</si>
  <si>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</si>
  <si>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GLIDE:ST-2004-000171</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</si>
  <si>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</si>
  <si>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Winnipeg (Division No. 11 district, Manitoba province) Selkirk, St Clements, Breezy Point (Division No.13 district, Manitoba province)</t>
  </si>
  <si>
    <t>Rain and snowmelt</t>
  </si>
  <si>
    <t>Red river</t>
  </si>
  <si>
    <t>Antioquia, Boyaca, Bolivar, Cauca, Cordoba, Choco, Cundimarca, Guajira, Meta, Norte de Santander, Tolima, Valle del Cauca, Arauca, Casanare, Atlantico, Caldas, Caqueta, Guaviare, Madgalena, Narino, Putumayo, Quindio, Risaralda, Vichada provinces</t>
  </si>
  <si>
    <t>GLIDE:FL-2004-000028</t>
  </si>
  <si>
    <t>Jimani district (Independencia province), Baoruco, Barahona, Elias Pina, Duarte, Sanchez Ramirez provinces</t>
  </si>
  <si>
    <t>Soleil, Yuna</t>
  </si>
  <si>
    <t>Rio Blanco district (Matagalpa province), Puerto Cabezaz district (Atlantico Norte province) ; Atlantico Norte, Atlantico Sur provinces</t>
  </si>
  <si>
    <t>Tropical waves, heavy rains</t>
  </si>
  <si>
    <t>Prinzapolka</t>
  </si>
  <si>
    <t>Chiloe, Llanquihue districts (Los Lagos province)</t>
  </si>
  <si>
    <t>Rahue, Calle Calle, San Pedro rivers</t>
  </si>
  <si>
    <t>Mar del Plata city (General Pueyrredon district, Buenos Aires province)</t>
  </si>
  <si>
    <t>Santa Catarina, Parana provinces</t>
  </si>
  <si>
    <t>Milam, Guadalupe, Bexar districts (Texas province), Eagle district (Colorado province), Mississippi province, Richland district (South Carolina province), Franklinton city (Washington district, Louisiana province), Bufford city (Gwinnett district, Georgia province)</t>
  </si>
  <si>
    <t>Carson City district (Nevada province), Los Angeles district (California province)</t>
  </si>
  <si>
    <t>USGS:usp000d2cd</t>
  </si>
  <si>
    <t>Sotara district (Cauca province)</t>
  </si>
  <si>
    <t>Shasta Lake area (Shasta districts, California province)</t>
  </si>
  <si>
    <t>Abacos, Andros, Berry Islands, Bimini, Eleuthera, Grand Bahama, New Providence islands (Administrative unit not available)</t>
  </si>
  <si>
    <t>GLIDE:TC-2004-000089</t>
  </si>
  <si>
    <t>Pinar del Rio, La Habana, Ciudad De La Habana, Matanzas, Villa Clara, Cienfuegos, Sancti Spiritus, Isla de la Juventud, Ciego de Avila, Santiago de Cuba provinces</t>
  </si>
  <si>
    <t>Name Unknown, St. Andrew's, St. George's, St. John's, St. Mark's, St. Patrick's provinces</t>
  </si>
  <si>
    <t>Clarendon, Westmoreland, Saint Catherine, Saint Elizabeth, Saint Thomas, Saint Ann, Trelawny, Saint Andrew And Kingston provinces</t>
  </si>
  <si>
    <t>LCA</t>
  </si>
  <si>
    <t>Area Under National Administra, Region Number 1, Region Number 2, Region Number 3, Region Number 4, Region Number 5, Region Number 6, Region Number 7, Region Number 8 provinces</t>
  </si>
  <si>
    <t>TTO</t>
  </si>
  <si>
    <t>Caparo, Tumpuna villages (Couva/Tabaquite/Talparo province), Caroni village (Tunapuna/Piarco province)</t>
  </si>
  <si>
    <t>Alabama, Louisiana, Mississippi, Florida, Pennsylvania, Maryland, New Jersey, Ohio, North Carolina, West Virginia, Georgia, Tennessee provinces</t>
  </si>
  <si>
    <t>GLIDE:TC-2004-000098</t>
  </si>
  <si>
    <t>Abaco, Andros, Berry, Bimini, Eleuthera, Exuma, Grand Bahama, New Providence Islands (Administrative unit not available)</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</si>
  <si>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</si>
  <si>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</si>
  <si>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GLIDE:FL-2004-000115</t>
  </si>
  <si>
    <t>Panama district (Panama province)</t>
  </si>
  <si>
    <t>GLIDE:EQ-2004-000126|USGS:usp000d8w3</t>
  </si>
  <si>
    <t>DMA</t>
  </si>
  <si>
    <t>St. Andrew, St. John, St. Joseph, St. Peter provinces</t>
  </si>
  <si>
    <t>GLP</t>
  </si>
  <si>
    <t>Basse-Terre, Terre-de-Bas, Saintes Isl.</t>
  </si>
  <si>
    <t>GLIDE:MS-2004-000124</t>
  </si>
  <si>
    <t>Delaford city (east Tobago)</t>
  </si>
  <si>
    <t>Cajamarca province</t>
  </si>
  <si>
    <t>Connecticut, Delaware, Maryland, Maine, New Hampshire, New Jersey, New York, Pennsylvania, Rhode Island, Vermont provinces</t>
  </si>
  <si>
    <t>Beni, Chuquisaca, Cochabamba, Santa Cruz, Tarija provinces</t>
  </si>
  <si>
    <t>Rio Grande Do Sul, Paraiba, Ceara, Piaui, Sergipe, Alagoas, Bahia, Rio Grande do Norte, Pernambuco provinces</t>
  </si>
  <si>
    <t>Lack of rain</t>
  </si>
  <si>
    <t>Nova Scotia, New Brunswick, Prince Edward Island provinces</t>
  </si>
  <si>
    <t>Machu Picchu (Urubamba district, Cuzco province)</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</si>
  <si>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</si>
  <si>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Fonds Verrettes village (Croix-Des-Bouquets district, Ouest province), Bodarie, Grand Gosier, Mapou villages (Belle Anse district, Sud Est province), Jacmel district (Sud Est province)</t>
  </si>
  <si>
    <t>San Juan province</t>
  </si>
  <si>
    <t>Puerto Cabezas district (Atlantico Norte province)</t>
  </si>
  <si>
    <t>Rio Negro, Chubut, Neuquen provinces</t>
  </si>
  <si>
    <t>GLIDE:TC-2004-000073</t>
  </si>
  <si>
    <t>La Habana, Pinar del Rio, Cienfuegos, Ciudad De La Habana, Isla De La Juventud provinces</t>
  </si>
  <si>
    <t>Grand Cayman province</t>
  </si>
  <si>
    <t>Saint Elizabeth province</t>
  </si>
  <si>
    <t>Bay, Calhoun, Escambia, Franklin, Gadsden, Gulf, Holmes, Jackson, Jefferson, Leon, Liberty, Madison, Okaloosa, Santa Rosa, Taylor, Wakulla, Walton, Washington districts (Florida province), South Carolina, North Carolina provinces</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</si>
  <si>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</si>
  <si>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TCA</t>
  </si>
  <si>
    <t>Grand Turk, Providenciales and West Caicos provinces</t>
  </si>
  <si>
    <t>VIR</t>
  </si>
  <si>
    <t>Saint Thomas, Saint John, Saint Croix provinces</t>
  </si>
  <si>
    <t>Guacimo, Limon, Matina, Pococi, Siquirres, Talamanca districts (Limon province)</t>
  </si>
  <si>
    <t>Manoa Valley area (Honolulu district, Hawaii province)</t>
  </si>
  <si>
    <t>GLIDE:EQ-2004-000125|USGS:usp000d8gx</t>
  </si>
  <si>
    <t>Litoral de San Juan, Litoral de San Juan (is.), Bajo Baudo (is.), Bajo Baudo (pizzaro) districts (Choco province), Cali, Buenaventua, Buenaventura (is.), El Cerrito, Restrepo, Zarzal, Bugalagrande, Calima (darien), Vijes districts (Valle del Cauca province)</t>
  </si>
  <si>
    <t>GLIDE:EQ-2004-000129|USGS:usp000d8tf</t>
  </si>
  <si>
    <t>San Jose, Puntarenas provinces</t>
  </si>
  <si>
    <t>Pennsylvania, New Jersey provinces</t>
  </si>
  <si>
    <t>Carabobo, Falcon, Miranda provinces</t>
  </si>
  <si>
    <t>Holguin, Las Tunas, Camaguey, La Habane provinces</t>
  </si>
  <si>
    <t>North Carolina, South Carolina, Iowa, Missouri, Ohio, Maryland, Nebraska, New York, Virginia, Minnesota, Indiana, Illinois, Pennsylvania, Oklahoma, Georgia, Kansas, New Jersey, West Virginia, Maine provinces</t>
  </si>
  <si>
    <t>Arkansas, Louisiana, North Carolina, Oklahoma, South Carolina, Texas, Virginia, Kansas, Missouri, Mississippi provinces</t>
  </si>
  <si>
    <t>Torres district (Rio Grande do Sul province), Ararangua district (Santa Catarina province)</t>
  </si>
  <si>
    <t>Bagua district (Amazonas province), Sihuas district (Ancash province), San Martin province</t>
  </si>
  <si>
    <t>Brujopata, Grande</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</si>
  <si>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</si>
  <si>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</si>
  <si>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</si>
  <si>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Wayne, Oakland, Macomb, Livingston districts (Michigan province)</t>
  </si>
  <si>
    <t>Cozumel district (Quintana Roo province)</t>
  </si>
  <si>
    <t>Alagoa Grande city (Alagoa Grande district, Paraíba province)</t>
  </si>
  <si>
    <t>Break/release of dam/levy</t>
  </si>
  <si>
    <t>Mamanguate</t>
  </si>
  <si>
    <t>Ancash, Puno, Cusco, Arequipa, Moquegua, Tacna, Apurimac, Ayacucho, Huancavelica, Huanuco, Junin, Lima, Madre de Dios, Pasco, Ucayali provinces</t>
  </si>
  <si>
    <t>Ontario, Alberta, Quebec provinces</t>
  </si>
  <si>
    <t>Aragua, Distrito Capital, Miranda, Vargas provinces</t>
  </si>
  <si>
    <t>Santo Domingo, Maria Trinidad Sanches, Espaillat, Samana, Duarte, Monte Cristi, San Pedro de Macoris, El Seibo, La Romana, Azua, Hato Mayor, La Altagracia provinces</t>
  </si>
  <si>
    <t>Caroline district (Virginia province)</t>
  </si>
  <si>
    <t>Darien, Embera provinces</t>
  </si>
  <si>
    <t>Intense rainfall</t>
  </si>
  <si>
    <t>Chucunaque, Membrillo, Tuqueza, Chico, Tupiza, Urganti</t>
  </si>
  <si>
    <t>Arkansas, Illinois, Iowa, Indiana, Missouri, Oklahoma provinces</t>
  </si>
  <si>
    <t>Villa de Fuentes area (Piedras Negras district, Coahuila province), San Juan de Sabinas, Zaragoza districts (Coahuila province)</t>
  </si>
  <si>
    <t>Escondido</t>
  </si>
  <si>
    <t>Antigo area (Langlade district, Wisconsin province), Pembina, Walsh districts (North Dakota province)</t>
  </si>
  <si>
    <t>Melting sow, heavy rain</t>
  </si>
  <si>
    <t>Los Angeles, Riverside, San Diego, Santa Barbara districts (California province)</t>
  </si>
  <si>
    <t>Montevideo province</t>
  </si>
  <si>
    <t>Artibonite, Centre, Sud, Nord Ouest provinces</t>
  </si>
  <si>
    <t>GLIDE:TC-2004-000086</t>
  </si>
  <si>
    <t>Richmond, Lynchburg, Chesterfield districts (Virginia province), South Carolina, North Carolina provinces</t>
  </si>
  <si>
    <t>Martin, Palm Beach districts (Florida province), North Carolina, South Carolina, Ohio provinces</t>
  </si>
  <si>
    <t>Cap-Haitien district (Nord province), Cayes district (Sud province)</t>
  </si>
  <si>
    <t>Panama, Colon provinces</t>
  </si>
  <si>
    <t>Felipillo, Cabra, Chepo rivers</t>
  </si>
  <si>
    <t>Chaco province</t>
  </si>
  <si>
    <t>GLIDE:TC-2005-000163</t>
  </si>
  <si>
    <t>Louisiana, Texas, Mississippi provinces</t>
  </si>
  <si>
    <t>Vermillion, Calcasieu, Mermentau, Amite, Sabine, Neches</t>
  </si>
  <si>
    <t>GLIDE:FL-2005-000001</t>
  </si>
  <si>
    <t>Changuinola, Bocas del Toro, Chiriqui Grande districts (Bocas del Toro province), Veraguas, Chiriqui, Ngobe Bugle provinces</t>
  </si>
  <si>
    <t>Cricamola, Changinola, Sixaola</t>
  </si>
  <si>
    <t>Amazonas, Anzoategui, Apure, Aragua, Barinas, Bolivar, Carabobo, Cojedes, Delta Amacuro, Dependencias Federales, Falcon, Guarico, Lara, Merida, Miranda, Monagas, Nueva Esparta, Portuguesa, Sucre, Tachira, Trujillo, Yaracuy, Zulia, Vargas, Distrito Capital provinces</t>
  </si>
  <si>
    <t>Aracatuba, Jales, Glicerio, Sao Jose do Rio Preto, Rio Claro districts (Sao Paulo province), Unai district (Minas Gerais province)</t>
  </si>
  <si>
    <t>Corumbatai</t>
  </si>
  <si>
    <t>GLIDE:FL-2005-000020</t>
  </si>
  <si>
    <t>Santander, Tolima, Huila, Norte de Santander, Quindio, Choco, Caldas, Boyaca, Meta, Cundinamarca, Antioquia, Cordoba provinces</t>
  </si>
  <si>
    <t>Lebrija, Oro, Frio, Tachira</t>
  </si>
  <si>
    <t>Boyaca, Antioquia, Santander, Huila, Risaralda, Tolima provinces</t>
  </si>
  <si>
    <t>Espaillat, Maria Trinidad Sanches, Puerto Plata, Sanchez Ramirez provinces</t>
  </si>
  <si>
    <t>District of Ocotlan, District Del Centro districts (Oaxaca province)</t>
  </si>
  <si>
    <t>Idaho province</t>
  </si>
  <si>
    <t>GLIDE:EQ-2005-000088|USGS:usp000dsw1</t>
  </si>
  <si>
    <t>Iquique, Alto Hospicio towns (Iquique district, Tarapaca province), Pozo Almonte, Pica, Camina, Huara, Colchane towns (Tamarugal district, Tarapaca province)</t>
  </si>
  <si>
    <t>Guatemala city (Guatemala district, Guatemala province)</t>
  </si>
  <si>
    <t>GLIDE:TC-2005-000115</t>
  </si>
  <si>
    <t>Grenada, Carriacou, and Petite Martinique</t>
  </si>
  <si>
    <t>Santiago district (Metropolitana province)</t>
  </si>
  <si>
    <t>Beni, Pando provinces</t>
  </si>
  <si>
    <t>Escuintla, Jutiapa, Santa Rosa, Suchitepéquez, San Marcos, Quezaltenango, Huehuetenango, Solola, Totonicapan, Retalhuleu, Quiché, Sacatepequez, Chimaltenango provinces</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</si>
  <si>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</si>
  <si>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</si>
  <si>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GLIDE:TC-2005-000183</t>
  </si>
  <si>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</si>
  <si>
    <t>Chiapas, Oaxaca provinces</t>
  </si>
  <si>
    <t>Maine, New Hampshire, Vermont, Massachusetts, Rhode Island, Connecticut, New York, New Jersey, Pennsylvania, Idaho, Michigan, Minnesota, Montana, North Dakota, Oregon, South Dakota, Washington, Wisconsin, Wyoming provinces</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</si>
  <si>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</si>
  <si>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</si>
  <si>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Consacra, Pasto, Sandona, Tangua, Yacuanquer districts (Nariño province)</t>
  </si>
  <si>
    <t>Côtes-de-Fer village (Bainet district, Sud Est province)</t>
  </si>
  <si>
    <t>Manaquiri, Atalaia Do Norte, Anori, Caapiranga districts (Amazonas province)</t>
  </si>
  <si>
    <t>Criciuma district (Santa Catarina province)</t>
  </si>
  <si>
    <t>GLIDE:FL-2005-000002</t>
  </si>
  <si>
    <t>GUY</t>
  </si>
  <si>
    <t>Essequibo Islands/west Demerara (region N°3), Demerara Mahaica (region N°4), Mahaica Berbice (region N°5) provinces</t>
  </si>
  <si>
    <t>Demerara River, Mahaica Creek</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</si>
  <si>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</si>
  <si>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</si>
  <si>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</si>
  <si>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Antuco city (Biobio district, Biobio province)</t>
  </si>
  <si>
    <t>Recife, Vitoria de Santo Antao, Jaboatao dos Guararapes districts (Pernambuco province)</t>
  </si>
  <si>
    <t>GLIDE:FL-2005-000103</t>
  </si>
  <si>
    <t>Comesagua district (La Libertad province), Cuisnahuat district (Sonsonate province), San Pedro Puxtla, Apaneca districts (Ahuachapan province), San Salvador district (San Salvador province)</t>
  </si>
  <si>
    <t>GLIDE:TC-2005-000112</t>
  </si>
  <si>
    <t>Cienfuegos, La Habana, Ciudad de la Habana, Matanzas, Sancti Spiritus, Ciego de Avila, Camaguey, Santiago de Cuba, Granma, Las Tunas, Guatanamo provinces</t>
  </si>
  <si>
    <t>Portland, Saint Andrew And Kingston, Saint Mary, Saint Thomas provinces</t>
  </si>
  <si>
    <t>Québec province</t>
  </si>
  <si>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</si>
  <si>
    <t>GLIDE:EQ-2005-000167|USGS:usp000e09h</t>
  </si>
  <si>
    <t>Moyobamba, Lamas districts (San Martin province)</t>
  </si>
  <si>
    <t>Chiapas, Oaxaca, Veracruz, Puebla, Hidalgo, Tabasco provinces</t>
  </si>
  <si>
    <t>San Sebastian De Yali district (Jinotega province), Leon, Chinandega, Granada provinces</t>
  </si>
  <si>
    <t>Juayua, Nahuizalco districts (Sonsonate province), Santa Ana district (Santa Ana province), San Francisco Menendez, Ahuachapan districts (Ahuachapan province)</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</si>
  <si>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</si>
  <si>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</si>
  <si>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Belize, Cayo, Corozal, Orange Walk, Stann Creek, Toledo provinces</t>
  </si>
  <si>
    <t>Puerto Plata province</t>
  </si>
  <si>
    <t>Arizona, Nevada, Oklahoma, Utah, Missouri, Kentucky, Ohio, Mississippi provinces</t>
  </si>
  <si>
    <t>Guacimo, Limon, Matina, Pococi, Siquierres, Talamanca (Limon province), Sarapiqui (Heredia province), Paraiso, Alvarado, Turrialba (Cartago province), San Ramon (Alajuela province)</t>
  </si>
  <si>
    <t>New York, Connecticut, Wisconsin, Ohio, Maryland, Massachusetts, Iowa provinces</t>
  </si>
  <si>
    <t>Rankin district (Mississippi province)</t>
  </si>
  <si>
    <t>Aragua, Carabobo, Distrito Capital, Falcon, Merida, Miranda, Tachira, Vargas, Yaracuy, Zulia provinces</t>
  </si>
  <si>
    <t>Guaire, Carmen de Uria, Caugaguita, Upire, Tocuyo, Aroa</t>
  </si>
  <si>
    <t>USGS:usp000dpwb</t>
  </si>
  <si>
    <t>Apaneca district (Ahuachapan province), Juayua district (Sonsonate province)</t>
  </si>
  <si>
    <t>Sud, Ouest, Nippes, Sud Est, Grande Anse provinces</t>
  </si>
  <si>
    <t>Florida, Georgia provinces</t>
  </si>
  <si>
    <t>Trelawny, Saint Catherine, Saint James, Manchester, Saint Elizabeth provinces</t>
  </si>
  <si>
    <t>Playa del Carmen, Cozumel areas (Cozumel district, Quintana Roo province), Merida, Tizimin districts (Yucatan province)</t>
  </si>
  <si>
    <t>Cannau, Union, Petite Martinique, Carriacou islands (Grenadines province)</t>
  </si>
  <si>
    <t>Biobio , Valparaiso, Metropolitana, Libertador Gral. Bernardo O'Higgins, Maule provinces</t>
  </si>
  <si>
    <t>Dry wetaher and heat wave</t>
  </si>
  <si>
    <t>Wisconsin province</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</si>
  <si>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</si>
  <si>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</si>
  <si>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Dessalines, Saint-Marc districts (Artibonite province)</t>
  </si>
  <si>
    <t>Omoa district (Cortes province)</t>
  </si>
  <si>
    <t>Sud, Sud Est provinces</t>
  </si>
  <si>
    <t>Saint Thomas, Saint Catherine, Trelawny, Saint Andrew And Kingston provinces</t>
  </si>
  <si>
    <t>Benito Juarez, Isla Mujeres, Cozumel districts (Quintana Roo province)</t>
  </si>
  <si>
    <t>Stephenville &amp; Kippens towns (Division No. 4 district, Newfoundland and Labrador province), Reidville town (Division No. 5 district, Newfoundland and Labrador province)</t>
  </si>
  <si>
    <t>Blanche Brook</t>
  </si>
  <si>
    <t>GLIDE:TC-2005-000185</t>
  </si>
  <si>
    <t>San José de Bocay village (El Cua district, Jinotega province), Wiwili district (Jinotega province), Waspam district (Atlantio Norte province)</t>
  </si>
  <si>
    <t>Texas, Oklahoma provinces</t>
  </si>
  <si>
    <t>GLIDE:DR-2005-000177</t>
  </si>
  <si>
    <t>Presidente Hayes, Boqueron, Alto Paraguay provinces</t>
  </si>
  <si>
    <t>La Conchita area (Ventura district, California province), Malibu area (Los Angeles district, California province), Sacramento district (California province), Arizona, Ohio provinces</t>
  </si>
  <si>
    <t>Heavy rain, heavy snow</t>
  </si>
  <si>
    <t>Venturea, Ohio rivers</t>
  </si>
  <si>
    <t>San Juan de Los Morros area (Roscio district, Guarico province), Petare area (Sucre district, Miranda province), Distrito Capital, Cojedes provinces</t>
  </si>
  <si>
    <t>GLIDE:MS-2005-000092</t>
  </si>
  <si>
    <t>El Calvario hill (Senahu district, Alta Verapaz province)</t>
  </si>
  <si>
    <t>Arequipa district (Arequipa province), Ilo, General Sanchez Cerro, Mariscal Nieto districts (Moquega province), Candarave, Jorge Basadre, Tacna, Tarata districts (Tacna province) ; Punta de Bombon (Islay district, Arequipa province)</t>
  </si>
  <si>
    <t>Tegucigalpa area (Distrito Central district, Francisco Morazan province)</t>
  </si>
  <si>
    <t>Veracruz, Michoacan, Oaxaca, Puebla provinces</t>
  </si>
  <si>
    <t>Aguililla, Chihuapan</t>
  </si>
  <si>
    <t>Arima, Chaguanas, Couva/Tabaquite/Talparo, Diego Martin, Penal/Debe, Point Fortin, Port Of Spain, Princes Town, Rio Claro/Mayaro, San Fernando, San Juan/Laventille, Sangre Grande, Siparia, Tobago, Tunapuna/Piarco provinces</t>
  </si>
  <si>
    <t>Canelones, Montevideo, San José, Colonia, Maldonado provinces</t>
  </si>
  <si>
    <t>GLIDE:TC-2005-000144</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</si>
  <si>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</si>
  <si>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Naranjal, Chinampa De Gorostiza districts (Veracruz province)</t>
  </si>
  <si>
    <t>Quepos (Aguirre district, Puntarenas province), Guanacaste province.</t>
  </si>
  <si>
    <t>San Pedro Sula, Potrerillos, San Manuel districts (Cortes province)</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</si>
  <si>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</si>
  <si>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Santiago de Cuba, Granma, Guantanamo, Matanzas, Sancti Spiritus, Villa Clara, Cienfuegos, Havana, Ciudad Havana, Pinar del Rio, Isla De La Juventud provinces</t>
  </si>
  <si>
    <t>Florida Keys, Naples areas (Collier district, Florida province)</t>
  </si>
  <si>
    <t>Gonave district (Ouest province), Sud province</t>
  </si>
  <si>
    <t>Providencia Isl. (Santa Catalina, Santa Catarina districts, San Andres y Providencia province), San Andres Isl. (San Andres y Providencia district, San Andres y Providencia province)</t>
  </si>
  <si>
    <t>Gracias A Dios, Atlantida, Colon provinces</t>
  </si>
  <si>
    <t>GLIDE:TC-2005-000195</t>
  </si>
  <si>
    <t>Atlantida, Colon, Cortes, Gracias A Dios, Yoro provinces</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</si>
  <si>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</si>
  <si>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</si>
  <si>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GLIDE:TC-2005-000073</t>
  </si>
  <si>
    <t>Bohechio, San Juan de la Maguana districts (San Juan province), San José de Las Matas district (Santiago province), San Ignacio de Sabaneta district (Santiago Rodriguez province)</t>
  </si>
  <si>
    <t>GLIDE:FL-2006-000009</t>
  </si>
  <si>
    <t>Barima Waini (region N°1), Pomeroon/supenaam (region N°2), Essequibo Islands/west Demerara (region N°3), Mahaica Berbice (region N°5), East Berbice/corentyne (region N°6) provinces</t>
  </si>
  <si>
    <t>Mahaica, Pomeroon, Demerara, Mahiacony, Abary</t>
  </si>
  <si>
    <t>Tumbes, Huancavelica, Arequipa, Cusco, Puno provinces</t>
  </si>
  <si>
    <t>Torrential rains, electrical storms, thunderstorms</t>
  </si>
  <si>
    <t>GLIDE:VO-2006-000176</t>
  </si>
  <si>
    <t>Pasto, La Florida districts (Nariño province)</t>
  </si>
  <si>
    <t>GLIDE:ST-2006-000073</t>
  </si>
  <si>
    <t>Tennessee, Illinois, Arkansas, Indiana, Oklahoma, Missouri, Kentucky, Iowa provinces</t>
  </si>
  <si>
    <t>Salta, Jujuy, Formosa provinces</t>
  </si>
  <si>
    <t>Aklavik city (Region 1 district, Northwest Territories province)</t>
  </si>
  <si>
    <t>Mackenzie</t>
  </si>
  <si>
    <t>Nueva Paz district (La Habana province)</t>
  </si>
  <si>
    <t>GLIDE:VO-2006-000089</t>
  </si>
  <si>
    <t>Pelileo, Patate, Banos, Cevallos, Tisaleo, Mocha, Quero districts (Tungurahua province), Guano, Penipe districts (Chimborazo province) ; Bolivar, Pastaza, Los Rios, Guayas, Manabi provinces</t>
  </si>
  <si>
    <t>Juarez district (Chihuahua province)</t>
  </si>
  <si>
    <t>El Paso district (Texas province)</t>
  </si>
  <si>
    <t>Rio Grande</t>
  </si>
  <si>
    <t>Sud, Grande Anse, Ouest, Nippes, Artibonite provinces</t>
  </si>
  <si>
    <t>GLIDE:TC-2006-000138</t>
  </si>
  <si>
    <t>Culiacan, Elota, Mazatlan, Escuinapa, El Rosario, San Ignacio, Salvador Alvarado, Concordia, Cosala districts (Sinaloa province)</t>
  </si>
  <si>
    <t>Ventura district (California province)</t>
  </si>
  <si>
    <t>North Carolina, Alabama, Arizona, Arkansas, Louisiana, Maryland, Mississippi, Pennsylvania, South Dakota, Texas provinces</t>
  </si>
  <si>
    <t>La Reforma area (Culiacan district, Sinaloa province)</t>
  </si>
  <si>
    <t>Saint Ann, Saint Mary, Portland provinces</t>
  </si>
  <si>
    <t>GLIDE:EQ-2006-000149|USGS:usp000ev94</t>
  </si>
  <si>
    <t>Hawai province</t>
  </si>
  <si>
    <t>Santa Tecla district (La Libertad province)</t>
  </si>
  <si>
    <t>Bad weather associated with tropical storm Chris</t>
  </si>
  <si>
    <t>Kansas province</t>
  </si>
  <si>
    <t>City Kingston, Sydenham, St Catherine Parish, Clarendon, St THomas</t>
  </si>
  <si>
    <t>Tumbes, Piura, Ica, Arequipa provinces</t>
  </si>
  <si>
    <t>El Salao (El Torno municipality, Andrés Ibanez distict, Santa Cruz provincia)</t>
  </si>
  <si>
    <t>GLIDE:FL-2006-000017</t>
  </si>
  <si>
    <t>Rio de Janeiro district (Rio de Janeiro province)</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</si>
  <si>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</si>
  <si>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</si>
  <si>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</si>
  <si>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</si>
  <si>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</si>
  <si>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</si>
  <si>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GLIDE:ST-2006-000228</t>
  </si>
  <si>
    <t>Missouri, Arkansas, Illinois, Indiana, Kansas, Oklahoma provinces</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</si>
  <si>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</si>
  <si>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</si>
  <si>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Maraba, Porto de Moz, Capitao Poco, Almeirim, Anajas districts (Para province)</t>
  </si>
  <si>
    <t>Amazon tributaries: Tocantins, Xingu, Tapajos</t>
  </si>
  <si>
    <t>Tarrant, Bexar districts (Texas province)</t>
  </si>
  <si>
    <t>Grand Forks city (Kootenay Boundary district, British Columbia province), Nelson city (Central Kootenay district, British Columbia province), Penticton city (Okanagan-Similkameen district, British Columbia province)</t>
  </si>
  <si>
    <t>Rains and snowmelt</t>
  </si>
  <si>
    <t>Kettle, Ellis Creek, Slocan, Granby</t>
  </si>
  <si>
    <t>Maryland, Pennsylvania, New York, Delaware, Virginia, New Jersey provinces</t>
  </si>
  <si>
    <t>Heavy rain, thunderstoms</t>
  </si>
  <si>
    <t>New York province</t>
  </si>
  <si>
    <t>Riverside, Palm Springs cities (Riverside district, California province), San Diego district (California province)</t>
  </si>
  <si>
    <t>Washington, Oregon provinces</t>
  </si>
  <si>
    <t>Cowlitz, Skokomish, Skykomish, Tolt, Puyallup, Skagit, Snohomish, Pilchuck, Carbon, Snoqualmie, South Fork of the Stillaguamish, Nisqually, White, Wenatchee rivers (Washington); White, Columbia, Nehalem, Wilson rivers (Oregon)</t>
  </si>
  <si>
    <t>Capira, Chame, Chiman, San Carlos, San Miguelito, Arraiján, Chepo, La Chorrera, Panama, Kuna de Madungandi districts (Panama province), Chiriqui province</t>
  </si>
  <si>
    <t>Chiriqui Viejo, Chico rivers</t>
  </si>
  <si>
    <t>Tachira province</t>
  </si>
  <si>
    <t>Baie Verte, Middle Arm, Smith's Harbour, Burlington cities (Division No.8 district, Newfoundland and Labrador province)</t>
  </si>
  <si>
    <t>GLIDE:VO-2006-000063</t>
  </si>
  <si>
    <t>Cusua village ; Tungurahua, Chimborazo provinces</t>
  </si>
  <si>
    <t>Cortes, Intibuca provinces</t>
  </si>
  <si>
    <t>Ulua, Motagua</t>
  </si>
  <si>
    <t>California province</t>
  </si>
  <si>
    <t>La Florida, Ancuya, Sandona, Consaca districts (Nariño province)</t>
  </si>
  <si>
    <t>South Carolina, North Carolina, Virginia provinces</t>
  </si>
  <si>
    <t>GLIDE:TC-2006-000132</t>
  </si>
  <si>
    <t>Comondu, La Paz districts (Baja California Sur province)</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</si>
  <si>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</si>
  <si>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</si>
  <si>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Erie, Niagara, Genesee, Orleans districts (New York province)</t>
  </si>
  <si>
    <t>GLIDE:FL-2006-000174</t>
  </si>
  <si>
    <t>Capira, Chepo, La Chorrera, Kuna de Madungandi districts (Panama province), Kuna Yala district (Kuna Yala province), Aguadulce, Anton, La Pintada, Nata, Ola, Penonome districts (Cocle province), Chagres, Donoso districts (Colon province)</t>
  </si>
  <si>
    <t>Grande Anse, Nord Ouest, Nippes provinces</t>
  </si>
  <si>
    <t>Colorado provinces</t>
  </si>
  <si>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</si>
  <si>
    <t>Asuncion, Central, Alto Parana, Itapua, Neembucu, Concepcion, Amambay, Cordillera, Guaira, Paraguari</t>
  </si>
  <si>
    <t>Illinois, Indiana, Kentucky, Missouri, New York, Ohio, Pennsylvania, Tennessee provinces</t>
  </si>
  <si>
    <t>Oregon, Washington provinces</t>
  </si>
  <si>
    <t>Texas</t>
  </si>
  <si>
    <t>Sumner, Warren districts (Tennessee province), Alabama, Georgia, Indiana, Kansas, Kentucky, Ohio provinces</t>
  </si>
  <si>
    <t>Amador, Calaveras, Fresno, Merced, San Joaquin, San Mateo, Stanislau districts (California province)</t>
  </si>
  <si>
    <t>Merced, Consumes, San Joaquin, Sacramento, Navarro</t>
  </si>
  <si>
    <t>Kauai district (Hawaii province)</t>
  </si>
  <si>
    <t>Kaloko</t>
  </si>
  <si>
    <t>Red Earth First Nation, Porcupine Plain cities (Division No.14 district, Saskatchewan province), Fishing Lake (Division No.10 district, Saskatchewan province)</t>
  </si>
  <si>
    <t>Carrot, Red Deer, Shand Creek, Saskatchewan</t>
  </si>
  <si>
    <t>Ubinas, Matalaque, Chojata, Lloque, Yunga, Ichuna, Coalaque, La Capilla, Omate, Puquina, Quinistaquillas municipalities (General Sanchez Cerro districts, Moquegua province), San Juan de Taracuni municipality (Arequipa district ,Arequipa province)</t>
  </si>
  <si>
    <t>Santa Maria Chilchotla municipality (Teotitlan district, Oaxaca state)</t>
  </si>
  <si>
    <t>Fort Albany city (Cochrane district, Ontario province)</t>
  </si>
  <si>
    <t>GLIDE:FL-2006-000057</t>
  </si>
  <si>
    <t>SUR</t>
  </si>
  <si>
    <t>Tapanahony, Boven Suriname, Saramacca, Coppename, Kabalebo, Coeroeni districts (Sipaliwini province), Sarakreek districts (Brokopondo province)</t>
  </si>
  <si>
    <t>Upper-Suriname, Tapanahoni, Lawa, Marowijne</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</si>
  <si>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</si>
  <si>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</si>
  <si>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Camaguey, Santiago De Cuba, Granma, Guantanamo provinces</t>
  </si>
  <si>
    <t>Huron, Erie, Crawford, Lucas, Sandusky districts (Ohio province)</t>
  </si>
  <si>
    <t>Severe storms</t>
  </si>
  <si>
    <t>Huron, Cuyahoga</t>
  </si>
  <si>
    <t>GLIDE:FL-2006-000086</t>
  </si>
  <si>
    <t>Teno</t>
  </si>
  <si>
    <t>GLIDE:HT-2006-000110</t>
  </si>
  <si>
    <t>Modesto city (Stanislaus district, California province)</t>
  </si>
  <si>
    <t>Lake district (Ohio province)</t>
  </si>
  <si>
    <t>Grand, Chagrin rivers</t>
  </si>
  <si>
    <t>Chalchihuitillo village (Mezquital district, Durango province)</t>
  </si>
  <si>
    <t>Little Sustina, Kahiltna, Sheridan, Eyak, Lake Creek, Campbell Creek</t>
  </si>
  <si>
    <t>Prince William Sound area (Valdez-Cordova district, Alaska province)</t>
  </si>
  <si>
    <t>Copper, Lowe</t>
  </si>
  <si>
    <t>GLIDE:EQ-2006-000196|USGS:usp000f0mk</t>
  </si>
  <si>
    <t>San Lorenzo, Atiquizaya, Ahuachapan, Turin, El Refugio districts (Ahuachapan province)</t>
  </si>
  <si>
    <t>Daytona beach (Volusia district, Florida province)</t>
  </si>
  <si>
    <t>Miria Ubgidandu island (Kuna Yala district, Kuna Yala province), Kuna de Madungandí district (Panama province), Kuna de Wargandí district (Darien province)</t>
  </si>
  <si>
    <t>MSR</t>
  </si>
  <si>
    <t>Belham valley (Central, Salem provinces)</t>
  </si>
  <si>
    <t>New York, Vermont, New Jersey, Ohio, Pennsylvania provinces</t>
  </si>
  <si>
    <t>Illinois, Colorado, Michigan, Minnesota, Wisconsin, Ohio, Oklahoma, North Dakota provinces</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</si>
  <si>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</si>
  <si>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</si>
  <si>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Saint Louis Du Nord, Port De Paix districts (Nord Ouest province)</t>
  </si>
  <si>
    <t>Ibague district (Tolima province)</t>
  </si>
  <si>
    <t>Conbeima</t>
  </si>
  <si>
    <t>Malibu area (Los Angeles district, California province)</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</si>
  <si>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</si>
  <si>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</si>
  <si>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GLIDE:CW-2007-000090</t>
  </si>
  <si>
    <t>La Paz province</t>
  </si>
  <si>
    <t>Apurímac, Arequipa, Ayacucho, Cajamarca, Cusco, Huancavelica, Huánuco, Junín, Loreto, Moquegua, Pasco, Puno, Tacna provinces</t>
  </si>
  <si>
    <t>Canelones, Colonia, Flores, Florida, Lavalleja, Maldonado, Montevideo, Rocha, San Jose, Soriano provinces</t>
  </si>
  <si>
    <t>GLIDE:TC-2007-000135</t>
  </si>
  <si>
    <t>Azua, Barahona, Distrito Nacional, La Altagracia, La Romana, Pedernales, Peravia, San Cristobal, San Pedro de Macoris, Santiago, Santo Domingo provinces</t>
  </si>
  <si>
    <t>Sud, Sud Est, Grande Anse, Nippes, Ouest, Artibonite, Centre, Nord, Nord Est, Nord Ouest provinces</t>
  </si>
  <si>
    <t>Clarendon, Saint Thomas, Saint James, Saint Andrew And Kingston provinces</t>
  </si>
  <si>
    <t>USGS:usp000fmtk</t>
  </si>
  <si>
    <t>El Charco, El Charco (is.), Mosquera, La Tola districts (Narino department)</t>
  </si>
  <si>
    <t>GLIDE:TC-2007-000150</t>
  </si>
  <si>
    <t>Veracruz, Tamaulipas, San Luis Potosi provinces</t>
  </si>
  <si>
    <t>Esteli, Madriz, Chinandega, Leon, Managua, Masaya, Granada, Carazo, Rivas, Jinotega, Matagalpa provinces</t>
  </si>
  <si>
    <t>Coclé, Colón, Kuna Yala, Herrera, Los Santos, Panamá, Bocas del Toro, Chiriquí, Darién, Emberá, Ngöbe Buglé, Veraguas provinces</t>
  </si>
  <si>
    <t>GLIDE:TC-2007-000198</t>
  </si>
  <si>
    <t>Port-au-Prince district (Ouest province), Gonaïves district (Artibonite province), Jacmel district (Sud Est province), Cayes district (Sud province)</t>
  </si>
  <si>
    <t>GLIDE:MS-2007-000200</t>
  </si>
  <si>
    <t>San Juan Grijalva village (Ostuacan district, Chiapas province)</t>
  </si>
  <si>
    <t>Atlantida, Colon provinces</t>
  </si>
  <si>
    <t>GLIDE:EQ-2007-000218|USGS:usp000ftj1</t>
  </si>
  <si>
    <t>Cap Estate, Gros Islet areas (Region Number 1 province), Castries and Soufriere area (Region Number 6 province), Choc village (Region Number 8 province)</t>
  </si>
  <si>
    <t>GLIDE:ST-2007-000224</t>
  </si>
  <si>
    <t>USGS:usp000fu34</t>
  </si>
  <si>
    <t>Itacarambi, Januaria, Manga, Varzelandia districts (Minas Gerais province)</t>
  </si>
  <si>
    <t>Colorado, Iowa, Kansas, Minnesota, Missouri, Nebraska, Oklahoma, South Dakota provinces</t>
  </si>
  <si>
    <t>Ceara, Piaui, Maranhao, Tocantins, Minas Gerais provinces</t>
  </si>
  <si>
    <t>Lack of rain from last six months</t>
  </si>
  <si>
    <t>Alabama, Missouri, Georgia, Minnesota provinces</t>
  </si>
  <si>
    <t>California, Texas, Georgia, South Carolina, Oklahoma, Missouri, Iowa, Michigan, New York, Maine, Kansas, Illinois provinces</t>
  </si>
  <si>
    <t>GLIDE:TO-2007-000024</t>
  </si>
  <si>
    <t>Volusia, Lake, Sumter, Seminole districts (Florida province)</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</si>
  <si>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</si>
  <si>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</si>
  <si>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</si>
  <si>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Palo Verde area (Casta??uelas district, Monte Cristi province), Arenoso, San Francisco de Macoris districts (Duarte province), Cayetano Germos?n district (Espaillat province), La Vega, Santiago, Dajabon provinces</t>
  </si>
  <si>
    <t>Jababa-LaRosa, Camu, Yuna</t>
  </si>
  <si>
    <t>Spring Brook, Veaverkill Creek</t>
  </si>
  <si>
    <t>Corozal, Sarteneja, Consejo cities (Corazal province)</t>
  </si>
  <si>
    <t>St. Andrew, St. David, St. George, St. John, St. Joseph, St. Luke, St. Mark, St. Patrick, St. Paul, St. Peter provinces</t>
  </si>
  <si>
    <t>Yucatan, Quintana Roo, Campeche, Veracruz, Hidalgo, Puebla provinces</t>
  </si>
  <si>
    <t>MTQ</t>
  </si>
  <si>
    <t>Fort-de-France, La Trinite, Saint-Pierre, Le Marin provinces</t>
  </si>
  <si>
    <t>Puerto Barrios, Morales districts (Izabal province)</t>
  </si>
  <si>
    <t>Puerto Cabezas, Waspam, Siuna, Bonanza, Rosita districts (Atlantico Norte province)</t>
  </si>
  <si>
    <t>GLIDE:WF-2007-000156</t>
  </si>
  <si>
    <t>San Pedro, Concepcion, Presidente Hayes, Canindeyu, Amambay provinces</t>
  </si>
  <si>
    <t>Tradition of burning crop fields, drought and lack of rain</t>
  </si>
  <si>
    <t>GLIDE:EQ-2007-000166|USGS:usp000fnc9</t>
  </si>
  <si>
    <t>El Progreso district (Yoro province), Santa Barbara, Las Vegas districts (Santa Barbara province)</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</si>
  <si>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</si>
  <si>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El Triunfo district (Choluteca province)</t>
  </si>
  <si>
    <t>GLIDE:FL-2007-000200</t>
  </si>
  <si>
    <t>Huitiupan, Ixhuatan, Ixtacomitan, Juarez, Ocotepec, Ostuacan, Pantepec, Pichucalco, Reforma, Solosuchiapa districts (Chiapas province), Tabasco province</t>
  </si>
  <si>
    <t>Grijalva, Puxcatab, Carrizal</t>
  </si>
  <si>
    <t>Bridgetown (St. Michael Province)</t>
  </si>
  <si>
    <t>Toronto, Ottawa districts (Ontario province), Montreal district (Quebec province)</t>
  </si>
  <si>
    <t>Illinois, Iowa, Missouri, Minnesota, Kansas, Nebraska, Colorado, Michigan, Wisconsin, Wyoming provinces</t>
  </si>
  <si>
    <t>Oklahoma, Missouri, Iowa, Illinois, Kansas, Nebraska, Connecticut, Michigan, New York, New Jersey, Pennsylvania, Rhode Island provinces</t>
  </si>
  <si>
    <t>GLIDE:FL-2007-000231</t>
  </si>
  <si>
    <t>Beni, Chuquisaca, Cochabamba, La Paz, Oruro, Pando, Potosi, Santa Cruz,Tarija provinces</t>
  </si>
  <si>
    <t>Heavy rain, La Nina</t>
  </si>
  <si>
    <t>Acapulco De Juarez district (Guerrero province), Oaxaca, Michoacan, Colima, Jalisco provinces</t>
  </si>
  <si>
    <t>GLIDE:VO-2007-000048</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</si>
  <si>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</si>
  <si>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GLIDE:FL-2007-000004</t>
  </si>
  <si>
    <t>Paraiba do Sul, Fuba, Muriae</t>
  </si>
  <si>
    <t>GLIDE:MS-2007-000004</t>
  </si>
  <si>
    <t>Mirai, Muriae districts (Minas Gerais province)</t>
  </si>
  <si>
    <t>Dam break</t>
  </si>
  <si>
    <t>Indiana, Arkansas, Texas, Ohio, Missouri provinces</t>
  </si>
  <si>
    <t>Wabash, White, East Fork of White River, Lower Ohio, Patoka, Black, St Francis, White, Cache, Ouachita, Sabine, Navasota, Neches, Sulpher, lower Ohio</t>
  </si>
  <si>
    <t>Heavy rain due to El Nino</t>
  </si>
  <si>
    <t>Rio GRande, Pilcomayo, San Juan del Oro, Bermejo</t>
  </si>
  <si>
    <t>GLIDE:FL-2007-000022</t>
  </si>
  <si>
    <t>Tucuman, Santiago del Estero, Salta, Formosa provinces</t>
  </si>
  <si>
    <t>pilcomayo, Bermejo, Tueco, Sali-Simoca, Dulce</t>
  </si>
  <si>
    <t>Ontario, Quebec provinces</t>
  </si>
  <si>
    <t>GLIDE:FL-2007-000040</t>
  </si>
  <si>
    <t>Ferrier village (Fort Liberte district, Nord Est province), Ouanaminthe district (Nord Est province), Abricot village (Jeremie district, Grande Anse province)</t>
  </si>
  <si>
    <t>Colonia, Durazno, Florida, Rio Negro, Soriano provinces</t>
  </si>
  <si>
    <t>Yi, Rio Negro</t>
  </si>
  <si>
    <t>Texas, Kansas, Oklahoma provinces</t>
  </si>
  <si>
    <t>Guadalupe, Pedernales, Medina, Little Arkansas, Mulberry Creek, Honey Creek, Washita</t>
  </si>
  <si>
    <t>GLIDE:FF-2007-000071|GLIDE:FL-2007-000068</t>
  </si>
  <si>
    <t>Taraza, Valdivia, Nechi, Zaragoza districts (Antioquia province), Guaranda district (Sucre province), Inza, Popayan districts (Cauca province)</t>
  </si>
  <si>
    <t>Tarza, Nechi, Cauca</t>
  </si>
  <si>
    <t>GLIDE:FL-2007-000057</t>
  </si>
  <si>
    <t>Cerro Largo, Durazno, Florida, Montevideo, Rio Negro, Rocha, Soriano, Tacuarembo, Treinta y Tres provinces</t>
  </si>
  <si>
    <t>Rio Negro and tributaries</t>
  </si>
  <si>
    <t>North Texas, Oklahoma provinces</t>
  </si>
  <si>
    <t>Pecan Creek</t>
  </si>
  <si>
    <t>Rosario district (Santa Fe province), Cordoba, San Luis, Buenos Aires, Buenos Aires D.f., Chubut, Neuquen, Rio Negro, Santa Cruz, Tierra Del Fuego, Mendoza, La Rioja provinces</t>
  </si>
  <si>
    <t>Region Number 1, Region Number 2, Region Number 8 provinces</t>
  </si>
  <si>
    <t>Santa Barbara, Cortes, Choluteca, Valle, Paraiso provinces</t>
  </si>
  <si>
    <t>Veracruz, Puebla provinces</t>
  </si>
  <si>
    <t>Bretel, Artibonite</t>
  </si>
  <si>
    <t>Granma, Guantanamo, Holguin, Las Tunas, Santiago de Cuba provinces</t>
  </si>
  <si>
    <t>Sagua de Tanamo, Mayari</t>
  </si>
  <si>
    <t>Los Angeles, Orange, Riverside, San Bernardino, San Diego, Santa Barbara, Ventura districts (California province)</t>
  </si>
  <si>
    <t>Saint Catherine, Clarendon, Manchester provinces</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</si>
  <si>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</si>
  <si>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</si>
  <si>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Fort-De-France province</t>
  </si>
  <si>
    <t>GLIDE:EQ-2007-000207|USGS:usp000fshy</t>
  </si>
  <si>
    <t>Tocopilla, Maria Elena, Quillagua town (Topicalla Province, Antofagasta Region), Mejillones (Antofagasta Province, Antofagasta Region)</t>
  </si>
  <si>
    <t>Bonao city (Monsenor Nouel district, Monsenor Nouel province), Nagua district (Maria Trinidad Sanches province), Arenoso, Villa Rivas districts (Duarte province), Santiago, Barahona, La Vega, Puerto Plata, Monte Plata, El Seibo provinces</t>
  </si>
  <si>
    <t>GLIDE:ST-2007-000272</t>
  </si>
  <si>
    <t>Texas, Delaware, Connecticut, Georgia, Louisiana, Massachusetts, Maine, Maryland, Mississippi, New Hampshire, New Jersey, New York, North Carolina, Pennsylvania, Rhode Island, South Carolina, Vermont, Virginia provinces</t>
  </si>
  <si>
    <t>GLIDE:FL-2007-000009</t>
  </si>
  <si>
    <t>Junin, Pasco, Ucayali, Huanuco, Cusco, Huancavelica, La Libertad, San Martin provinces</t>
  </si>
  <si>
    <t>Tulumayo, Chanchamayo, Huacara rivers</t>
  </si>
  <si>
    <t>USGS:usp000fa97</t>
  </si>
  <si>
    <t>Puerto Aisen, Puerto Chacabuco towns (Aisen district, Aisen del General Carlos Ibañez del Campo province), Balmacada town (Coyhaique district, Aisen province), Cochrane town (Capitan Prat district, Aisen province)</t>
  </si>
  <si>
    <t>Sub-marine volcano</t>
  </si>
  <si>
    <t>Cordoba, Bolivar, Sucre, Choco, Guajira, Atlantico, Antioquia, Magdalena provinces</t>
  </si>
  <si>
    <t>Sinu, San Jorge</t>
  </si>
  <si>
    <t>Osorno district (Los Lagos province), Santiago district (Metropolitan province), Araucania province</t>
  </si>
  <si>
    <t>Alpine, Amador, Calaveras, El Dorado, Mono, Placer, Tuolumne districts (California province)</t>
  </si>
  <si>
    <t>Texas, Oklahoma, Missouri provinces</t>
  </si>
  <si>
    <t>Pinar del Rio, La Habana, Isla de la Juventud provinces</t>
  </si>
  <si>
    <t>GLIDE:EQ-2007-000133|USGS:usp000fjta</t>
  </si>
  <si>
    <t>Pisco, Ica, Chincha districts (Ica province), Canete, Lima districts (Lima province) ; Paracas city (Pisco district, Ica province), San Vicente de Canete city (Canete district, Lima province)</t>
  </si>
  <si>
    <t>GLIDE:FL-2007-000154</t>
  </si>
  <si>
    <t>El Higo area (Temporal district, Veracruz province), Panuco, Pueblo Viejo districts (Veracruz province), Altamira, Tampico districts (Tamaulipas province)</t>
  </si>
  <si>
    <t>Heavy rain, Hurricane Felix</t>
  </si>
  <si>
    <t>Panuco</t>
  </si>
  <si>
    <t>Iowa, Kansas, Minnesota, Texas, Wisconsin provinces</t>
  </si>
  <si>
    <t>Arkansas, Iowa, Texas</t>
  </si>
  <si>
    <t>GLIDE:FL-2007-000166</t>
  </si>
  <si>
    <t>San Jose, Guanacaste provinces</t>
  </si>
  <si>
    <t>Cañas and Dirias</t>
  </si>
  <si>
    <t>Guatemala district (Guatemala province)</t>
  </si>
  <si>
    <t>Escuintla, Jutiapa, Quetzaltenango, Retalhuleu, San Marcos, Santa Rosa, Suchitepequez provinces</t>
  </si>
  <si>
    <t>Abaco, Long Island, Exuma, Cat Island, Andros, New Providence islands (Administrative unit not available)</t>
  </si>
  <si>
    <t>Granma, Holguin, Las Tunas, Guantanamo, Santiago de Cuba provinces</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</si>
  <si>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</si>
  <si>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Mesquita (Nova Iguaçu district, Rio de Janeiro province), Guaratiba city (Rio de Janeiro district, Rio de Janeiro province), Duque de Caxias, Sao Joao de Meriti, Nilopolis, Belford Roxo, Queimados districts (Rio de Janeiro province)</t>
  </si>
  <si>
    <t>Nord, Nord Est, Nord Ouest provinces</t>
  </si>
  <si>
    <t>California, Georgia, Maryland provinces</t>
  </si>
  <si>
    <t>Lack of precipitation</t>
  </si>
  <si>
    <t>GLIDE:TO-2008-000020</t>
  </si>
  <si>
    <t>Tennessee, Arkansas, Kentucky, Mississippi, Alabama, Indiana, Texas, Illinois, Ohio, Missouri provinces</t>
  </si>
  <si>
    <t>GLIDE:FL-2008-000010</t>
  </si>
  <si>
    <t>Itaipava city (Petrópolis district, Rio De Janeiro province)</t>
  </si>
  <si>
    <t>Brief torrential rains</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</si>
  <si>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</si>
  <si>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</si>
  <si>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Bulubulu, Chimbo</t>
  </si>
  <si>
    <t>GLIDE:VO-2008-000056-CHL</t>
  </si>
  <si>
    <t>Bariloche district (Rio Negro Province), Chubut province</t>
  </si>
  <si>
    <t>Fulton, DeKalb, Cobb, Clayton, Gwinnett districts (Georgia province)</t>
  </si>
  <si>
    <t>Campo Alegre, Santa Maria districts (Huila province)</t>
  </si>
  <si>
    <t>GLIDE:EP-2008-000029|GLIDE:TC-2008-000078</t>
  </si>
  <si>
    <t>Corozal, Orange Walk, Stann Creek provinces</t>
  </si>
  <si>
    <t>GLIDE:TC-2008-000077</t>
  </si>
  <si>
    <t>Parrita, Aguirre, Puntarenas districts (Puntarenas province), Canas, Bagaces, Abangares, Nandayure, Hojancha, Nicoya, Santa Cruz districts (Guanacaste province), Perez Zeledon, Tarrazu, Leon Cortes (San Jose province)</t>
  </si>
  <si>
    <t>Choluteca province</t>
  </si>
  <si>
    <t>GLIDE:FL-2008-000103</t>
  </si>
  <si>
    <t>Modelo borough (San Salvador district, San Salvador province)</t>
  </si>
  <si>
    <t>GLIDE:TC-2008-000111</t>
  </si>
  <si>
    <t>Tamaulipas, Veracruz, Yucatan, San Luis Potosi, Nuevo Leon, Coahuila provinces</t>
  </si>
  <si>
    <t>Panama city beach (Bay district, Florida province), Aransas, Bexar, Brooks, Calhoun, Cameron, Hidalgo, Jim Wells, Kenedy, Kleberg, Nueces, Refugio, San Patricio, Starr, Victoria, Willacy districts (Texas province)</t>
  </si>
  <si>
    <t>GLIDE:TC-2008-000132</t>
  </si>
  <si>
    <t>Cienfuegos, Sancti Spiritus, Guantanamo, Santiago de Cuba, Granma, Villa Clara, Ciego de Avila, Camgguey, Las Tunas, Holguín provinces</t>
  </si>
  <si>
    <t>GLIDE:TC-2008-000143</t>
  </si>
  <si>
    <t>Grand Cayman, Little Cayman, Cayman Brac provinces</t>
  </si>
  <si>
    <t>Sud Est, Sud, Nippes, Ouest, Grande Anse, Artibonite, Centre provinces</t>
  </si>
  <si>
    <t>Monte Cristi, Puerto Plata provinces</t>
  </si>
  <si>
    <t>Providenciales and West Caicos province</t>
  </si>
  <si>
    <t>GLIDE:TC-2008-000151</t>
  </si>
  <si>
    <t>Great Inagua, Mayaguana, Acklins, Crooked, Raaged Islands (Administrative unit not available)</t>
  </si>
  <si>
    <t>GLIDE:FL-2008-000155</t>
  </si>
  <si>
    <t>Araucania, Biobio, Los Rios, Los Lagos, Maule provinces</t>
  </si>
  <si>
    <t>Tolten, Imperial, Andalien</t>
  </si>
  <si>
    <t>Huautla de Jimenez municipality (Teotitlan district, Oaxaca state)</t>
  </si>
  <si>
    <t>GLIDE:TC-2008-000147</t>
  </si>
  <si>
    <t>Atlantida, Choluteca, Colon, Comayagua, Copan, Cortes, Francisco Morazan, Gracias a Dios, Intibuca, La Paz, Lempira, Ocotepeque, Olancho, Paraiso, Santa Barbara, Valle, Yoro provinces</t>
  </si>
  <si>
    <t>Tropical depression 16 (Paloma), low depression and swell</t>
  </si>
  <si>
    <t>Chinandega, Madriz, Esteli, Leon, Managua, Granada, Rivas provinces</t>
  </si>
  <si>
    <t>Tropical Depression 16</t>
  </si>
  <si>
    <t>GLIDE:WF-2008-000225</t>
  </si>
  <si>
    <t>Los Angeles, Orange, Riverside, Santa Barbara districts (California province)</t>
  </si>
  <si>
    <t>Miranda, Distrito Capital, Trujillo provinces</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</si>
  <si>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</si>
  <si>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</si>
  <si>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</si>
  <si>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Massachusetts, New York, Maine, New Hampshire, Vermont provinces</t>
  </si>
  <si>
    <t>GLIDE:VO-2008-000009</t>
  </si>
  <si>
    <t>Genoy town (Pasto distrit, Nariño Province), Sandona, Yacuanquer, Consaca districts (Nariño Province)</t>
  </si>
  <si>
    <t>Leon, Chinandega, Rivas, Carazo, Masaya, Granada provinces</t>
  </si>
  <si>
    <t>GLIDE:FL-2008-000045</t>
  </si>
  <si>
    <t>Paraiba, Parnaiba, Piranhas, Apodi</t>
  </si>
  <si>
    <t>San Pedro, San Lorenzo , Laurelty, Caaguazú departments</t>
  </si>
  <si>
    <t>GLIDE:VO-2008-000046</t>
  </si>
  <si>
    <t>Miranda, Toribio, Paez, Inza districts (Cauca province), Iquira, Santa Maria, Palermo, Teruel, La Plata, Paicol, Tesalia, Nataga districts (Huila province), Rioblanco, Planadas districts (Tolima province)</t>
  </si>
  <si>
    <t>Medellin district (Antioquia province)</t>
  </si>
  <si>
    <t>Teleman area (Panzós district, Alta Verapaz province), Guatemala, Villa Canales districts (Guatemala province), Camotán district (Chiquimula province), Peten province</t>
  </si>
  <si>
    <t>Heavy rains, concentration of humidity, over saturation of soil</t>
  </si>
  <si>
    <t>La Union district (Zacapa province), San Pedro Soloma area (Soloma district, Huehuetenango province)</t>
  </si>
  <si>
    <t>Florida, Georgia, Alabama, Mississippi provinces</t>
  </si>
  <si>
    <t>Island of Youth, Pinar del Rio, Havana, Matanzas provinces</t>
  </si>
  <si>
    <t>Saint Catherine, Saint Andrew And Kingston, Portland, Saint Thomas, Saint Mary provinces</t>
  </si>
  <si>
    <t>Gonaives district (Artibonite province)</t>
  </si>
  <si>
    <t>Gonaives, Saint-Marc, Gros Morne districts (Artibonite province), Port-au-Prince district (Ouest province), Sud, Nord, Sud Est, Nippes provinces</t>
  </si>
  <si>
    <t>Guantanamo, Santiago de Cuba, Camaguey, Holguín, Granma, Las Tunas, Ciego de Avila, Sancti Spiritus, Villa Clara, La Habana, Ciudad de la Habana, Pinar del Rio, Isla de le Juventud, Matanzas provinces</t>
  </si>
  <si>
    <t>Bullet Tree Falls, Calla Creek, Santa Familia, Branch Mouth, Spanish Lookout, Blackman Eddy, Roaring Creek cities (Cayo province), Belize, Corozal, Orange Walk provinces</t>
  </si>
  <si>
    <t>Tropical depression 16</t>
  </si>
  <si>
    <t>Mopan, Macal, Belize rivers</t>
  </si>
  <si>
    <t>GLIDE:FL-2008-000234</t>
  </si>
  <si>
    <t>Itajai river</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</si>
  <si>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</si>
  <si>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</si>
  <si>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Arkansas, Oklahoma, Texas provinces</t>
  </si>
  <si>
    <t>Arkansas, Illinois, Indiana, Kentucky, Missouri, New York, Ohio, Tennessee, Alabama, Mississippi provinces</t>
  </si>
  <si>
    <t>Arkansas, California, Colorado, Illinois, Indiana, Kansas, Michigan, Missouri, New York, Ohio, Oklahoma, Oregon, Washington, Wisconsin provinces</t>
  </si>
  <si>
    <t>GLIDE:EP-2009-000003</t>
  </si>
  <si>
    <t>Santa Cruz de la Sierra, Beni, Cochabamba, Chuquisaca, La Paz, Oruro, Pando, Potosi, Tarija</t>
  </si>
  <si>
    <t>Cochabamba, Pando, Santa Cruz, Beni</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</si>
  <si>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</si>
  <si>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</si>
  <si>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</si>
  <si>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</si>
  <si>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GLIDE:TO-2008-000277</t>
  </si>
  <si>
    <t>Dunkerton city (Black Hawk district, Iowa province), Parkesburg, New Hartford cities (Butler district, Iowa province), Cedar Rapids city (Linn district, Iowa province), Minnesota, Indiana, Illinois, Kansas, Michigan, Montana, Missouri, Nebraska, Wisconsin provinces</t>
  </si>
  <si>
    <t>GLIDE:FL-2008-000069</t>
  </si>
  <si>
    <t>Bio Bio, Maule, Valparaiso, Araucania, Los Rios provinces</t>
  </si>
  <si>
    <t>Lightening, drought, wind</t>
  </si>
  <si>
    <t>James Bay area (Cochrane, Kenora districts, North Ontario province)</t>
  </si>
  <si>
    <t>Albany river</t>
  </si>
  <si>
    <t>GLIDE:FL-2008-000107</t>
  </si>
  <si>
    <t>Hidalgo, Tamaulipas, Zacatecas, Tabasco, Veracruz, Oaxaca provinces</t>
  </si>
  <si>
    <t>Grand Turk, Middle Caicos, North Caicos, Providenciales and West Caicos, Salt City, South and East Caicos provinces</t>
  </si>
  <si>
    <t>Louisiana, Mississippi, Texas, Alabama provinces</t>
  </si>
  <si>
    <t>Grand Turk province</t>
  </si>
  <si>
    <t>Suffolk district (Virginia province)</t>
  </si>
  <si>
    <t>GLIDE:FL-2008-000180</t>
  </si>
  <si>
    <t>Nueva Segovia, Madriz, Granada, Chontales, Managua provinces</t>
  </si>
  <si>
    <t>Guanacaste, Puntarenas, Cartago, San Jose, Limon, Alajuela provinces</t>
  </si>
  <si>
    <t>GLIDE:ST-2008-000135</t>
  </si>
  <si>
    <t>Presidente Hayes, San Pedro, Concepcion provinces</t>
  </si>
  <si>
    <t>GLIDE:TC-2008-000214</t>
  </si>
  <si>
    <t>Santa Cruz del Sur, Najasa, Guáimaro (Camaguey province), Amancio Rodriguez (Las Tunas province), Sancti Spirtitus, Ciego de Avila, Granma provinces</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</si>
  <si>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</si>
  <si>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</si>
  <si>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</si>
  <si>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GLIDE:DR-2008-000157</t>
  </si>
  <si>
    <t>Filadelfia, Loma Plata, Mariscal Estigarribia towns (Mcal. Estigarribia district, Boqueron province), Alto Paraguay, Presidente Hayes provinces</t>
  </si>
  <si>
    <t>Prolonged dry spelle and hig temperatures</t>
  </si>
  <si>
    <t>California, Nevada, Oregon provinces</t>
  </si>
  <si>
    <t>irrigation canal from Truckee river</t>
  </si>
  <si>
    <t>Cajati, Peruibe, Jacupiranga, Sao Jose dos Campos, Itariri, Pariquera-acu, Miracatu, Juquia, Iguape, Eldorado districts (Sao Paulo province)</t>
  </si>
  <si>
    <t>Storm and heavy rains</t>
  </si>
  <si>
    <t>Ribeira</t>
  </si>
  <si>
    <t>GLIDE:FL-2008-000038</t>
  </si>
  <si>
    <t>Salta city (Capital district, Salta province), General San Martin, Oran, Rivadavia districts (Salta province)</t>
  </si>
  <si>
    <t>Pilcomayo, Bermejo, Carapari</t>
  </si>
  <si>
    <t>GLIDE:EP-2008-000022|GLIDE:EP-2008-000042</t>
  </si>
  <si>
    <t>Rio de Janeiro, Angra do Reis, Campos dos Goytacasez, Nova Iguacu, Duque de Caxias municipalities</t>
  </si>
  <si>
    <t>Alto Paraná, Itapúa, Central, San pedro, Asuncíon</t>
  </si>
  <si>
    <t>USGS:nn00234425</t>
  </si>
  <si>
    <t>Wells city (Elko district, Nevada province)</t>
  </si>
  <si>
    <t>GLIDE:LS-2008-000110</t>
  </si>
  <si>
    <t>Missouri, Mississippi, Arkansas, Indiana, Illinois, Ohio, Kentucky, Oklahoma, Iowa, Wisconsin, Texas provinces</t>
  </si>
  <si>
    <t>Ohio and Mississippi rivers and tributaries</t>
  </si>
  <si>
    <t>Belleville city, Foxboro community, Tweed village (Hastings district, Ontario province), Campbellford, Trent Hills municipality (Northumberland district, Ontario province), Ottawa city (Ottawa province, Ontario province)</t>
  </si>
  <si>
    <t>Moira, Trent, Crowe, Rideau</t>
  </si>
  <si>
    <t>Chaiten, Futaleufu towns (Palena district, Los Lagos province)</t>
  </si>
  <si>
    <t>GLIDE:TO-2008-000061</t>
  </si>
  <si>
    <t>Kansas, Maryland, Missouri, North Carolina, Virginia, Texas, Oklahoma, Georgia, Arkansas provinces</t>
  </si>
  <si>
    <t>Cold front meeting warm, moist air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</si>
  <si>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</si>
  <si>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</si>
  <si>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</si>
  <si>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GLIDE:EC-2008-000058</t>
  </si>
  <si>
    <t>Santa Catarina state, Rio Grande do Sul provinces</t>
  </si>
  <si>
    <t>Florida, North Carolina, Maryland provinces</t>
  </si>
  <si>
    <t>Galveston, Brazoria, Harris, Chambers, Jefferson districts (Texas province), Louisiana, Tennessee, Arkansas, Ohio, Indiana, Illinois, Missouri, Kentucky, Pennsylvania, Michigan provinces</t>
  </si>
  <si>
    <t>GLIDE:FL-2008-000158</t>
  </si>
  <si>
    <t>Besiko, Mirono, Muna, Nola Duima districts (Ngobe Bugle province), Chiriqui province</t>
  </si>
  <si>
    <t>Low pressure system</t>
  </si>
  <si>
    <t>Fonseca, Boca de Soloy</t>
  </si>
  <si>
    <t>Guanacaste, Puntarenas provinces</t>
  </si>
  <si>
    <t>Indirect influence of tropical storms</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</si>
  <si>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</si>
  <si>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Usulutan, San Miguel provinces</t>
  </si>
  <si>
    <t>Cayman Brac, Little Cayman provinces</t>
  </si>
  <si>
    <t>GLIDE:TF-2008-000230</t>
  </si>
  <si>
    <t>Bayamo, Manzanillo, Yara districts (Granma province), Frank Pais, Mayari, Sagua de Tanamo districts (Holguin province)</t>
  </si>
  <si>
    <t>Torrential rains (cold front winter season)</t>
  </si>
  <si>
    <t>Sagua, Buey, Hocotea, Yara rivers</t>
  </si>
  <si>
    <t>GLIDE:ST-2008-000224</t>
  </si>
  <si>
    <t>San Lorenzo town (Mendez district, Tarija province), Uriondo town (Avilez district, Tarija province), Cercado district (Tarija province)</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</si>
  <si>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</si>
  <si>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Chiriqui, Bocas del Toro, Veraguas, Colon, Darien provinces</t>
  </si>
  <si>
    <t>Caldera rivers</t>
  </si>
  <si>
    <t>GLIDE:TC-2008-000192</t>
  </si>
  <si>
    <t>KNA</t>
  </si>
  <si>
    <t>Maine, Massachusetts, New Hampshire, New York, Vermont provinces</t>
  </si>
  <si>
    <t>ATG</t>
  </si>
  <si>
    <t>All country affected (no more data)</t>
  </si>
  <si>
    <t>GLIDE:FL-2008-000088</t>
  </si>
  <si>
    <t>Illinois, Iowa, Kansas, Michigan, Minnesota, Missouri, Nebraska, Wisconsin provinces</t>
  </si>
  <si>
    <t>Mississipi, Ohio rivers</t>
  </si>
  <si>
    <t>Orting town (Pierce district, Washington province), Chehalus town (Lewis district, Washington), Oregon province</t>
  </si>
  <si>
    <t>Puyallup, Newaukaum</t>
  </si>
  <si>
    <t>GLIDE:EQ-2008-000070|USGS:usp000g7p6</t>
  </si>
  <si>
    <t>Quetame district (Cundinamarca province), Meta province</t>
  </si>
  <si>
    <t>GLIDE:EP-2009-000028</t>
  </si>
  <si>
    <t>Concepcion, San Pedro, Cordillera, Guairá, Caaguazú, Caazapá, Itapúa, Misiones, Paraguarí, A. Paraná, Central, Neembucú, Amambay, Canindeyú, Pte.Hayes, A. Paraguay, Boquerón, Asunción departments</t>
  </si>
  <si>
    <t>La Paz, Oruro, Tarija, Chuquisaca, Santa Cruz provinces</t>
  </si>
  <si>
    <t>El Nino, dry ecosystem, high temperatures and lon period withoit rainfall</t>
  </si>
  <si>
    <t>GLIDE:EQ-2009-000009|USGS:usp000gscg</t>
  </si>
  <si>
    <t>Alajuela, Alfaro Ruiz, Grecia, Poas, Valverde Vega districts (Alajuela province), Barva, Heredia, Santa Barbara, Sarapiqui districts (Heredia province)</t>
  </si>
  <si>
    <t>GLIDE:LS-2009-000004</t>
  </si>
  <si>
    <t>Aquil Grande, Aquil Pequeno, Independencia, Zacaton (San Cristobal Verapaz district, Alta Verapraz province)</t>
  </si>
  <si>
    <t>GLIDE:MS-2009-000041</t>
  </si>
  <si>
    <t>Tartagal town (Genaral Jose de San Martin district, Salta Province)</t>
  </si>
  <si>
    <t>GLIDE:FL-2009-000045</t>
  </si>
  <si>
    <t>Capinota district (Cochabamba province)</t>
  </si>
  <si>
    <t>Havy rains</t>
  </si>
  <si>
    <t>GLIDE:ST-2009-000290</t>
  </si>
  <si>
    <t>Texas, Oklahoma, Arkansas, Alabama, Georgia, Kentucky, Louisiana, Missouri, South Carolina, Tennessee provinces</t>
  </si>
  <si>
    <t>GLIDE:FL-2009-000117</t>
  </si>
  <si>
    <t>Escuintla district (Escuintla province)</t>
  </si>
  <si>
    <t>Dallas, Tarrant, Harris, Galveston, Swisher districts (Texas province)</t>
  </si>
  <si>
    <t>GLIDE:ST-2009-000292</t>
  </si>
  <si>
    <t>Ohio, Oklahoma, Kentucky, Texas, Tennessee, Pennsylvania, West Virginia, Maryland, Washington provinces</t>
  </si>
  <si>
    <t>Nova Scotia, Newfoundland and Labrador provinces</t>
  </si>
  <si>
    <t>Maine province</t>
  </si>
  <si>
    <t>GLIDE:ST-2009-000189</t>
  </si>
  <si>
    <t>Neembucu, San Pedro, Paraguari, Cordillera, Canindeyu, Caaguazu provinces</t>
  </si>
  <si>
    <t>GLIDE:TC-2009-000167</t>
  </si>
  <si>
    <t>Loreto district (Zacatecas province), Comondu, Mulege, Baja California Sur districts (Baja California Sur province)</t>
  </si>
  <si>
    <t>GLIDE:FL-2009-000203</t>
  </si>
  <si>
    <t>Douglas, Floyd, Carroll, Fulton, DeKalb, Cobb, Clayton, Gwinnett districts (Georgia province), Alabama, North Carolina,Tennessee provinces</t>
  </si>
  <si>
    <t>GLIDE:TC-2009-000232</t>
  </si>
  <si>
    <t>Atlantico Sur, Atlantico Norte provinces</t>
  </si>
  <si>
    <t>San Vicente, San Salvador, Cabanas, Cuscatlan, La Paz, La Libertad, Usulutan provinces</t>
  </si>
  <si>
    <t>GLIDE:OT-2009-000169</t>
  </si>
  <si>
    <t>Manabi, Los Rios, Cotopaxi, Bolivar, Chimborazo, Tungurahua provinces</t>
  </si>
  <si>
    <t>Poor rainy season, El NIno</t>
  </si>
  <si>
    <t>Retamas (Pataz district) Aricapampa, Chamanacucho (Sanchez Carrion district) (La Libertad province)</t>
  </si>
  <si>
    <t>GLIDE:EP-2009-000059</t>
  </si>
  <si>
    <t>Salta, Catamarca, Jujuy, Tucuman (Chaco province); Buenos Aires province, Corrientes, Jujuy, Sante Fe</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</si>
  <si>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</si>
  <si>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</si>
  <si>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</si>
  <si>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Cocal district (Piaui province)</t>
  </si>
  <si>
    <t>Moyogalpa district (Rivas province)</t>
  </si>
  <si>
    <t>GLIDE:FL-2009-000248</t>
  </si>
  <si>
    <t>GLIDE:CW-2009-000111</t>
  </si>
  <si>
    <t>Amazonas, Ancash, Apurimac, Arequipa, Ayacucho, Cajamarca, Cusco, Huancavelica, Huanuco provinces</t>
  </si>
  <si>
    <t>Santa Rosa, Tobuna, Pozo Azul cities (San Pedro district, Misiones province)</t>
  </si>
  <si>
    <t>GLIDE:FL-2009-000192</t>
  </si>
  <si>
    <t>Tlalnepantla de Baz, Atizapen De Zaragoza districts (Mexico province)</t>
  </si>
  <si>
    <t>Illinois, Missouri provinces</t>
  </si>
  <si>
    <t>GLIDE:FL-2009-000254</t>
  </si>
  <si>
    <t>Chaco, Corrientes, Entre Rios, Formosa, Salta, Santa Fe provinces</t>
  </si>
  <si>
    <t>Tegucigalpa</t>
  </si>
  <si>
    <t>Espirito Santo province</t>
  </si>
  <si>
    <t>Ecatepec, Coacalco, Tultitlan district (Mexico district)</t>
  </si>
  <si>
    <t>Ayachuco, Carmen Alto municipality (Huamanga district, Ayacucho province)</t>
  </si>
  <si>
    <t>Alabama, North Carolina, South Dakota, Pennsylvania, Texas, Oklahoma provinces</t>
  </si>
  <si>
    <t>GLIDE:ST-2009-000289</t>
  </si>
  <si>
    <t>Texas, Nebraska, Oklahoma, Kansas, North Carolina, Alabama, Missouri, Arkansas, Pennsylvania, Tennessee, Mississippi, South Carolina, Kentucky provinces</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</si>
  <si>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</si>
  <si>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</si>
  <si>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</si>
  <si>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</si>
  <si>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Chamanacucho municipality (Sanchez Carrion district, La Libertad province)</t>
  </si>
  <si>
    <t>GLIDE:FL-2009-000089</t>
  </si>
  <si>
    <t>Santa Barbara district (California province)</t>
  </si>
  <si>
    <t>Record temperatures and strong winds</t>
  </si>
  <si>
    <t>Virginia, Kentucky provinces</t>
  </si>
  <si>
    <t>New Brunswick / Nouveau-Brunswick province</t>
  </si>
  <si>
    <t>Ice Jam/break-up</t>
  </si>
  <si>
    <t>Manaus city (Manaus district, Amazonas province)</t>
  </si>
  <si>
    <t>Rio Negro</t>
  </si>
  <si>
    <t>Tabasco province</t>
  </si>
  <si>
    <t>Heavy rain, cold front</t>
  </si>
  <si>
    <t>Xalapa, Huatusco, Cordoba, Orizaba, Coatepec, Xico, Teocelo, Perote districts (Veracruz province)</t>
  </si>
  <si>
    <t>GLIDE:FL-2009-000235</t>
  </si>
  <si>
    <t>Ouest province</t>
  </si>
  <si>
    <t>Kent, Sussex districts (Delaware province), Atlantic, Burlington, Cape May, Cumberland, Monmouth, Ocean districts (New Jersey province), Virginia, New York, North Carolina, Pennsylvannia provinces</t>
  </si>
  <si>
    <t>Tres Rios, Tangua, Belford Roxo, Duque de Caxias, Valenca, Nova Iguacu, Natividade districts (Rio de Janeiro province)</t>
  </si>
  <si>
    <t>GLIDE:FL-2009-000252</t>
  </si>
  <si>
    <t>Chepigana, Pinogana, Kuna de Wargandi districts (Darien province), Charges, Portobelo, Santa Isabel, Colon, Donoso districts (Colon province)</t>
  </si>
  <si>
    <t>Chunchunaquen Chico, Tupisa, Turqueza rivers</t>
  </si>
  <si>
    <t>San Antonio de Areco, Pergamino, Salto districts (Buenos Aires province)</t>
  </si>
  <si>
    <t>Denver, Wheat Ridge, Lakewood, Arvada areas (Denver district, Colorado province)</t>
  </si>
  <si>
    <t>Novita district (Choco province)</t>
  </si>
  <si>
    <t>Texas, Missouri, Louisiana provinces</t>
  </si>
  <si>
    <t>Baja Verapaz, El Progreso, Zacapa, Jalapa, Chiquimula, Santa Rosa, Jutiapa, Quiché provinces</t>
  </si>
  <si>
    <t>El Nino</t>
  </si>
  <si>
    <t>Paraiso, Francisco Morazan, Yoro, Choluteca, Valle, Intibuca provinces</t>
  </si>
  <si>
    <t>La Nina</t>
  </si>
  <si>
    <t>GLIDE:LS-2009-000054</t>
  </si>
  <si>
    <t>Huanchumay village (Carabaya district, Puno province)</t>
  </si>
  <si>
    <t>Altos de Cazuca (Soacha district, Cundinamarca province)</t>
  </si>
  <si>
    <t>Acre, Roraima, Espiritu Santo, Bahia, Mato Grosso, Minas Gerais states</t>
  </si>
  <si>
    <t>GLIDE:FL-2009-000031</t>
  </si>
  <si>
    <t>Dajabon, Duarte, El Seibo, Espaillat, Hato Mayor, Maria Trinidad Sanches, Monte Cristi, Puerto Plata, Samana, Santiago Rodriguez, Valverde provinces</t>
  </si>
  <si>
    <t>Rio de Janeiro, Cachoeiras de Macacu, Nova Friburgo, Angra dos Reis districts (Rio de Janeiro province), Minas Gerais province</t>
  </si>
  <si>
    <t>GLIDE:FL-2009-000052</t>
  </si>
  <si>
    <t>Tumaco isl., Tumaco, Linares, Barbacoas, Mallama, Ipiales, Ricaurte, Roberto Payan , El Rosario, Magui, Los Andes districts (Narino province) , Antioquia, Santander, Cauca, Tolima provinces</t>
  </si>
  <si>
    <t>Mira, Telembi</t>
  </si>
  <si>
    <t>Dajabon, Espaillat, La Vega, Monsenor Nouel, Monte Cristi, Puerto Plata, Santiago, Santiago Rodrigez provinces</t>
  </si>
  <si>
    <t>Texas, Pennsylvania, Oklahoma, Kentucky, Missouri, Arkansas, District of Columbia provinces</t>
  </si>
  <si>
    <t>North Dakota, Minnesota provinces</t>
  </si>
  <si>
    <t>Snowmelt, hevay rain</t>
  </si>
  <si>
    <t>Red river, Fargo, James river</t>
  </si>
  <si>
    <t>GLIDE:FL-2009-000147</t>
  </si>
  <si>
    <t>Prinzapolka district (Atlantico Norte province)</t>
  </si>
  <si>
    <t>Bambana river</t>
  </si>
  <si>
    <t>Los Angeles, Monterey districts (California province)</t>
  </si>
  <si>
    <t>Sao Paulo, Santa Catarina provinces</t>
  </si>
  <si>
    <t>GLIDE:FL-2009-000102|GLIDE:FL-2009-000206</t>
  </si>
  <si>
    <t>Williamson area (Arcahaie district, Ouest province)</t>
  </si>
  <si>
    <t>GLIDE:FL-2009-000226</t>
  </si>
  <si>
    <t>Alto Parana, Itapua, Misiones, Neembucu provinces</t>
  </si>
  <si>
    <t>Continuous rainfall</t>
  </si>
  <si>
    <t>Parana</t>
  </si>
  <si>
    <t>Artigas, Cerro Largo, Paysandu, Salto, Treinta Y Tres provinces</t>
  </si>
  <si>
    <t>GLIDE:EP-2009-000248</t>
  </si>
  <si>
    <t>Tabasco, Veracruz, Quintana Roo, Nayarit, Jalisco, Guerrero</t>
  </si>
  <si>
    <t>Heavy rain, flooding</t>
  </si>
  <si>
    <t>Iiha Grande Island (Angra dos Reis district, Rio de Janeiro province), Juiz de Fora district (Minas Gerais province)</t>
  </si>
  <si>
    <t>New Brunswick province</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</si>
  <si>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</si>
  <si>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</si>
  <si>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Río Negro, La Pampa, Córdoba, Buenos Aires, Entre Ríos, Santa Fe, Corrientes, Chaco, Formosa, Santiago del Estero provinces</t>
  </si>
  <si>
    <t>GLIDE:DR-2009-000104</t>
  </si>
  <si>
    <t>Boqueron, Presidente Hayes, Alto Paraguay, Concepción, Neembucú provinces</t>
  </si>
  <si>
    <t>La Nina and El Nino, deforestation</t>
  </si>
  <si>
    <t>USGS:usp000h5we</t>
  </si>
  <si>
    <t>Ferndale, Eureka cities (Humboldt district, California province)</t>
  </si>
  <si>
    <t>GLIDE:FL-2010-000023</t>
  </si>
  <si>
    <t>Cotopaxi, El Oro, Esmeraldas, Guayas provinces</t>
  </si>
  <si>
    <t>Cariocas borough (Nova Lima district, Minas Gerais province), Santos district (Sao Paulo province); Rio de Janeiro</t>
  </si>
  <si>
    <t>New York, District of Columbia, New Jersey, Pennsylvania, New Hampshire, Massachusetts, Maine, Connecticut, Rhode Island, Vermont provinces</t>
  </si>
  <si>
    <t>GLIDE:LS-2010-000065</t>
  </si>
  <si>
    <t>Ancash, Cajamarca provinces ; Huanuco, Ambo districts (Huanuco province), Trujillo district (La Libertad province)</t>
  </si>
  <si>
    <t>GLIDE:TC-2010-000105</t>
  </si>
  <si>
    <t>Guatemala district (Guatemala province), Alta Verapaz, El Progreso, Zacapa, Izabal, Sololá, Quetzaltenango, Retalhuleu, Suchitepéquez, Sacatepéque, Escuintla, Totonicapan, Huethuetenango, Quiché provinces</t>
  </si>
  <si>
    <t>Copan, Santa Barbara, Cortes, Yoro, Paraiso, Francisco Morazan, Choluteca, Valle, La Paz, Intibuca, Lempira, Ocotepeque, Comayagua provinces</t>
  </si>
  <si>
    <t>GLIDE:TC-2010-000123</t>
  </si>
  <si>
    <t>Santa Lucía Utatlán district (Solola province), Suchitepéquez, San Marcos, Jutiapa provinces</t>
  </si>
  <si>
    <t>Nuevo Leon, Coahuila, Tamaulipas, Oaxaca provinces</t>
  </si>
  <si>
    <t>San Miguel province</t>
  </si>
  <si>
    <t>GLIDE:EP-2010-000558</t>
  </si>
  <si>
    <t>Tegucigalpa (Fransico Morazan department); San Pedro Sula (Cortes department); El Progresso, La Ceiba, Olanchito, Yoro, Catacamas, Choluteca, Danli, El Paraiso</t>
  </si>
  <si>
    <t>Santa Cruz province</t>
  </si>
  <si>
    <t>Magui Payan municipality (Magui district, Nariño province)</t>
  </si>
  <si>
    <t>Rio Magui</t>
  </si>
  <si>
    <t>GLIDE:TC-2010-000171</t>
  </si>
  <si>
    <t>North Carolina, Virginia, Maryland, Massachusetts, Rhode Island provinces</t>
  </si>
  <si>
    <t>GLIDE:TC-2010-000182</t>
  </si>
  <si>
    <t>Campeche, Veracruz, Tabasco, Puebla provinces</t>
  </si>
  <si>
    <t>GLIDE:TC-2010-000188</t>
  </si>
  <si>
    <t>Distrito Capital, Sucre provinces</t>
  </si>
  <si>
    <t>GLIDE:FF-2010-000204</t>
  </si>
  <si>
    <t>Region Number 3 province</t>
  </si>
  <si>
    <t>GLIDE:TC-2010-000216</t>
  </si>
  <si>
    <t>St. John, St. Andrew, St. Joseph, St. Michael, St. George provinces</t>
  </si>
  <si>
    <t>Port-au-Prince, Leogane districts (Ouest province), Cayes district (Sud province), Jacmel district (Sud Est province), Grande Anse province</t>
  </si>
  <si>
    <t>GLIDE:FL-2010-000225</t>
  </si>
  <si>
    <t>Chiriqui, Darien, Coclé, Colon, Veraguas provinces</t>
  </si>
  <si>
    <t>Low pressure system interacting with Tropical Storm Tomas</t>
  </si>
  <si>
    <t>Connecticut, Massachusetts, New Hampshire, New Jersey, New York, Pennsylvania, Rhode Island provinces</t>
  </si>
  <si>
    <t>Bello town (Medellin district, Antioquia province)</t>
  </si>
  <si>
    <t>Capira, Chame, Chepo, Chiman, Kuna de Madungandí, La Chorrera, San Carlos, Panama districts (Panama province), Portobelo, Colon districts (Colon province), Darien province</t>
  </si>
  <si>
    <t>GLIDE:DR-2010-000029</t>
  </si>
  <si>
    <t>Barima Waini (region N°1), Cuyuni/mazaruni (region N°7), Pomeroon/supenaam (region N°2), Potaro/siparuni (region N°8), Upper Takutu/upper Essequibo (region N°9) provinces</t>
  </si>
  <si>
    <t>Area Under National Administration, Region Number 1 - 8 provinces</t>
  </si>
  <si>
    <t>GLIDE:FL-2010-000076</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</si>
  <si>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</si>
  <si>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</si>
  <si>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</si>
  <si>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GLIDE:EQ-2010-000009|USGS:usp000h60h</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</si>
  <si>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</si>
  <si>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La Esperanza, El Porvenir, Salaverry towns (Trujillo district, La Libertad province)</t>
  </si>
  <si>
    <t>GLIDE:EQ-2010-000034|GLIDE:TS-2010-000035|USGS:official20100227063411530_30</t>
  </si>
  <si>
    <t>Biobio province, Libertador Gral. Bernardo O'higgins, Valparaiso, Araucania, Metropolitana Santiago, Maule Provinces</t>
  </si>
  <si>
    <t>GLIDE:FL-2010-000037</t>
  </si>
  <si>
    <t>Nippes, Sud provinces</t>
  </si>
  <si>
    <t>Yazoo district (Mississippi province), Alabama, Louisiana, Arkansas, Georgia, Tennessee provinces</t>
  </si>
  <si>
    <t>GLIDE:FL-2010-000120</t>
  </si>
  <si>
    <t>GLIDE:VO-2010-000104</t>
  </si>
  <si>
    <t>Tungurahua, Chimborazo, Bolivar, Pastaza, Los Rios, Guayas provinces</t>
  </si>
  <si>
    <t>Buenos Aires, Buenos Aires D.f., Catamarca, Chaco, Chubut, Cordoba, Corrientes, Entre Rios, Formosa, Jujuy, La Pampa, La Rioja, Mendoza, Misiones, Neuquen, Rio Negro, Salta, San Juan, San Luis, Santa Cruz, Santa Fe, Santiago Del Estero, Tierra Del Fuego, Tucuman provinces</t>
  </si>
  <si>
    <t>Aisen del Gral. Carlos Ibañez del Campo province</t>
  </si>
  <si>
    <t>Paraguachon, La Majayura, Carraipia cities (Maicao district, Guajira province)</t>
  </si>
  <si>
    <t>Beni, Pando, Santa Cruz, Cochabamba, La Paz provinces</t>
  </si>
  <si>
    <t>Drought situation</t>
  </si>
  <si>
    <t>Alta Verapraz, Escuintla, Izabal, Quiché, Petén, Sacatepéquez, Guatemala, Jutiapa, Chiquimula, Solola, Zacapa, Huehuetenango provinces</t>
  </si>
  <si>
    <t>GLIDE:ST-2010-000189</t>
  </si>
  <si>
    <t>GLIDE:LS-2010-000190</t>
  </si>
  <si>
    <t>Giraldo district (Antioquia province)</t>
  </si>
  <si>
    <t>Peten, Isabel, Suchitepequez, Huehuetenango, El Progreso provinces</t>
  </si>
  <si>
    <t>Santa Maria Tlahuitoltepec municipality (Mixe district, Oaxaca province) ; Oaxaca, Chiapas provinces</t>
  </si>
  <si>
    <t>Port-au-Prince, Croix-Des-Bouquets districts (Ouest province)</t>
  </si>
  <si>
    <t>GLIDE:EP-2010-000210</t>
  </si>
  <si>
    <t>Artibonite, Centre, Grande Anse, Nippes, North, North West, North East, West, South, South East</t>
  </si>
  <si>
    <t>St. Patrick's, Name Unknown, St. George's provinces</t>
  </si>
  <si>
    <t>Severe dry conditions</t>
  </si>
  <si>
    <t>Amazonas province</t>
  </si>
  <si>
    <t>Distrito Federal, Mexico city, Michoacan provinces</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</si>
  <si>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</si>
  <si>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</si>
  <si>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GLIDE:FL-2010-000067</t>
  </si>
  <si>
    <t>GLIDE:ST-2010-000278</t>
  </si>
  <si>
    <t>Alabama, Arkansas, Mississippi, Kentucky, Tennessee provinces</t>
  </si>
  <si>
    <t>GLIDE:VO-2010-000103</t>
  </si>
  <si>
    <t>Escuintla, Guatemala, Sacatepéquez provinces</t>
  </si>
  <si>
    <t>GLIDE:FL-2010-000119</t>
  </si>
  <si>
    <t>Panama, Los Santos provinces</t>
  </si>
  <si>
    <t>Tarare river</t>
  </si>
  <si>
    <t>Tena district (Napo province)</t>
  </si>
  <si>
    <t>Torrential rainfall</t>
  </si>
  <si>
    <t>Napo river</t>
  </si>
  <si>
    <t>GLIDE:FL-2010-000106</t>
  </si>
  <si>
    <t>Chinandega, Corinto, Chichigalpa districts (Chinandega province), Leon, Managua provinces</t>
  </si>
  <si>
    <t>Intermittent rain, tropical depression Agatha</t>
  </si>
  <si>
    <t>Chimaltenango, Quezaltenango, Escuintla, Retalhuleu, Suchitepequez, Solola, Totonicapan provinces</t>
  </si>
  <si>
    <t>Heavy rains, convergence of two low-pressure systems</t>
  </si>
  <si>
    <t>Oaxaca, Guerrero, Veracruz, Tabasco, Chiapas provinces</t>
  </si>
  <si>
    <t>Heavy rains associated with Tropical Depression 11E</t>
  </si>
  <si>
    <t>Villa Guerrero district (Mexico province)</t>
  </si>
  <si>
    <t>All country affected (no data)</t>
  </si>
  <si>
    <t>Atlantico Norte, Managua, Granada, Jinotega, Esteli, Chinandega provinces</t>
  </si>
  <si>
    <t>GLIDE:TC-2010-000192</t>
  </si>
  <si>
    <t>Clarendon, Saint Catherine, Saint James, Hanover, Saint Mary, Saint Elizabeth, Saint Ann, Saint Andrew And Kingston, Westmoreland provinces</t>
  </si>
  <si>
    <t>Paraiso, Atlantida, Islas De Bahia, Colon, Yoro, Gracias A Dios, Comayagua provinces</t>
  </si>
  <si>
    <t>Chiapas, Veracruz, Tabasco, Oaxaca, Nuevo León provinces</t>
  </si>
  <si>
    <t>Santo Domingo (Santo Domingo Norte and Este); Santiago (Navarrette, Janico, Santiago), Elias Pina (Banica), San Juan (San Juan de la Maguana), Valverde (Mao), Espaillat, La Vega</t>
  </si>
  <si>
    <t>Distrito Capital, Falcon, Merida, Miranda, Nueva Esparta, Trujillo, Vargas, Zulia provinces</t>
  </si>
  <si>
    <t>Minas Gerais, Rio de Janeiro, Sao Paulo provinces</t>
  </si>
  <si>
    <t>Kern, Orange, Riverside, San Bernardino, San Luis Obispo, Tulare districts (California province), Utah, Nevada, Arizona provinces</t>
  </si>
  <si>
    <t>Trinidad, Guayaramerin, Santa Ana, Riberalta, San Ignacio de Moxos, San Borja, Magdalena, La Paz, Santa Cruz, Beni, Chuquisaca, Cochabamba, Oruro, Pando, Potosi, Tarija, Yacapani, San Juan de Yacapani, San Carlos</t>
  </si>
  <si>
    <t>Loreto, Madre Dios, Amazonas, San Martin, Ucayali, Tumbes, Piura, Lambayeque, La Libertad, Cajamarca, Ancash, Huanuco, Junin, Cerro de Pasco, Lima</t>
  </si>
  <si>
    <t>Illinois, Indiana, Iowa, Kansas, Michigan, Minnesota, Missouri, Montana, Nebraska provinces</t>
  </si>
  <si>
    <t>Christ Church, St. Andrew, St. George, St. James, St. John, St. Joseph, St. Lucy, St. Michael, St. Peter, St. Phillip, St. Tomas provinces</t>
  </si>
  <si>
    <t>Extremely dry conditipns</t>
  </si>
  <si>
    <t>GLIDE:EQ-2010-000066|USGS:ci14607652</t>
  </si>
  <si>
    <t>Mexicali district (Baja California province)</t>
  </si>
  <si>
    <t>Rhode Island province</t>
  </si>
  <si>
    <t>GLIDE:FL-2010-000008</t>
  </si>
  <si>
    <t>Beni, Chuquisaca, Cochabamba, La Paz and Santa Cruz provinces</t>
  </si>
  <si>
    <t>El Nino, Heavy rains</t>
  </si>
  <si>
    <t>Bocas del Toro, Chiriqui, Vergaguas, Colon provinces</t>
  </si>
  <si>
    <t>Sixaola river</t>
  </si>
  <si>
    <t>New Jersey, Pennsylvania, Maryland, North Carolina, Delaware, District of Columbia, Virginia provinces</t>
  </si>
  <si>
    <t>GLIDE:TO-2010-000277</t>
  </si>
  <si>
    <t>San Salvador, Sonsonate, Ahuachapan, La Libertad provinces</t>
  </si>
  <si>
    <t>Arkansas, Oklahoma provinces</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</si>
  <si>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</si>
  <si>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</si>
  <si>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GLIDE:CW-2010-000143</t>
  </si>
  <si>
    <t>Ancash, Apurimac, Arequipa, Ayacucho, Cusco, Huanvelica, Huanuco, Junin, Lima, Moquegua, Pasco, Puno, Tacna, Madre de Dios, Ucayali, Loreto provinces</t>
  </si>
  <si>
    <t>Oaxaca, Tabasco, Veracruz provinces</t>
  </si>
  <si>
    <t>Guanacaste, Puntarenas, San José, Cartago provinces</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</si>
  <si>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</si>
  <si>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</si>
  <si>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Arkansas, Missouri, Illinois provinces</t>
  </si>
  <si>
    <t>Colorado, Georgia, Illinois, Kansas, North Carolina, New Mexico, Oklahoma, South Carolina provinces</t>
  </si>
  <si>
    <t>Carriacou, Petite Martinique islands (Grenadines province)</t>
  </si>
  <si>
    <t>Santa Cruz, Tarija, Chuquisaca provinces</t>
  </si>
  <si>
    <t>GLIDE:FL-2011-000002</t>
  </si>
  <si>
    <t>Oklahoma, Texas, Missouri, Wisconsin, Minnesota, Colorado, Wyoming, Alabama, Arkansas, Delaware, Florida, Georgia, Kentucky, Louisiana, Maryland, Mississippi, North Carolina, South Carolina, Tennessee, Virginia, West Virginia, New York, New Jersey, Pennsylvania provinces</t>
  </si>
  <si>
    <t>GLIDE:TO-2011-000209</t>
  </si>
  <si>
    <t>Jasper, Newton districts (Missouri province)</t>
  </si>
  <si>
    <t>Maule province</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</si>
  <si>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</si>
  <si>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</si>
  <si>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Alabama, Arkansas, Kentucky, Mississippi, Missouri, Tennessee, Oklahoma provinces</t>
  </si>
  <si>
    <t>Guerrero, Colima, Jalisco, Michoacan, Oaxaca provinces</t>
  </si>
  <si>
    <t>Cuilapa district (Santa Rosa province)</t>
  </si>
  <si>
    <t>San Juan</t>
  </si>
  <si>
    <t>GLIDE:EQ-2011-000144|USGS:usp000j89y</t>
  </si>
  <si>
    <t>Cuilapa district (Santa Rosa province) ; Guatemala city (Guatemala district, Guatemala province)</t>
  </si>
  <si>
    <t>Puerto Vallarta district (Jalisco province), Manzanillo district (Colima province), Michoacan, Nayarit provinces</t>
  </si>
  <si>
    <t>GLIDE:FL-2011-000166|GLIDE:TC-2011-000157</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</si>
  <si>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</si>
  <si>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</si>
  <si>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</si>
  <si>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GLIDE:FL-2011-000170</t>
  </si>
  <si>
    <t>GLIDE:EP-2011-000192</t>
  </si>
  <si>
    <t>Bonao municipality</t>
  </si>
  <si>
    <t>Ucayali province</t>
  </si>
  <si>
    <t>GLIDE:FL-2011-000181</t>
  </si>
  <si>
    <t>Aragua, Zulia provinces</t>
  </si>
  <si>
    <t>GLIDE:FL-2011-000180</t>
  </si>
  <si>
    <t>Colon province</t>
  </si>
  <si>
    <t>Cuantitlan district (Jalisco province)</t>
  </si>
  <si>
    <t>Cuautitlan</t>
  </si>
  <si>
    <t>GLIDE:ST-2011-000116</t>
  </si>
  <si>
    <t>Itapua province</t>
  </si>
  <si>
    <t>GLIDE:CW-2011-000094</t>
  </si>
  <si>
    <t>Lonquimay, Curacautín, Purén villages (Malleco district, Araucania province), Cunco, Pucón, Curarrehue, Melipeuco, Carahue, Vilcún, Villarrica villages (Cautin district, Araucania province), Alto Bio-bío village (Biobio district, Biobio province)</t>
  </si>
  <si>
    <t>Texas, Oklahoma, New Mexico, Arizona, Kansas, Louisiana provinces</t>
  </si>
  <si>
    <t>GLIDE:EP-2011-000035</t>
  </si>
  <si>
    <t>Alto Parana, Metropolitan Areas of Asuncion, Concepcion, Amambay, San Pedro, Cordillera, Paraguari, Central, Guaira, Caazapa, Caaguazu, Canindeyu, Itapua, Neembuco, Misiones, Presidente Hayes, Alto Paraguay, Boqueron</t>
  </si>
  <si>
    <t>GLIDE:CW-2011-000018</t>
  </si>
  <si>
    <t>Sinaloa, Sonora, Tamaulipas provinces</t>
  </si>
  <si>
    <t>GLIDE:FL-2011-000211</t>
  </si>
  <si>
    <t>Illinois, Missouri, Kentucky, Tennessee, Mississppi provinces</t>
  </si>
  <si>
    <t>Heavy rains and melting snow</t>
  </si>
  <si>
    <t>Missouri, Kansas, Texas provinces</t>
  </si>
  <si>
    <t>Lafama (Sucumbios district, Sucumbios province)</t>
  </si>
  <si>
    <t>GLIDE:FL-2011-000061</t>
  </si>
  <si>
    <t>Dajabon, Monte Plata, Puerto Plata, San Cristobal, San Pedro de Macoris, Sanchez Ramirez, Santiago provinces</t>
  </si>
  <si>
    <t>Ozama</t>
  </si>
  <si>
    <t>GLIDE:TC-2011-000105</t>
  </si>
  <si>
    <t>GLIDE:FL-2011-000156</t>
  </si>
  <si>
    <t>Sud, Nippes, Grande Anse provinces</t>
  </si>
  <si>
    <t>Chiriqui, Darien, Colon provinces</t>
  </si>
  <si>
    <t>New York, New Jersey, Connecticut, Massachusetts provinces</t>
  </si>
  <si>
    <t>GLIDE:TC-2011-000212</t>
  </si>
  <si>
    <t>Louisiana, Mississippi, Alabama, Texas, New York, Pennsylvania, District of Columbia, Georgia, Maryland, Tennessee, Virginia provinces</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</si>
  <si>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</si>
  <si>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</si>
  <si>
    <t>Arizona, Minnesota, Texas, Florida provinces</t>
  </si>
  <si>
    <t>Drought conditions and strong winds</t>
  </si>
  <si>
    <t>Montana, North Dakota, South Dakota, Iowa, Missouri provinces</t>
  </si>
  <si>
    <t>Heavy snowmelt and rains</t>
  </si>
  <si>
    <t>Missouri river basin</t>
  </si>
  <si>
    <t>GLIDE:FL-2011-000198</t>
  </si>
  <si>
    <t>Amazon, Ancash, Apurimac, Arequipa, Ayacucho, Cajamarca, Cusco, Huancavelica, Huanuco, Ica, Junin, La Libertad, Lambayeque, Lima, Loreto, Madre de Dios, Moquegua, Pasco, Piura, Puno, San Martin, Tacna, Ucayali provinces</t>
  </si>
  <si>
    <t>Amazon river</t>
  </si>
  <si>
    <t>Nuevo Leon, Guanajuato, Sonora, Chihuahua, Coahuila, Durango, Zacatecas, San Luis Potosi provinces</t>
  </si>
  <si>
    <t>GLIDE:FL-2011-000020</t>
  </si>
  <si>
    <t>Beni, Chuquisaca, Cochabamba, La Paz provinces</t>
  </si>
  <si>
    <t>Torrential rain, La Nina</t>
  </si>
  <si>
    <t>Santa Cartarina, Parana, Espirito Santo, Mato Grosso, Mato Grosso do Sul, Rio Grande Do Sul province</t>
  </si>
  <si>
    <t>Vinces district (Los Rios province), Bolivar, Carchi, Chimborazo, Cotopaxi, El Oro, Guayas, Imabura, Manabi, Zamora Chinchipe provinces</t>
  </si>
  <si>
    <t>La Paz city (Murillo province, La Paz department)</t>
  </si>
  <si>
    <t>Manitoba, Saskatchewan, Quebec, Alberta provinces</t>
  </si>
  <si>
    <t>Rouge, Roseau rivers</t>
  </si>
  <si>
    <t>GLIDE:TC-2011-000081</t>
  </si>
  <si>
    <t>Isla, Tamalin, Tamiahua, Tampico Alto districts (Veracruz province)</t>
  </si>
  <si>
    <t>GLIDE:FL-2011-000043</t>
  </si>
  <si>
    <t>Georgetown city (Charlotte province)</t>
  </si>
  <si>
    <t>Illinois, Massachusetts, Michigan, Minnesota, North Dakota provinces</t>
  </si>
  <si>
    <t>Huancavelica, Cusco, Ayacucho, Arequipa, Moquegua provinces</t>
  </si>
  <si>
    <t>Pernambuco, Paraiba, Rio Grande do Sul provinces</t>
  </si>
  <si>
    <t>GLIDE:TC-2011-000114</t>
  </si>
  <si>
    <t>New Brunswick,Nova Scotia, Prince Edward Island provinces</t>
  </si>
  <si>
    <t>San José de Ocoa, Peravia, San Cristobal, Santo Domingo provinces</t>
  </si>
  <si>
    <t>Nord province</t>
  </si>
  <si>
    <t>Bastrop district (Texas province)</t>
  </si>
  <si>
    <t>Drought, high temperatures and strong winds</t>
  </si>
  <si>
    <t>Manantial hill (Santa Cruz Barillas municipality, Barillas district, Huehuetenango province)</t>
  </si>
  <si>
    <t>Marcovia, Choluteca, Apacilagua, Pespire districts (Choluteca province), San Lorenzo, Nacaome, Alianza districts (Valle province), Colon, Comayagua, Copan, Cortes, Francisco Morazan, Intibuca, La Paz, Olancho, Paraiso, Yoro provinces</t>
  </si>
  <si>
    <t>Chinandega, Leon, Managua, Esteli, Nueva Segovia, Madriz, Carazo, Masaya, Granada, Rivas provinces</t>
  </si>
  <si>
    <t>Ahuachapan, La Libertad, La Paz, San Salvador, San Vicente, Sonsonate, Usulutan provinces</t>
  </si>
  <si>
    <t>Tropical Depression 12-E</t>
  </si>
  <si>
    <t>Charlotte town (Mecklenburg district, North Carolina province)</t>
  </si>
  <si>
    <t>USGS:usp000ja1p</t>
  </si>
  <si>
    <t>Ica municipality (Ica district, Ica province), San Vicente de Canete municipality (Cañete district, Lima province)</t>
  </si>
  <si>
    <t>USGS:usp000jc1y</t>
  </si>
  <si>
    <t>Guerrero province</t>
  </si>
  <si>
    <t>GLIDE:CW-2011-000191</t>
  </si>
  <si>
    <t>Huehuetenango, Quiche, San Marcos, Solola, Quetzaltenango, Sacatepequez, Guatemala, Jalapa, Chiquimula provinces</t>
  </si>
  <si>
    <t>GLIDE:WF-2012-000001-CHL</t>
  </si>
  <si>
    <t>Maule, Biobio, Magallanes y Antartica chilena, Araucania provinces</t>
  </si>
  <si>
    <t>High temperatures, vrable winds, human beings</t>
  </si>
  <si>
    <t>Santa Catarina La Tinta district (Alta Verapaz province)</t>
  </si>
  <si>
    <t>Choapam, Jamiltepec, Juchitan, Juquila, Pochutla, Tuxtepec, Juchitan districts (Oaxaca province)</t>
  </si>
  <si>
    <t>Slave Lake area (Division No. 17 district, Alberta province)</t>
  </si>
  <si>
    <t>Dry conditions, strong winds</t>
  </si>
  <si>
    <t>Ouest, Nippes, Sud provinces</t>
  </si>
  <si>
    <t>Apurimac, Madre de Dios, Puno, San Martin provinces</t>
  </si>
  <si>
    <t>Mississippi, Alabama, Oklahoma, Texas, North Carolina, Kansas provinces</t>
  </si>
  <si>
    <t>Acuna, Muzquiz, Ocampo, Arteaga districts (Coahuila province)</t>
  </si>
  <si>
    <t>Lightning</t>
  </si>
  <si>
    <t>San Martin de Los Andes town (Lacar district, Neuquen province), Bariloche district (Rio Negro province), Chubut province</t>
  </si>
  <si>
    <t>Futrono, Lago Ranco, Rio Bueno towns (Ranco district, Los Rios province)</t>
  </si>
  <si>
    <t>New York, Washington, Texas, Ohio, Maine, Iowa, Illinois, Minnesota, Nebraska, Wisconsin, South Dakota provinces</t>
  </si>
  <si>
    <t>Guerrero, Oaxaca provinces</t>
  </si>
  <si>
    <t>Sud province</t>
  </si>
  <si>
    <t>New York, New Jersey, Pennsylvania, North Carolina, Virginia, Maryland, District of Columbia, Connecticut, Florida provinces</t>
  </si>
  <si>
    <t>Santa Catarina province</t>
  </si>
  <si>
    <t>Guanacaste, Puntarenas, Alajuela provinces</t>
  </si>
  <si>
    <t>GLIDE:TC-2011-000152</t>
  </si>
  <si>
    <t>Canefield, Massacre, Mahaut, Cochrane, Campbell villages (St. Paul province), Coulibistrie village (St. Joseph province)</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</si>
  <si>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</si>
  <si>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Mississippi, Ohio provinces</t>
  </si>
  <si>
    <t>Illinois, Indiana, Iowa, Kansas, Michigan, Minnesota, Missouri, Nebraska, North Dakota, Ohio, South Dakota, Wisconsin, New York, New Jersey, Pennsylvania provinces</t>
  </si>
  <si>
    <t>Bolivar town (Colon district, Zulia province)</t>
  </si>
  <si>
    <t>Distrito Capital, Merida, Miranda, Tachira, Zulia provinces</t>
  </si>
  <si>
    <t>Minas Gerias, Pernambuco, Bahia provinces</t>
  </si>
  <si>
    <t>Missouri, Pennsylvania, Virginia, Arkansas, Oklahoma, Maryland, New York provinces</t>
  </si>
  <si>
    <t>GLIDE:ST-2012-000220</t>
  </si>
  <si>
    <t>Oklahoma, Kansas, Minnesota, Texas, Pennsylvania, New York provinces</t>
  </si>
  <si>
    <t>Corrientes province</t>
  </si>
  <si>
    <t>GLIDE:FL-2012-000126</t>
  </si>
  <si>
    <t>Las Tablas, Finca 03, Finca 01, Finca 02, Finca 04, Finca 67, Las Delicias, Teodroma, La Mesa, Sixaola/Guabito areas (Changuinola district, Bocas del Toro province), El Munoz, San Jos areas (Las Tablas district, Los Santos province)</t>
  </si>
  <si>
    <t>Changuinola, Teribe, Sixaola rivers</t>
  </si>
  <si>
    <t>Villa del Prado town (Isnos district, Huila province)</t>
  </si>
  <si>
    <t>Buenos Aires, Buenos Aires D.f. provinces</t>
  </si>
  <si>
    <t>GLIDE:TC-2012-000152</t>
  </si>
  <si>
    <t>Azua, Monte Plata, Sanchez Ramirez, Barahona, San José de Ocoa provinces</t>
  </si>
  <si>
    <t>GLIDE:TC-2012-000180</t>
  </si>
  <si>
    <t>Ouest, Sud, Grande Anse, Nippes, Sud Est, Artibonite provinces</t>
  </si>
  <si>
    <t>Azua, Barahona, San Cristobal, Santo Domingo, Duarte, Monte Plata, Peravia, San Juan, San José de Ocoa, Distrito Nacional provinces</t>
  </si>
  <si>
    <t>Sacatepéquez, Escuintla and Chimaltenango provinces</t>
  </si>
  <si>
    <t>Grande-Anse, Sud, Sud Est, Artibonite, Ouest provinces</t>
  </si>
  <si>
    <t>Nebraska, Kansas, Missouri, Illinois, Indiana, Kentucky provinces</t>
  </si>
  <si>
    <t>GLIDE:WF-2012-000109</t>
  </si>
  <si>
    <t>Colorado Springs city (El Paso district, Colorado province)</t>
  </si>
  <si>
    <t>GLIDE:FL-2012-000056</t>
  </si>
  <si>
    <t>Mcal. Estigarribia district (Boqueron province), Alto Paraguay, Concepcion, Presidente Hayes province</t>
  </si>
  <si>
    <t>Pilcomayo river</t>
  </si>
  <si>
    <t>USGS:usp000jgsw</t>
  </si>
  <si>
    <t>Parral town (Linares district, Maule province), Santiago district (Metropolitana province), Biobio district (Biobio province)</t>
  </si>
  <si>
    <t>GLIDE:TO-2012-000214</t>
  </si>
  <si>
    <t>Oklahoma, Kansas, Iowa, Nebraska, South Dakota, Minnesota provinces</t>
  </si>
  <si>
    <t>Negro, Solimoes rivers</t>
  </si>
  <si>
    <t>GLIDE:FL-2012-000075</t>
  </si>
  <si>
    <t>Tachira, Sucre, Bolivar provinces</t>
  </si>
  <si>
    <t>GLIDE:CW-2012-000113</t>
  </si>
  <si>
    <t>Arequipa province</t>
  </si>
  <si>
    <t>USGS:usp000je5n</t>
  </si>
  <si>
    <t>Ica, Chincha, Pisco districts (Ica province), Canete district (Lima province)</t>
  </si>
  <si>
    <t>GLIDE:FL-2012-000005|GLIDE:FL-2012-000032</t>
  </si>
  <si>
    <t>Nord, Nord Ouest provinces</t>
  </si>
  <si>
    <t>USGS:usp000jghj</t>
  </si>
  <si>
    <t>Guerrero, Oaxaca, Mexico provinces</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</si>
  <si>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</si>
  <si>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Soacha district (Cundinamarca province)</t>
  </si>
  <si>
    <t>Santiago province</t>
  </si>
  <si>
    <t>El Porvenir (Picota district, San Martin province)</t>
  </si>
  <si>
    <t>GLIDE:FL-2012-000042</t>
  </si>
  <si>
    <t>Casanare, Amazonas, Valle del Cauca, Narino, Bocaya, Putumayo, Huila, Sucre, Cordoba, Santander, Cundimarca, Cauca, Choco provinces</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</si>
  <si>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</si>
  <si>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</si>
  <si>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Atlantico Norte, Jinotega, Madriz, Managua, Nueva Segovia provinces</t>
  </si>
  <si>
    <t>GLIDE:EQ-2012-000188|USGS:usp000jv5f</t>
  </si>
  <si>
    <t>San Marcos, Quetzaltenango, Solola, Retalhuleu, Quiché, Totonicapan, Huehuetenango, Suchitepequez, Chimaltenango, Sacatepequez, Guatemala provinces</t>
  </si>
  <si>
    <t>Calgary town (Division No. 6 district, Alberta province)</t>
  </si>
  <si>
    <t>Clarendon, Hanover, Manchester, Portland, Saint Andrew And Kingston, Saint Ann, Saint Catherine, Saint Elizabeth, Saint Mary, Saint Thomas, Trelawny, Westmoreland provinces</t>
  </si>
  <si>
    <t>Cleveland, Creek, Oklahoma, Payne districts (Oklahoma province)</t>
  </si>
  <si>
    <t>Missouri, Illinois, Kentucky, Texas, Indiana provinces</t>
  </si>
  <si>
    <t>Biobio, Magallanes y Antartica chilena provinces</t>
  </si>
  <si>
    <t>Choluteca, Francisco Morazan, Gracias A Dios, La Paz, Olancho, Paraiso, Valle provinces</t>
  </si>
  <si>
    <t>Illinois, Indiana, Iowa, Kansas, Michigan, Minnesota, Missouri, Nebraska, North Dakota, Ohio, South Dakota, Wisconsin, Arizona, California, Colorado, Nevada, New Mexico, Oklahoma, Texas, Utah provinces</t>
  </si>
  <si>
    <t>Severe lack of rainand extreme temperature</t>
  </si>
  <si>
    <t>Jefferson, Chilton districts (Alabama province)</t>
  </si>
  <si>
    <t>Perth-Andover village (Victoria district, New Brunswick province)</t>
  </si>
  <si>
    <t>Snowmelt and heavy rains</t>
  </si>
  <si>
    <t>Magallanes y Antartica chilena, Arica-Parinacota, Tarapaca provinces</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</si>
  <si>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</si>
  <si>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</si>
  <si>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GLIDE:ST-2012-000052</t>
  </si>
  <si>
    <t>Buenos Aires , Buenos Aires D.f. provinces</t>
  </si>
  <si>
    <t>Santi Spiritus province</t>
  </si>
  <si>
    <t>District of Columbia, Iowa, Virginia, North Carolina provinces</t>
  </si>
  <si>
    <t>GLIDE:TC-2012-000137</t>
  </si>
  <si>
    <t>Tabasco, Veracruz, Guerrero, Quintana Roo, Puebla, Oaxaca provinces</t>
  </si>
  <si>
    <t>GLIDE:TC-2012-000104</t>
  </si>
  <si>
    <t>Puerto Escondido city (Dist. Pochutla district, Oaxaca province)</t>
  </si>
  <si>
    <t>Paraiso, Turrialba districts (Cartago province), Matina, Siquirres, Talamanca districts (Limon province), Valle de la Estrella city (Limon district, Limon province)</t>
  </si>
  <si>
    <t>Low pressure systeù</t>
  </si>
  <si>
    <t>Mississippi, Louisiana provinces</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</si>
  <si>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</si>
  <si>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New York, New Jersey, Pennsylvania, Connecticut, Ohio, Delaware, Rhode Island, Maryland, Massachusetts, Maine, New Hampshire, North Carolina, Vermont, Virginia, District of Columbia, West Virginia provinces</t>
  </si>
  <si>
    <t>GLIDE:ST-2012-000170</t>
  </si>
  <si>
    <t>Encarnacion district (Itapua province), M. Roque Alonso district (Central province), Neembucu province</t>
  </si>
  <si>
    <t>GLIDE:FL-2012-000198</t>
  </si>
  <si>
    <t>La Chorrera, Arraijan, Capira districts (Panama province), Colon district (Colon province)</t>
  </si>
  <si>
    <t>Wisconsin, Iowa, Nebraska, Kansas provinces</t>
  </si>
  <si>
    <t>Quebec, Ontario, Nova Scotia provinces</t>
  </si>
  <si>
    <t>Texas, Louisiana, Alabama, Mississippi, Arkansas, Indiana, Pennsylvania, Virginia, New York, New Jersey provinces</t>
  </si>
  <si>
    <t>GLIDE:ST-2012-000219</t>
  </si>
  <si>
    <t>Colorado, Wyoming provinces</t>
  </si>
  <si>
    <t>Ohio, Minnesota, Pennsylvania, Michigan, Wisconsin provinces</t>
  </si>
  <si>
    <t>GLIDE:TO-2012-000213</t>
  </si>
  <si>
    <t>Alabama, Tennessee, Illinois, Kentucky, Indiana, Ohio, Georgia, Florida, Mississippi, North Carolina, Virginia provinces</t>
  </si>
  <si>
    <t>Acre province</t>
  </si>
  <si>
    <t>Acre river</t>
  </si>
  <si>
    <t>GLIDE:TO-2012-000216</t>
  </si>
  <si>
    <t>Dallas, Tarrant districts (Texas province)</t>
  </si>
  <si>
    <t>GLIDE:FL-2012-000068</t>
  </si>
  <si>
    <t>Tambori (Santiago province); San Victor, Moca (Espaillat); Puerto Plata, la Vega, Valverde, Montecristi, Duarrte</t>
  </si>
  <si>
    <t>Series of heavy rains, floods and landslides disrupting production and distribution of safe water</t>
  </si>
  <si>
    <t>Bay, Calhoun, Escambia, Franklin, Gadsden, Gulf, Holmes, Jackson, Jefferson, Leon, Liberty, Madison, Okaloosa, Santa Rosa, Taylor, Wakulla, Walton, Washington districts (Florida province), Alabama, Mississippi, Louisiana provinces</t>
  </si>
  <si>
    <t>Nippes, Grande Anse, Ouest provinces</t>
  </si>
  <si>
    <t>Strong rains</t>
  </si>
  <si>
    <t>Gantanamo, Santiago de Cuba, Granma; Holguin, Las Tunas, Camagüey provinces</t>
  </si>
  <si>
    <t>Ohio, Virginia, Maryland, West Virginia, District of Columbia, Illinois, Indiana, Kentucky, New Jersey, North Carolina, South Carolina provinces</t>
  </si>
  <si>
    <t>GLIDE:FL-2012-000191</t>
  </si>
  <si>
    <t>Artibonite, Centre, Grande Anse, Nippes, Nord, Nord Est, Nord Ouest, Ouest, Sud, Sud Est provinces</t>
  </si>
  <si>
    <t>Calleria, Yarinacocha, Mananty districts (Coronel province, Ucayali department)</t>
  </si>
  <si>
    <t>GLIDE:FR-2012-000167</t>
  </si>
  <si>
    <t>Azuay, El Oro, Imbabura, Loja provinces</t>
  </si>
  <si>
    <t>Texas, New Mexico provinces</t>
  </si>
  <si>
    <t>GLIDE:DR-2012-000011</t>
  </si>
  <si>
    <t>Concepcion, San pedro, Cordillera, Guaira, Caaguazu, Caazapa, Itapua, Misiones, Paraguari, Alto Parana, Central, Neembucu, Amambay, Canindeyu provinces</t>
  </si>
  <si>
    <t>Environmenatl effectes associated with la Nina lead to disruption of rain patterns</t>
  </si>
  <si>
    <t>Jalapa, El Progreso, Zacapa, Santa Rosa, Guatemala, Sacatepéquez, Solola, Chimaltenango, Baja Verapaz, Quiché, Huehuetenango provinces</t>
  </si>
  <si>
    <t>GLIDE:DR-2013-000069</t>
  </si>
  <si>
    <t>Zapotillo, Celica, Paltas, Macara, Sozoranga districts (Loja province)</t>
  </si>
  <si>
    <t>Leoncio Prado district (Huanuco province)</t>
  </si>
  <si>
    <t>Huallaga, Supte</t>
  </si>
  <si>
    <t>Banfield city (Lomas de Zamora district, Buenos Aires province), Chivilcoy district (Buenos Aires province).</t>
  </si>
  <si>
    <t>GLIDE:FL-2014-000008</t>
  </si>
  <si>
    <t>Beni, Mamore, Madera, Itenez</t>
  </si>
  <si>
    <t>Pacific coastal villages</t>
  </si>
  <si>
    <t>Michigan, Ohio, New York, Vermont, Maine, Kansas, Iowa, Texas, Wisconsin, Illinois, Minnesota, Arkansas, Louisiana, Mississippi, Kentucky provinces</t>
  </si>
  <si>
    <t>Oklahoma, Texas, California, New Mexico, Arizona provinces</t>
  </si>
  <si>
    <t>Veracruz province</t>
  </si>
  <si>
    <t>GLIDE:FL-2013-000074</t>
  </si>
  <si>
    <t>Artibonite, Nord Ouest, Centre provinces</t>
  </si>
  <si>
    <t>GLIDE:ST-2013-000172</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</si>
  <si>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</si>
  <si>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Colorado, Kansas, Montana, Nebraska, New Mexico, North Dakota, Oklahoma, South Dakota, Texas, Wyoming, Illinois, Indiana, Iowa, Michigan, Minnesota, Missouri, Nebraska, North Dakota, Ohio, South Dakota, Wisconsin provinces</t>
  </si>
  <si>
    <t>Yarnell area (Yavapai district, Arizona province)</t>
  </si>
  <si>
    <t>San Antonio town (Bexar district, Texas province)</t>
  </si>
  <si>
    <t>Pereque, Capiravi</t>
  </si>
  <si>
    <t>Pueblo Nuevo community (Camillo Ponce Enriquez district, Azuay province)</t>
  </si>
  <si>
    <t>GLIDE:EQ-2013-000021|USGS:usc000f4ij</t>
  </si>
  <si>
    <t>Narino, Cauca, Risaralda, Quindio,Valle Del Cauca provinces</t>
  </si>
  <si>
    <t>GLIDE:TO-2013-000170</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</si>
  <si>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</si>
  <si>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GLIDE:TO-2013-000168</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</si>
  <si>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</si>
  <si>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</si>
  <si>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</si>
  <si>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</si>
  <si>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</si>
  <si>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Cleveland, Lincoln, Catawba districts (North Carolina province), Pennsylvania province</t>
  </si>
  <si>
    <t>Slow moving storm system</t>
  </si>
  <si>
    <t>Yecuatla, Tuxpan, Atzalan districts (Veracruz province), Oaxaca province</t>
  </si>
  <si>
    <t>Arequipa district (Arequipa province), General Sanchez Cerro district (Moquagua province)</t>
  </si>
  <si>
    <t>GLIDE:TC-2013-000114</t>
  </si>
  <si>
    <t>Guerrero, Oaxaca, Jalisco, Michoacan, Sinaloa provinces</t>
  </si>
  <si>
    <t>Tegucigalpa, San Pedro Sula, Juticalpa, Comayagua, Copan, La Ceiba; Choluteca, Choloma, La Paz, Catacamas, TEla, Marcovia, Danli, Santa Barbara, SAn Marcos de Ocotepeque, Trujillo, Cortes</t>
  </si>
  <si>
    <t>Caranavi town (Caranavi Province, La Paz department)</t>
  </si>
  <si>
    <t>Excessive rains</t>
  </si>
  <si>
    <t>La Habana</t>
  </si>
  <si>
    <t>Veracruz, Hidalgo, Puebla provinces</t>
  </si>
  <si>
    <t>GLIDE:FL-2013-000145</t>
  </si>
  <si>
    <t>Boyaca, Caldas, Cundinamarca, Huila, Quindio, Risaralda, Choco, Valle del Cauca, Magdalena, Bolivar, Antioquia, Atlantico, Cauca provinces</t>
  </si>
  <si>
    <t>GLIDE:FL-2013-000159</t>
  </si>
  <si>
    <t>Canaries, Anse-La Raye villages (Region Number 7 province), Vieux Fort village (Region Number 5 province), Bexon, Marc Marc, Belair, Castries villages (Region Number 8 province)</t>
  </si>
  <si>
    <t>Heavy rains, low level troug system</t>
  </si>
  <si>
    <t>Toronto district (Ontario province)</t>
  </si>
  <si>
    <t>GLIDE:FL-2013-000157</t>
  </si>
  <si>
    <t>Violent thunderstorms</t>
  </si>
  <si>
    <t>Belford Roxo, Duque de Caxias, Nilopolis, Nova Iguaçu, Queimados, Rio de Janeiro and Sao JoaoDe Meriti districts (Rio de Janeiro province)</t>
  </si>
  <si>
    <t>Pembroke, Vermont, Buccament Bay villages (Saint Andrew province), Spring Village village (Saint Patrick province), Sandy Bay, Byera, Orange Hill villages (Charlotte province), Kingstown town (Saint George province), Saint David province</t>
  </si>
  <si>
    <t>Heavy rains, Christmas Trough</t>
  </si>
  <si>
    <t>Coclé, Veraguas, Los santos, Herrera provinces</t>
  </si>
  <si>
    <t>Maine, New Hampshire, Vermont, Massachusetts, Rhode Island, Connecticut, New York, New Jersey, Pennsylvania provinces</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</si>
  <si>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</si>
  <si>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Tabete (Esmeraldas district, Esmeraldas province)</t>
  </si>
  <si>
    <t>Loreto, Arequipa, Cusco, Ancash, Huancavelica, Huanuco, Pasco provinces</t>
  </si>
  <si>
    <t>GLIDE:EP-2013-000127</t>
  </si>
  <si>
    <t>valle de Cauca, Tolima, Santander, Cesar, meta, England, Norte de santander, Atlantic, Bolivar, Cordoba, Putumayo, Barrranquilla, Casanare, Huila, Magdalena, Sucre, Arauca, Quindiio, Vaupes, Vichada, Boyaca, Caqueta, Caldas, La Guajira</t>
  </si>
  <si>
    <t>Buenos Aires city (Buenos Aires D.f. province), La Plata city (La Plata district, Buenos Aires province)</t>
  </si>
  <si>
    <t>New Providence region (Administrative unit not available)</t>
  </si>
  <si>
    <t>Calgary city (Division No. 6 district, Southern Alberta province)</t>
  </si>
  <si>
    <t>Sheep, Red Deer, Hihwood, Saskatchevan rivers</t>
  </si>
  <si>
    <t>Hot temperatures, gusty winds, dry forest conditions</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</si>
  <si>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</si>
  <si>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Iowa, Michigan, Minnesota, Wisconsin provinces</t>
  </si>
  <si>
    <t>Yosemite valley (Mariposa district, California province)</t>
  </si>
  <si>
    <t>Colorado, Wyoming, Montana provinces</t>
  </si>
  <si>
    <t>GLIDE:CW-2013-000110</t>
  </si>
  <si>
    <t>Puno, Cusco, Ayacucho, Apurimac, Huancavelica, Junin, Moquegua, Tacna provinces</t>
  </si>
  <si>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</si>
  <si>
    <t>Atlantico Norte, Atlantico Sur provinces</t>
  </si>
  <si>
    <t>USGS:usb000jzma</t>
  </si>
  <si>
    <t>Arequipa, Ayacucho, Ica provinces</t>
  </si>
  <si>
    <t>USGS:usb000jkmw</t>
  </si>
  <si>
    <t>Ciudad Tecun Uman city (Ayutla district, San Marcos province)</t>
  </si>
  <si>
    <t>Taquarituba town (Taquarituba district, Sao Paulo province), Santa Catarina province</t>
  </si>
  <si>
    <t>Central, Cordillera, Caaguazu, Alto Parana, Amambay provinces</t>
  </si>
  <si>
    <t>Illinois, Indiana, Kentucky, Ohio, Michigan, Wisconsin, Missouri provinces</t>
  </si>
  <si>
    <t>GLIDE:VO-2013-000160</t>
  </si>
  <si>
    <t>Chinameca, San Joge, El Transito, San Rafael de Oriente districts (San Miguel province)</t>
  </si>
  <si>
    <t>Louisiana, South Carolina, Mississippi provinces</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</si>
  <si>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</si>
  <si>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Tarija, Santa Cruz, Chuquisaca, Cochabamba, Beni, La Paz provinces</t>
  </si>
  <si>
    <t>GLIDE:DR-2013-000128</t>
  </si>
  <si>
    <t>Presidente Hayes, Boqueron, Alto Paraguay, San Pedro, Concepcion, Amambay, Canindeyu, Alto Parana, Itapua, Cordillera, Guaira, Neembucu, Paraguari, Caazapa, Caaguazu provinces</t>
  </si>
  <si>
    <t>Rainfall shortages</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</si>
  <si>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</si>
  <si>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GLIDE:FL-2013-000020</t>
  </si>
  <si>
    <t>Black Forest area (El Paso district, Colorado province)</t>
  </si>
  <si>
    <t>Colorado, Kansas, Montana, Nebraska, New Mexico, North Dakota, Oklahoma, South Dakota, Texas, Wyoming, Alabama, Arkansas, Delaware, Florida, Georgia, Kentucky, Louisiana, Maryland, Mississippi, North Carolina, South Carolina, Tennessee, Virginia, West Virginia provinces</t>
  </si>
  <si>
    <t>Missouri, Kansas, Tennessee, Arkansas, Oklahoma provinces</t>
  </si>
  <si>
    <t>Ratalhuleu, San Rosa, Guatemala Sur, Zacapa, Izabal, Jutipan Quetzaltenango, Escuintla, Jutlapa, Peten, Chiquimula</t>
  </si>
  <si>
    <t>Austin district (Texas province)</t>
  </si>
  <si>
    <t>Torrentiak rain</t>
  </si>
  <si>
    <t>GLIDE:FL-2013-000167</t>
  </si>
  <si>
    <t>Lafayette, Lyons, Longmont towns (Boulder district, Colorado province), Larimer, El Paso, Broomfield districts (Colorado province), New Mexico province</t>
  </si>
  <si>
    <t>Carchi, Chimborazo, El Oro, Esmeraldas, Guayas, Imbabura, Los Rios, Manabi, Morona Santiago, Napo, Orellana, Pastaza, Pichincha, Santa Elena, Santo Domingo de los Tsachilas, Tungurahua provinces</t>
  </si>
  <si>
    <t>Shasta district (California province)</t>
  </si>
  <si>
    <t>Biobio, Libertador Gral. Bernardo O'Higgins, Maule, Metropolitana, Valparaiso provinces</t>
  </si>
  <si>
    <t>Nelson, Carroll districts (Kentucky province)</t>
  </si>
  <si>
    <t>Texas, Oklahoma, Louisiana provinces</t>
  </si>
  <si>
    <t>GLIDE:DR-2014-000132</t>
  </si>
  <si>
    <t>San Marcos De Sierra, Camasca districts (Intibuca province), Moroceli, Alauca, Oropoli, Teupasenti districts (Paraiso province), Ocotepeque, Copan, Santa Barbara, Yoro, Comayagua, Olancho, Lempira, La Paz, Valle, Choluteca, Francisco Morazan provinces</t>
  </si>
  <si>
    <t>Alagoas, Bahia, Ceara, Maranhao, Paraiba, Pernambuco, Piaui, Rio Grande Do Norte, Sergipe provinces</t>
  </si>
  <si>
    <t>Lack of rain 2012 and 2013, high temperatures</t>
  </si>
  <si>
    <t>Amazonas, Ancash, Apurimac, Arequipa, Ayacucho, Cajamarca, Callao, Cusco, Huancavelica, Huanuco, Junin, La Libertad, Lambayeuqe, Lima, Loreto, Moquegua, Pasco, Piura, Puno, San Martin, Tacna, Ucayali provinces</t>
  </si>
  <si>
    <t>GLIDE:ST-2014-000175</t>
  </si>
  <si>
    <t>Blair area (Washington district, Nebraska province), Iowa, Kansas, Arkansas, Wyoming provinces</t>
  </si>
  <si>
    <t>DFO:4220|GLIDE:FL-2015-000008</t>
  </si>
  <si>
    <t>Filadelphia, Bolpebra, Cobija, Porvenir muncipalities (Pando); Beni; Chuquisaca; Yungas (La Paz); Cochabamba; Oruro; Potosi; Santa Cruz; Tarija departments</t>
  </si>
  <si>
    <t>Alta Verapaz, Guatemala, Huehuetenango, Jalapa, Quetzaltenango, Quiché, Sacatepéquez, San Marcos, Solola, Totonicapan provinces</t>
  </si>
  <si>
    <t>Cauca, Caqueta, Choco, Magdalena, Caldas provinces</t>
  </si>
  <si>
    <t>Rainy season</t>
  </si>
  <si>
    <t>Santa Marta (dist. Esp.) district (Magdalena province)</t>
  </si>
  <si>
    <t>Cabo San Lucas city (Los Cabos area, La Paz district, Baja California Sur province)</t>
  </si>
  <si>
    <t>Oaxaca, Guerrero provinces</t>
  </si>
  <si>
    <t>Burlington city (Halton district, Ontario province)</t>
  </si>
  <si>
    <t>USGS:nc72282711</t>
  </si>
  <si>
    <t>San Francisco Bay (San Francisco district) , Napa Valley (Napa district) ; Sonoma, Solano district (California province) ; Vallejo, Mare Island cities (Solano district, California province)</t>
  </si>
  <si>
    <t>Illinois, Indiana, Iowa, Kansas, Michigan, Minnesota, Missouri, Nebraska, North Dakota, Ohio, South Dakota, Wisconsin, Maine, New Hampshire, Vermont, Massachusetts, Rhode Island, Connecticut, New York, New Jersey, Pennsylvanie, Maryland provinces</t>
  </si>
  <si>
    <t>Excessive rainfall</t>
  </si>
  <si>
    <t>GLIDE:EQ-2014-000096|USGS:usc000rr6a</t>
  </si>
  <si>
    <t>Chiapas province</t>
  </si>
  <si>
    <t>GLIDE:ST-2014-000176</t>
  </si>
  <si>
    <t>Illinois, Indiana, Iowa, Kansas, Michigan, Minnesota, Missouri, North Dakota, Colorado, Ohio, South Dakota, Wisconsin, Nebraska, New Mexico, Oklahoma, Texas, Wyoming, Arizona, Idaho, Montana, Nevada, Utah, New York, New Jersey, Pennsylvania, Maine, New Hampshire, Vermont, Massachusetts, Rhode Island, Connecticut provinces</t>
  </si>
  <si>
    <t>GLIDE:FL-2014-000030</t>
  </si>
  <si>
    <t>Asuncion district (Central province)</t>
  </si>
  <si>
    <t>Neuquen, Rio Negro, Cordoba, Santa Fe, Entre Rios, Catamarca, Santiago del Estero provinces</t>
  </si>
  <si>
    <t>GLIDE:LS-2014-000040</t>
  </si>
  <si>
    <t>Oso village (Snohomish district, Washington province)</t>
  </si>
  <si>
    <t>Heavy rains and small earthquake</t>
  </si>
  <si>
    <t>El Rodeo town (Ambato district, Catamarca province)</t>
  </si>
  <si>
    <t>Ambato river</t>
  </si>
  <si>
    <t>Georgia, Alabama, Mississippi, Louisiana, North Carolina, South Carolina provinces</t>
  </si>
  <si>
    <t>USGS:usb000sgt1</t>
  </si>
  <si>
    <t>Misca (Paruro district, Cusco province)</t>
  </si>
  <si>
    <t>GLIDE:EQ-2014-000044|USGS:usc000nzvd</t>
  </si>
  <si>
    <t>Arica y Painacota province, Alto Hospicio commune (Iquique district, Tarapaca province)</t>
  </si>
  <si>
    <t>GLIDE:EQ-2014-000049|USGS:usc000pgsi</t>
  </si>
  <si>
    <t>GLIDE:TO-2014-000061</t>
  </si>
  <si>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</si>
  <si>
    <t>USGS:usb000pq41</t>
  </si>
  <si>
    <t>Guerrero, Morelos, Distrito Federal, Michoacan provinces</t>
  </si>
  <si>
    <t>Huehuetenango, Quetzaltenango, Retalhuleu, San Marcos, Solola, Suchitepequez, Totonicapan provinces</t>
  </si>
  <si>
    <t>Uruguay river</t>
  </si>
  <si>
    <t>Sibundoy, Colon, Santiago, San Francisco districts (Putumayo province)</t>
  </si>
  <si>
    <t>New York, New Hampshire, Michigan provinces</t>
  </si>
  <si>
    <t>Los Angeles, San Diego districts (California province), Oregon province</t>
  </si>
  <si>
    <t>Madeira</t>
  </si>
  <si>
    <t>Itaoca, Apiai districts (Sao Paulo province)</t>
  </si>
  <si>
    <t>Palmital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</si>
  <si>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</si>
  <si>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</si>
  <si>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</si>
  <si>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</si>
  <si>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Madre de Dios, Cusco, Puno, Apurimac, Pasco provinces</t>
  </si>
  <si>
    <t>GLIDE:WF-2014-000050</t>
  </si>
  <si>
    <t>Hutchinson district (Texas province), San Diego district (California province)</t>
  </si>
  <si>
    <t>Excessive heat, drougth and winds</t>
  </si>
  <si>
    <t>GLIDE:FL-2014-000007</t>
  </si>
  <si>
    <t>Parana and Santa Catarina states</t>
  </si>
  <si>
    <t>Heavy Rains</t>
  </si>
  <si>
    <t>GLIDE:EP-2014-000082</t>
  </si>
  <si>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</si>
  <si>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</si>
  <si>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Hawaii province</t>
  </si>
  <si>
    <t>Tamaupilas, Veracruz provinces</t>
  </si>
  <si>
    <t>Arkansas, Louisiana, Alabama, Mississippi, Kentucky, Illinois, Texas provinces</t>
  </si>
  <si>
    <t>GLIDE:FL-2014-000163</t>
  </si>
  <si>
    <t>Choco province</t>
  </si>
  <si>
    <t>Coquimbo, Aisen del Gral. Carloz, Valparaiso, Metropolitana, Los Rios, Araucania, Biobio, Libertador Gral. Bernardo O'higgins, Los Lagos, Maule, Metropolitana provinces</t>
  </si>
  <si>
    <t>Heavy rainfall</t>
  </si>
  <si>
    <t>GLIDE:DR-2015-000150</t>
  </si>
  <si>
    <t>Baja Verapaz, El Progreso, Zacapa, Chiquimula, Jalapa, Jutiapa, Quiché, Huehuetenango, Totonicapán, San Marcos, Retalhuleu, Santa Rosa, Escuintla provinces</t>
  </si>
  <si>
    <t>GLIDE:DR-2014-000147</t>
  </si>
  <si>
    <t>GLIDE:DR-2015-000114</t>
  </si>
  <si>
    <t>GLIDE:CW-2014-000002</t>
  </si>
  <si>
    <t>Ontario, Manitoba, Saskatchewan provinces</t>
  </si>
  <si>
    <t>New York, Minnesota, Georgia, Maryland, Alaska, Alabama, Mississippi, Louisiana, North Carolina, South Carolina, Ohio, Indiana, Illinois, Pennsylvania, Michigan, New Jersey, Virginia, Kentucky, Missouri provinces</t>
  </si>
  <si>
    <t>Trinidad town (Cercado Province, Beni department), Rurrenabaque town (General Jose Ballivi province, Beni department); Cochabamba, La Paz, Chuquisaca, Oruro, Tarija, Santa Cruz, Potosi, Pando departments</t>
  </si>
  <si>
    <t>Violent weather</t>
  </si>
  <si>
    <t>Illinois, Indiana, Iowa, Kansas, Michigan, Minnesota, Missouri, Nebraska, North Dakota, Ohio, South Dakota, Wisconsin, Colorado, Montana, New Mexico, Oklahoma, Texas, Wyoming, Maine, New Hampshire, Vermont, Massachusetts, Rhode Island, Connecticut, New York, New Jersey, Pennsylvania provinces</t>
  </si>
  <si>
    <t>Illinois, Indiana, Iowa, Kansas, Michigan, Minnesota, Missouri, Nebraska, North Dakota, Ohio, South Dakota, Wisconsin, Maine, Massachusetts, New Hampshire, Vermont, Rhode Island, Connecticut, New York, New Jersey, Pennsylvania, Maryland provinces</t>
  </si>
  <si>
    <t>California, Colorado, Montana, New Mexico, North Dakota, Oklahoma, South Dakota, Texas, Wyoming, Illinois, Indiana, Iowa, Kansas, Michigan, Minnesota, Missouri, Nebraska, Ohio, Wisconsin, Tennessee, New York, New Jersey, Pennsylvania provinces</t>
  </si>
  <si>
    <t>District of Columbia, New York, Georgia, South Carolina, North Carolina, Pennsylvania provinces</t>
  </si>
  <si>
    <t>Alta Verapaz, Huehuetenango, Petén, Quiché, San Marcos provinces</t>
  </si>
  <si>
    <t>Chaco, Formosa, Misiones, Corrientes provinces</t>
  </si>
  <si>
    <t>Neembucu, Presidente Hayes, Alto Paraguay, Concepcion, San Pedro, Alto Parana, Misiones, Central provinces</t>
  </si>
  <si>
    <t>Intense rains</t>
  </si>
  <si>
    <t>Chiriqui Viejo</t>
  </si>
  <si>
    <t>La Paz district (Bafa California Sur province), Manzanillo district (Colima province), Mazatlan district (Sinaloa province), Baja Peninsula, Chihuahua, Jalisco, Nayarit,</t>
  </si>
  <si>
    <t>Tlacoachistlahuaca, Huamuxtitlan, Tlalixtaquilla, Malinaltepec districts (Guerrero province), Oaxaca province</t>
  </si>
  <si>
    <t>GLIDE:EP-2014-000081</t>
  </si>
  <si>
    <t>Orange, Mariposa, Tuolumne, Los Angeles, San Francisco, Sacaramento districts (California province)</t>
  </si>
  <si>
    <t>Heavy rains, strong storm system</t>
  </si>
  <si>
    <t>Loreto, San Martin, Junin, Ucayali, Arequipa provinces</t>
  </si>
  <si>
    <t>Cusco, Huancavelica provinces</t>
  </si>
  <si>
    <t>San Joaquin district (California province)</t>
  </si>
  <si>
    <t>Macaya area (Cayes district, Sud province), Nord province</t>
  </si>
  <si>
    <t>Scarcity of rain</t>
  </si>
  <si>
    <t>Saint Thomas, Saint Mary, Portland, Clarendon, Manchester, Saint Catherine, Saint Andrew And Kingston provinces</t>
  </si>
  <si>
    <t>Caldas, Tolima, Quindio, Huila, Boyaca, Valle Del Cauca, Santander, Narino, Caqueta, Risaralda, Guajira, Atlantico, Magdalena, Bolivar, Arauca, Casanare provinces</t>
  </si>
  <si>
    <t>California, Nevada, Oregon, Washington, Idaho, Montana, Utah, Arizona provinces</t>
  </si>
  <si>
    <t>GLIDE:TC-2015-000119</t>
  </si>
  <si>
    <t>DFO:4301</t>
  </si>
  <si>
    <t>Artigas, Salto, Rivera,Tacuarembó, Paysandu, Cerro Largo province</t>
  </si>
  <si>
    <t>Uruguay and Yaguarón rivers</t>
  </si>
  <si>
    <t>Austin, Houston districts (Texas province), Lousiana province</t>
  </si>
  <si>
    <t>GLIDE:TC-2015-000142</t>
  </si>
  <si>
    <t>Exuma, Long Island, Mayaguana, Rum Cay, San Salvador, Samana Cay, Crooked Isl., Ragged Islands (Administrative unit not available)</t>
  </si>
  <si>
    <t>DFO:4295</t>
  </si>
  <si>
    <t>South Carolina, North Carolina</t>
  </si>
  <si>
    <t>Panama district (Panama province), Santiago district (Veraguas province)</t>
  </si>
  <si>
    <t>GLIDE:FF-2015-000126</t>
  </si>
  <si>
    <t>Hildale town (Washington district, Utah province), Las Vegas town (Clark district, Nevada province)</t>
  </si>
  <si>
    <t>Torrentila rains</t>
  </si>
  <si>
    <t>Petite Savanne, Pichelin villages (St. Patrick province), Good Hope, Petite Soufriere villages (St. David province), Bath Estate village (St. George province), Dubique village (St. Andrew province), Campbell village (St. Paul province), Coulibistrie village (St. Joseph province)</t>
  </si>
  <si>
    <t>DFO:4289</t>
  </si>
  <si>
    <t>Durazno, Treinta Y Tres, Soriano, Tacuarembo provinces</t>
  </si>
  <si>
    <t>Heav rains</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</si>
  <si>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</si>
  <si>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</si>
  <si>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Apurimac, Arequipa, Cusco, Huancavelica, Lima, Moquegua, Pasco, Puno, Tacna, Ayucucho</t>
  </si>
  <si>
    <t>Apure, Tachira, Merida, Zulia provinces</t>
  </si>
  <si>
    <t>Colorado, Illinois provinces</t>
  </si>
  <si>
    <t>GLIDE:FL-2015-000060</t>
  </si>
  <si>
    <t>San Marcos area (Hays district, Texas province), Claremore area (Hays district, Oklahoma province)</t>
  </si>
  <si>
    <t>Ensenada town (Llanquihue district, Los Lagos province)</t>
  </si>
  <si>
    <t>Acuna district (Coahuila province), Veracruz, Oaxaca provinces</t>
  </si>
  <si>
    <t>GLIDE:FL-2015-000026</t>
  </si>
  <si>
    <t>Santo Domingo district (Santo Domino de los Tsachilas province), Santa Rosa district (El Oro province), Chillanes district (Bolivar province), Pichincha, Los Rios, Esmeraldas, Napo provinces</t>
  </si>
  <si>
    <t>DFO:4238|GLIDE:FL-2015-000027</t>
  </si>
  <si>
    <t>Atacama, Antofagasta, Coquimbo provinces</t>
  </si>
  <si>
    <t>Copiapo river</t>
  </si>
  <si>
    <t>GLIDE:VO-2015-000025</t>
  </si>
  <si>
    <t>Turrialba district (Cartago province)</t>
  </si>
  <si>
    <t>Connecticut, Maine, Massachusetts, New Hampshire, New Jersey, New York, Rhode Island</t>
  </si>
  <si>
    <t>La Union, San Miguel, Morazan, Usulutan, Ahuachapan, Sonsonate, Santa Ana, Chalatenango provinces</t>
  </si>
  <si>
    <t>Chuquisaca, Cochabamba, La Paz, Oruro, Potosi, Santa Cruz, Pando, Beni, Tarija</t>
  </si>
  <si>
    <t>Alajuela, Cartago, Guanacaste, Heredia, Limon, Puntarenas, San Jose provinces</t>
  </si>
  <si>
    <t>Tennessee, Kansas, District of Columbia, Boston, Ohio, Virginia, Georgia, North Carolina, South Carolina provinces</t>
  </si>
  <si>
    <t>DFO:4297|GLIDE:LS-2015-000138</t>
  </si>
  <si>
    <t>El Cambray III village (Santa Catarina Pinula district, Guatemala province)</t>
  </si>
  <si>
    <t>USGS:us10001ldx</t>
  </si>
  <si>
    <t>Santafe de Bogota D.c. district (Cundinamarca province), Cali district (Valle del Cauca province); Bucaramanga, Betulia districts (Santander Province)</t>
  </si>
  <si>
    <t>DFO:4243</t>
  </si>
  <si>
    <t>Cite Soleil, Tabarre, Delmas boroughs (Port-Au-Prince district, Ouest province), Grande Anse province</t>
  </si>
  <si>
    <t>New York, Pennsylvania, Kentucky, West Virginia, Arkansas provinces</t>
  </si>
  <si>
    <t>San Miguel, Puerto Asis, V/Guamuez</t>
  </si>
  <si>
    <t>Moore area (Cleveland district, Oklahoma province), Osage, Tulsa districts (Oklahoma province), Kansas, Missouri, Arkansas provinces</t>
  </si>
  <si>
    <t>Fairdale area (DeKalb district, Illinois province), Rochelle town (Ogle district, Illinois province), Missouri, North Carolina, Indiana, Ohio, Kentucky, Texas, Iowa, Arkansas, Michigan, West Virginia, Wisconsin, Pennsylvania, Oklahoma, Kansas, Tennessee provinces</t>
  </si>
  <si>
    <t>Vallarica, Pucon, Cararrehue municipalities, Temuco town (Cautin district, Araucania province), Conaripe municipality (Valdivia district, Los Rios province)</t>
  </si>
  <si>
    <t>Havana</t>
  </si>
  <si>
    <t>Ahuachapan, Sonsonate, La Libertad, La Paz, San Vicente, Usulutan, La Union provinces</t>
  </si>
  <si>
    <t>GLIDE:FL-2015-000011</t>
  </si>
  <si>
    <t>San Juan Bautista, Punchana, Belen, Indiana areas (Maynas district, Loreto province), Datem del Maranon, Requena, Mariscal Ramon Castilla, Ucayali, Loreto, Alto Amazonas districts (Loreto province)</t>
  </si>
  <si>
    <t>Saskatchewan, Alberta, British Columbia provinces</t>
  </si>
  <si>
    <t>Hot, dry and windy conditions</t>
  </si>
  <si>
    <t>Valparaiso, Antofagasta, Libertador Gral. Bernardo O'higgins, Coquimbo provinces</t>
  </si>
  <si>
    <t>Ganthier village (Croix-Des-Bouquets district, Sud province), Port-au-Prince district (Ouest province), Gonaïves district (Artibonite province)</t>
  </si>
  <si>
    <t>DFO:4229</t>
  </si>
  <si>
    <t>Manzanillo district (Colima province), Cihuatlan district (Jalisco province), Morelia, Zamora, Apatzingán districts (Michoacan province), Guerrero province</t>
  </si>
  <si>
    <t>Chicago, Lincolnwood towns (Cook district, Illinois province), Wood Dale town (DuPage district, Illinois province), Lancaster town (Coos district, New Hampshire province), Indiana, Ohio, Connecticut, Michigan, Massachusetts, Wisconsin, Rhode Island, Maine, New York provinces</t>
  </si>
  <si>
    <t>California, Idaho, Montana, Oregon, Washington provinces</t>
  </si>
  <si>
    <t>High temperature, Ligthning</t>
  </si>
  <si>
    <t>GLIDE:VO-2015-000167</t>
  </si>
  <si>
    <t>Cotaló, Chacauco, Pillate, Chontapamba, Chonglontus, Cúsua, Juive, Bilbao, Pelileo, Quero, Mocha, Cevallos , Ambato; Tungurahua, Chimborazo provinces</t>
  </si>
  <si>
    <t>DFO:4315|GLIDE:FL-2015-000171|GLIDE:FL-2016-000003</t>
  </si>
  <si>
    <t>Artigas, Cerro Largo, Paysandu, Rivera, Salto, Tacuarembo provinces</t>
  </si>
  <si>
    <t>DFO:4314</t>
  </si>
  <si>
    <t>Mississippi, Missouri, Kentucky, Tennessee, Arkansas, Alabama, Illinois, Indiana, Louisiana provinces</t>
  </si>
  <si>
    <t>Mississippi river</t>
  </si>
  <si>
    <t>DFO:4228</t>
  </si>
  <si>
    <t>Colon, Cruz del Eje, Punilla districts (Cordoba province)</t>
  </si>
  <si>
    <t>DFO:4227|GLIDE:FL-2015-000014</t>
  </si>
  <si>
    <t>Espaillat, Puerto Plata, Duarte, Salcedo, Sanchez Ramirez, Maria Trinidad Sanches provinces</t>
  </si>
  <si>
    <t>Illinois, Michigan, Massachusetts, New York, Connecticut, Indiana provinces</t>
  </si>
  <si>
    <t>DFO:4246</t>
  </si>
  <si>
    <t>Amazonas state; Boca do Acre (Punus region)</t>
  </si>
  <si>
    <t>San Carlos de Bariloche town (Bariloche district, Rio Negro province)</t>
  </si>
  <si>
    <t>DFO:4250|GLIDE:FL-2015-000056</t>
  </si>
  <si>
    <t>Salgar city (Antioquia), Amazonas province</t>
  </si>
  <si>
    <t>Liboriana river</t>
  </si>
  <si>
    <t>Nashville town (Howard district, Arkansas province); Van town (Van Zandt district, Texas province), Delmond town (Douglas district, South Dakota province), Colorado, Oklahoma, Kansas, Iowa provinces</t>
  </si>
  <si>
    <t>Kansas, Nebraska, Texas, Oklahoma, Minnesota, Iowa, Wisconsin provinces</t>
  </si>
  <si>
    <t>GLIDE:ST-2015-000041</t>
  </si>
  <si>
    <t>Loreto, Horqueta districts (Conception province)</t>
  </si>
  <si>
    <t>Acuna district (Coahuila province)</t>
  </si>
  <si>
    <t>DFO:4276|GLIDE:FL-2015-000092</t>
  </si>
  <si>
    <t>Parana, Santa Catarina provinces, Rio Grande do Sul province</t>
  </si>
  <si>
    <t>DFO:4281</t>
  </si>
  <si>
    <t>Asuncion district (Central province), San Pedro, Guaira provinces</t>
  </si>
  <si>
    <t>Rio Paraguay</t>
  </si>
  <si>
    <t>Lake, Napa, Solano, Yolo, Modoc, Colusa districts (California province)</t>
  </si>
  <si>
    <t>Drought conditions, gusty winds, warm temperatures, lightening</t>
  </si>
  <si>
    <t>GLIDE:VO-2015-000111</t>
  </si>
  <si>
    <t>Cotopaxi, Napo, Pichincha provinces</t>
  </si>
  <si>
    <t>DFO:4225</t>
  </si>
  <si>
    <t>Cobija city (Nicolas Suarez district, Pando province)</t>
  </si>
  <si>
    <t>Monsoonal rain</t>
  </si>
  <si>
    <t>Tahuamanu, Acre rivers</t>
  </si>
  <si>
    <t>Hillsborough, Pasco, Pinellas, Dixie, Taylor districts (Florida province)</t>
  </si>
  <si>
    <t>GLIDE:WF-2015-000125</t>
  </si>
  <si>
    <t>Lake, Napa, Sonoma, Butte districts (California province)</t>
  </si>
  <si>
    <t>High tempertaures, gusty winds, dry soil, vast swathes of dried vegetation and brush</t>
  </si>
  <si>
    <t>Santiago district (Santiago province)</t>
  </si>
  <si>
    <t>DFO:4302|GLIDE:TC-2015-000144</t>
  </si>
  <si>
    <t>Manzanillo district (Colima province), Coahuila, Nuevo leon, Tamaulipas provinces</t>
  </si>
  <si>
    <t>Guaiba, Itajai do Sul rivers</t>
  </si>
  <si>
    <t>Uruguay, Quarai rivers</t>
  </si>
  <si>
    <t>Amador, Calaveras (California)</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</si>
  <si>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</si>
  <si>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</si>
  <si>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</si>
  <si>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Illinois, Wisconsin, Pennsylvania provinces</t>
  </si>
  <si>
    <t>GLIDE:FL-2015-000024</t>
  </si>
  <si>
    <t>Cordoba, San Luis, Santiago del Estero, Catamarca, Santa Fe, Chaco, Corrientes, Salta, Tucuman provinces</t>
  </si>
  <si>
    <t>GLIDE:ST-2015-000185</t>
  </si>
  <si>
    <t>Massachusetts, New York, Tennessee, Maryland, Virginia, Pennsylvania, Kentucky, North Carolina, Michigan, Rhode Island, New Hampshire, Ohio, South Carolina, Illinois, District of Columbia, Maine, Vermont provinces</t>
  </si>
  <si>
    <t>GLIDE:WF-2015-000023</t>
  </si>
  <si>
    <t>High temperatures and wind</t>
  </si>
  <si>
    <t>Texas, Louisiana, Alabama, Mississippi, Kentucky, Georgia, Florida provinces</t>
  </si>
  <si>
    <t>Xanxere (Santa Catarina)</t>
  </si>
  <si>
    <t>Salvador city (Salvador district, Bahia state)</t>
  </si>
  <si>
    <t>Rainfall</t>
  </si>
  <si>
    <t>DFO:4255</t>
  </si>
  <si>
    <t>Aisen, Araucania, Los Rios, Los Lagos provinces</t>
  </si>
  <si>
    <t>Texas, Oklahoma, Kansas, Nebraska, Missouri, Colorado, Minnesota, South Dakota provinces</t>
  </si>
  <si>
    <t>DFO:4252|GLIDE:FL-2015-000060</t>
  </si>
  <si>
    <t>Texas, Oklahoma, Colorado, Arkansas, Kansas, Louisiana, Georgia, Ohio, South Carolina</t>
  </si>
  <si>
    <t>DFO:4269|GLIDE:FL-2015-000079</t>
  </si>
  <si>
    <t>Sarapiqui district (Heredia province); San Carlos district (Alajuela province); Turrialba district (Cartago province); Pococi, Talamanca districts (Limon province)</t>
  </si>
  <si>
    <t>DFO:4275|GLIDE:FL-2015-000093</t>
  </si>
  <si>
    <t>Barima Waini (region N°1), Demerara Mahaica (region N°4), Essequibo Islands/west Demerara (region N°3), Mahaica Berbice (region N°5), Pomeroon/supenaam (region N°2) provinces</t>
  </si>
  <si>
    <t>Barima, Kaiturma</t>
  </si>
  <si>
    <t>Illinois, Indiana, Wisconsin, Minnesota, Ohio, Iowa, Kentucky, Tennessee, Missouri, South Carolina, North Carolina</t>
  </si>
  <si>
    <t>Livingston, El Estor (Izabel department)</t>
  </si>
  <si>
    <t>Santa Rosa, Quetzaltenango, Zacapa, San Marcos, Retalhuleu, Jutiapa</t>
  </si>
  <si>
    <t>GLIDE:EQ-2015-000128|USGS:us20003k7a</t>
  </si>
  <si>
    <t>Araucania, Atacama, Biobio, Coquimbo, Libertador Gral. Bernardo O’Higgins, Maule, Metropolitana, Valparaiso provinces</t>
  </si>
  <si>
    <t>GLIDE:FL-2015-000151</t>
  </si>
  <si>
    <t>Belize city (Belize province), Orange walk, Corozal provinces</t>
  </si>
  <si>
    <t>El Progreso, Petén, Quiché, San Marcos provinces</t>
  </si>
  <si>
    <t>Chinandega province</t>
  </si>
  <si>
    <t>Raini season</t>
  </si>
  <si>
    <t>Pedegral area (Camana district, Arequipa province), Quirio, Chosica, Lurigancho areas (Lima district, Lima province), La Trinchera area (Tacna district, Tacna province), Santa Eulalia area (Huarochiri district, Lima province), La Libertad province</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</si>
  <si>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</si>
  <si>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GLIDE:TO-2015-000172</t>
  </si>
  <si>
    <t>Dallas, Ellis, Collin districts (Texas province), Mississippi, Tennessee, Arkansas, Alabama, Georgia, New Mexico, Missouri, Kentucky, Indiana, Oklahoma, Illinois provinces</t>
  </si>
  <si>
    <t>Nariño, Tolima, and Valle del Cauca departments</t>
  </si>
  <si>
    <t>Drought, El Nino</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</si>
  <si>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</si>
  <si>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</si>
  <si>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USGS:us10007e55</t>
  </si>
  <si>
    <t>Lampa, Paratia cities (Lampa district, Puno province)</t>
  </si>
  <si>
    <t>Tiquipaya (Quillacollo-Cochabamba department), Tipuani (Larecaja-La Paz), Lagunillas (Cordillera-Santa Cruz)</t>
  </si>
  <si>
    <t>Greda Mayu</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</si>
  <si>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</si>
  <si>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</si>
  <si>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</si>
  <si>
    <t>GLIDE:TC-2016-000119|GLIDE:TC-2016-000125</t>
  </si>
  <si>
    <t>Veraguas, Chiriquí, Colón, Bocas del Toro, Panama Oeste (Capira district, Panama province); Panama, Panama Oeste</t>
  </si>
  <si>
    <t>DFO:4414</t>
  </si>
  <si>
    <t>Ciudad Madero, Tampico, Altamira districts (Tamaulipas province), Catemaco district (Veracruz province), Chihuahua district (Chihuahua province)</t>
  </si>
  <si>
    <t>Sud, Grand'Anse deprtaments</t>
  </si>
  <si>
    <t>GLIDE:TC-2016-000106</t>
  </si>
  <si>
    <t>Layou (Saint Andrew)</t>
  </si>
  <si>
    <t>Florida, Georgia, South Carolina, North Carolina, Virginia provinces</t>
  </si>
  <si>
    <t>St. Thomas and Portland</t>
  </si>
  <si>
    <t>Baracoa, Imias, Maisi, San Antonio del Sur districts (Guantanamo province)</t>
  </si>
  <si>
    <t>DFO:4401</t>
  </si>
  <si>
    <t>Durango city</t>
  </si>
  <si>
    <t>DFO:4392</t>
  </si>
  <si>
    <t>Guerrero, Chiapas states</t>
  </si>
  <si>
    <t>GLIDE:WF-2016-000073</t>
  </si>
  <si>
    <t>Los Angeles, San Francisco districts (California province)</t>
  </si>
  <si>
    <t>Combination of heat, extented drought and gusty winds</t>
  </si>
  <si>
    <t>Palestine city (Anderson district, Texas province), Houston district (Texas province)</t>
  </si>
  <si>
    <t>Bombardopolis city (Mole Saint Nicolas district, Nord Ouest province), Gonaives district (Artibonite province)</t>
  </si>
  <si>
    <t>Entre Rios, Corrientes, Santa Fe, Chaco, Formosa, Santiago del Estero, Buenos Aires, Cardoba provinces</t>
  </si>
  <si>
    <t>Parana, Salado rivers</t>
  </si>
  <si>
    <t>Metropolitana district (Santiago province)</t>
  </si>
  <si>
    <t>Maipo, Mapocho, Angostura, Rapel, Cachapoal, Tinguiririca rivers</t>
  </si>
  <si>
    <t>Texas, Mississippi, Louisiana, Florida provinces</t>
  </si>
  <si>
    <t>Torrential arins</t>
  </si>
  <si>
    <t>Pinheiros</t>
  </si>
  <si>
    <t>GLIDE:TO-2016-000153</t>
  </si>
  <si>
    <t>Alabama, Mississippi, Virginia, Connecticut, Florida, Georgia, Louisiana, Massachusetts, Maryland, North Carolina, New Jersey, New York, Pennsylvania, South Carolina, Texas</t>
  </si>
  <si>
    <t>DFO:4326</t>
  </si>
  <si>
    <t>Guayas, Bolívar, Esmeraldas, Cotopaxi, Los Ríos, Manabí, Imbabura, Santo Domingo de los Tsáchilas, El Oro provinces</t>
  </si>
  <si>
    <t>Chone, Esmeraldas, Guayaqui</t>
  </si>
  <si>
    <t>Ventura, Orange, San Diego, Los Angles districts (California province)</t>
  </si>
  <si>
    <t>Pacific storm systems fueled by El Nino</t>
  </si>
  <si>
    <t>Acapulco (Guerrero state); Chiapas state</t>
  </si>
  <si>
    <t>DFO:4325</t>
  </si>
  <si>
    <t>Cap-Haitien, Limonade cities (Cap Haitien district, Nord province), Grande Anse province</t>
  </si>
  <si>
    <t>Mapou river</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</si>
  <si>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</si>
  <si>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</si>
  <si>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</si>
  <si>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GLIDE:ST-2016-000150</t>
  </si>
  <si>
    <t>Oklahoma, Colorado, Nebraska, Kansas, Iowa, Missouri, Arkansas, Illinois, Kentucky, Texas,Tennessee states</t>
  </si>
  <si>
    <t>DFO:4359|GLIDE:FL-2016-000056</t>
  </si>
  <si>
    <t>Texas, Oklahoma, Arkansas, Kansas, Nebraska provinces</t>
  </si>
  <si>
    <t>DFO:4354</t>
  </si>
  <si>
    <t>Santo Domingo, La Romana cities</t>
  </si>
  <si>
    <t>Leogane, Archahaei districts (Ouest province), Cite Soleil, Carrefour municipalities (Port-au-Prince district, Ouest province)</t>
  </si>
  <si>
    <t>DFO:4362</t>
  </si>
  <si>
    <t>Chetwynd, Lemoray, Dawson Creek, Link Creek, Braden Road, Mackenzie, Fort St. John cities (Peace River district, British Columbia/Colombie-Britannique province)</t>
  </si>
  <si>
    <t>DFO:4415</t>
  </si>
  <si>
    <t>Cap Haitien district (Nord province), Jeremie district (Grand Anse province)</t>
  </si>
  <si>
    <t>Costa Caribe Sur, Chontales, Zelaya Central, Río San Juan</t>
  </si>
  <si>
    <t>Northern (Missouri, Maryland, Oklahoma, Indiana, Michigan, New Mexico, Ohio, Virginia)</t>
  </si>
  <si>
    <t>Miranda, Nueva Esparta, Monagas provinces</t>
  </si>
  <si>
    <t>GLIDE:FL-2016-000152</t>
  </si>
  <si>
    <t>Texas, Louisiana (Shreveport, Haugton), Arkansas, Mississipi</t>
  </si>
  <si>
    <t>Sabine river, Little, Red, Big Cypress Creek, Neches, Pearl, Wolf, Leaf, Ouachita</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</si>
  <si>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</si>
  <si>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Oruro, Cochabamba, Beni provinces</t>
  </si>
  <si>
    <t>Washington D.C. (District of Columbia district, District of Columbia province), New York, New Jersey, Pennsylvania, Maryland, Virginia, Tennessee, Kentucky, Delaware, West Virginia, Georgia, North Carolina provinces</t>
  </si>
  <si>
    <t>Atacames, Rioverde, Esmeraldas districts (Esmeraldas province)</t>
  </si>
  <si>
    <t>Esmeraldas, Muisne, Quininde, San Lorenzo, Eloy Alfaro, Rio Verde and Atacames rivers</t>
  </si>
  <si>
    <t>California, Lousiana, Texas, Arkansas, Tennessee, Mississippi, Alabama, Oklahoma, Kentucky, Ohio provinces</t>
  </si>
  <si>
    <t>Texas, Oklahoma, Louisiana, Arkansas, Mississippi, Alabama, Florida provinces</t>
  </si>
  <si>
    <t>GLIDE:EQ-2016-000035|USGS:us20005j32</t>
  </si>
  <si>
    <t>Guayaquil district (Guayas province), Muisne district (Esmeraldas province), Portoviejo district (Manabi province), Santo Domingo de los Tsachilas, Los Ríos, Santa Elena provinces</t>
  </si>
  <si>
    <t>Houston district (Texas province), Brenham city (Washington district, Texas province); Montana, Kansas, Missouri, Colorado</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</si>
  <si>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</si>
  <si>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</si>
  <si>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GLIDE:TC-2016-000078</t>
  </si>
  <si>
    <t>Islas De Bahía, Colon, Gracias A Dios, Cortés</t>
  </si>
  <si>
    <t>San Pedro, Caye Caulker, Belize city, Ladyville, (Belize province), Orange Walk province, Belmopan (Cayo province)</t>
  </si>
  <si>
    <t>Puebla, Veracruz provinces</t>
  </si>
  <si>
    <t>DFO:4388|GLIDE:FL-2016-000145</t>
  </si>
  <si>
    <t>Louisiana, Mississippi, Missouri, Illinois, Indiana; Allamakee, Clayton, Fayette, Howard, Winneshiek counties (Iowa)</t>
  </si>
  <si>
    <t>GLIDE:EQ-2016-000083|USGS:us10006du3</t>
  </si>
  <si>
    <t>Yanque, Achoma (Arequipa region); Chivay, Achoma, Ichupampa, Cabanoconde, Yanque, Coporaque, Maca, Madrigal, Tapay, Lari, Tuti, Callalli (Caylloma province)</t>
  </si>
  <si>
    <t>Georgia, Florida, South Carolina, New York, New Jersey; Cedar Key, Florida, Aurora (North Carolina); Virginia Tidewater region</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</si>
  <si>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</si>
  <si>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</si>
  <si>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New Providence, Nassau</t>
  </si>
  <si>
    <t>Grand’Anse (Jérémie), South (Les Cayes, Les Anglais and Tiburon municipalities), Nippes, South East, West (Leogane, Port-au-Prince) and North West departments, Les Cayes</t>
  </si>
  <si>
    <t>Gros-Islet (Region Number 1 province), Castries, Bexon, Marc, (Region Number 8 province), Dennery (Region Number 3 province), Laborie, Vieux- Fort (Region Number 5 province), Micoud (Region Number 4 province), Choiseul (Region Number 6 province)</t>
  </si>
  <si>
    <t>Upala, Bagaces, Osa, Golfito, Corredones</t>
  </si>
  <si>
    <t>Gatlinburg city (Sevier district, Tennessee province)</t>
  </si>
  <si>
    <t>Alabama, Mississippi, Tennessee, Georgia, South Carolina, Louisiana, North Carolina provinces</t>
  </si>
  <si>
    <t>USGS:us100075y8</t>
  </si>
  <si>
    <t>Cushing (Oklahoma)</t>
  </si>
  <si>
    <t>GLIDE:FL-2016-000130</t>
  </si>
  <si>
    <t>Sandy Bay city, Magum, Orange Hill, Overland, London, Point, Owia, Fancy villages (Charlotte province), Spring Village, Coulls Hill, Troumaca, Rose Bank, Sharpes, Fitz Hughes villages (Saint Patrick province), Chateaubelair village (Saint David province)</t>
  </si>
  <si>
    <t>Cali city (Siloé district)</t>
  </si>
  <si>
    <t>Cali river</t>
  </si>
  <si>
    <t>Tamaulipas, Veracruz, Chihuahua</t>
  </si>
  <si>
    <t>Texas, Oklahoma, Kansas, Missouri, Nebraska, Illinois, Indiana, Kentucky, Ohio</t>
  </si>
  <si>
    <t>Alto Paraguay, Boqueron, Presidente Hayes provinces (Chaco region)</t>
  </si>
  <si>
    <t>Port-au-Prince city (Port-au-Prince district, Ouest province)</t>
  </si>
  <si>
    <t>Puno, Arequipa, Cusco, Junin provinces</t>
  </si>
  <si>
    <t>Ralis, Sullca, Urubamba, Coschireni rivers</t>
  </si>
  <si>
    <t>GLIDE:FL-2016-000149</t>
  </si>
  <si>
    <t>Fayette, Grimes, Harris, Parker counties, Houston districts (Texas province)</t>
  </si>
  <si>
    <t>Torrential rrains</t>
  </si>
  <si>
    <t>GLIDE:WF-2016-000043</t>
  </si>
  <si>
    <t>Fort McMurray city (Wood Buffalo area, Division No. 16 district, Alberta province)</t>
  </si>
  <si>
    <t>Texas, Oklahoma, Arkansas, Louisiana, Mississippi, Kansas, Virginia, North Carolina, Georgia, Missouri, Illinois, West Virginia provinces</t>
  </si>
  <si>
    <t>USGS:us10005i9n</t>
  </si>
  <si>
    <t>Esmeraldas district (Esmeraldas province), Portoviejo district (Manabi province)</t>
  </si>
  <si>
    <t>Baradère (Nippes), Savanette, Petit-Fond (Lascahobas)</t>
  </si>
  <si>
    <t>DFO:4368</t>
  </si>
  <si>
    <t>Greenbier district (West Virginia province); Ohio, Indiana, Illinois, Wisconsin, Virginia</t>
  </si>
  <si>
    <t>Petén, Izabal provinces</t>
  </si>
  <si>
    <t>Lower Lake, Clearlake (Lake district, California province)</t>
  </si>
  <si>
    <t>Villa Nueva</t>
  </si>
  <si>
    <t>Cabo San Lucas city (La Paz district, Baja California Sur province), Oaxaca, Colima, Jalisco provinces</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</si>
  <si>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</si>
  <si>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</si>
  <si>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Francisco Morazan, Valle, Choluteca, Paraíso provinces</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</si>
  <si>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</si>
  <si>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</si>
  <si>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</si>
  <si>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Antioquia, Amazonas, Guainía, Meta, Vaupés, Vichada, Cordoba, Santa Marta departments</t>
  </si>
  <si>
    <t>Junin</t>
  </si>
  <si>
    <t>Choco department</t>
  </si>
  <si>
    <t>San Juan River and Condoto rivers</t>
  </si>
  <si>
    <t>Upper Midwest, Northern Rockies and parts of the West; North Dakota, South Dakota and Montana.</t>
  </si>
  <si>
    <t>Port-de-Paix, îIe à Vache, Maniche, Torbeck (Cayes), Les Cayes, Tortuga (Port de Paix), Baradères, Petit Paradis (Gros Morne)</t>
  </si>
  <si>
    <t>South Ravine, Torbeck, Baradères Rivers</t>
  </si>
  <si>
    <t>GLIDE:TC-2017-000136</t>
  </si>
  <si>
    <t>St Thomas, St John, St Croix, Water Island (St Thomas), Estate Frenchman's Bay</t>
  </si>
  <si>
    <t>VGB</t>
  </si>
  <si>
    <t>Humacao town, San Juan, Bayamon, Guajataca (north-west), Tao Baja, Culebra island, Vieques,Naguabo, Fajardo , Juncos, San Lorenzo, Ceiba cities (Humacao), Arecibo, Yabucoa Caguas towns (Guyama), Cataño (Bayamon), Aguada (Aguadilla)</t>
  </si>
  <si>
    <t>Rio Guajataca, Rio Culebrinas, Rio Gurabo, Rio Grande de Manati, Rio Cibuco, Rio Guanajibo</t>
  </si>
  <si>
    <t>La Desirade Island</t>
  </si>
  <si>
    <t>GLIDE:EQ-2017-000128|USGS:us2000ahv0</t>
  </si>
  <si>
    <t>Oaxaca (Juchitan), Chiapas (Cintapala),Tabasco states</t>
  </si>
  <si>
    <t>GLIDE:TC-2017-000125|GLIDE:TC-2017-000132</t>
  </si>
  <si>
    <t>St. John, St. Thomas, most of St. Croix</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</si>
  <si>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</si>
  <si>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Inagua, Mayaguana, Crooked Island, Acklins, Long Cay, Ragged Island, San Salvador, Bimini</t>
  </si>
  <si>
    <t>Barbuda, St John and St George districts (Crosbies, Fort Road, Clare Hall, Grays Farm, Pigotts) (Antigua)</t>
  </si>
  <si>
    <t>Cabo San Lucas, San Jose del Cabo (Baja California Sur), Comondu, Mulege, La Paz, Los Cabos, Loreto</t>
  </si>
  <si>
    <t>GLIDE:TC-2017-000105</t>
  </si>
  <si>
    <t>Quintana Roo State (Yucatan Peninsula); Campeche, Tabasco and Chiapas, Lechuguillas (Veracruz state); Puebla, Hidalgo states</t>
  </si>
  <si>
    <t>Cache Creek , Ashcroft, Boston flats (Thompson Nicola), 100 Mile House , Williams Lake (Cariboo) (British Columbia)</t>
  </si>
  <si>
    <t>Weather</t>
  </si>
  <si>
    <t>Caribbean coast; Trujillo, Tocoa (Colon), Tela, La Ceiba, (Atlantida) Omoa-Cuyamel (Cortes), Laguna de Ibans in La Mosquitia (Brus Laguna), El Progreso (Yoro)</t>
  </si>
  <si>
    <t>Uchapa, Aguan, Pires</t>
  </si>
  <si>
    <t>DFO:4442</t>
  </si>
  <si>
    <t>Nariño Department (Olaya Herrera, Arboleda, Barbacoas, Roberto Payán, Magui Payán, Policarpa, Santa Bárbara de Iscuandé, Tumaco)</t>
  </si>
  <si>
    <t>Sanquianga, Quebrada Las Palmas, Telembí, Iscuandé, Mira</t>
  </si>
  <si>
    <t>Salto, Paysandú, Artigas, Río Negro</t>
  </si>
  <si>
    <t>Uruguay River</t>
  </si>
  <si>
    <t>Atacama (Chañaral, Diego de Almagro, Freirina-Huasco), Coquimbo (Monte Patria Ovalle- Limari,Andacollo-Elqui)</t>
  </si>
  <si>
    <t>Limari</t>
  </si>
  <si>
    <t>Choluteca (Choluteca city), Francisco Morazán (Talanga city), Cortés, Colón, Santa Barbara, Valle, Lempira, La Paz, Intibucá, Copán, Ocotepeque</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</si>
  <si>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</si>
  <si>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</si>
  <si>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Clarendon, Kingston, Manchester, Portland, St. Ann, St. Catherine, St. Mary and St. Thomas.</t>
  </si>
  <si>
    <t>Santo Domingo, San Cristóbal, Monte Plata, Sánchez Ramírez, Duarte and Barahona provinces</t>
  </si>
  <si>
    <t>Ozama, Yuna, Cevicos, Manoguayabo, Haina rivers</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</si>
  <si>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</si>
  <si>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</si>
  <si>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</si>
  <si>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Santiago, Valparaiso, O'Higgins, Antofagasta, Coquimbo</t>
  </si>
  <si>
    <t>Maipo river</t>
  </si>
  <si>
    <t>GLIDE:FL-2017-000014</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</si>
  <si>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</si>
  <si>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</si>
  <si>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California, Nevada, Idaho, Colorado, Utah, Oregon states</t>
  </si>
  <si>
    <t>Arequipa, Camana, Caraveli, Castile, Caylloma, Condesuyos, Islay, La Union (Arequipa). Huancavelica, Acobamba, Angaraes, Castrovirreyna, Huaytara, Tayacaja (Huancavelica), Ica, Nasca, Palpa, Pisco (Ica), Canete, Canta, Huarochirir, Lima, Oyon, Yauyos (Lima)</t>
  </si>
  <si>
    <t>Georgia (cook), Mississippi, Alabama, Louisiana, Florida states</t>
  </si>
  <si>
    <t>San Jose (North California)</t>
  </si>
  <si>
    <t>Illinois, Missouri, Indiana, Arkansas, Kentucky, Tennessee, Ohio , Georgia, Iowa, North Carolina, Virginia, Alabama, South Carolina, West Virginia, Michigan states</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</si>
  <si>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</si>
  <si>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</si>
  <si>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South Carolina, Georgia, North Carolina, Tennessee, Alabama, Mssissippi, Florida, Kentucky , Virginia</t>
  </si>
  <si>
    <t>Santa Marta and Santa Odilia (Nuevo Concepcion) San Francisco (Tiquisate)</t>
  </si>
  <si>
    <t>Coyolate river, Madre Vieja river</t>
  </si>
  <si>
    <t>GLIDE:FL-2017-000067</t>
  </si>
  <si>
    <t>Heavy Rainfall</t>
  </si>
  <si>
    <t>Cundinamarca (Guacheta), Huila (Rivera), Antioquia (Medellin, Itagui, Aburra Valley) departments</t>
  </si>
  <si>
    <t>Amuladero, Frio and Neiva rivers</t>
  </si>
  <si>
    <t>GLIDE:ST-2017-000199</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</si>
  <si>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</si>
  <si>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GLIDE:TC-2017-000123</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</si>
  <si>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</si>
  <si>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</si>
  <si>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AIA</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</si>
  <si>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</si>
  <si>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SXM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</si>
  <si>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</si>
  <si>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GLIDE:EQ-2017-000138|USGS:us2000ar20</t>
  </si>
  <si>
    <t>Puebla (Puebla, Cholula), Morelos (Cuernavaca, Jojutla), Mexico state, Mexico city (Roma, Reforma, Condesa, Narvarte, Napoles, Lindavista), Guerrero, Oaxaca, Chiapas</t>
  </si>
  <si>
    <t>Tecolutla, Xalapa, Jalcomulco</t>
  </si>
  <si>
    <t>GLIDE:TC-2017-000148</t>
  </si>
  <si>
    <t>Ixcan, San Luis and Coban communities</t>
  </si>
  <si>
    <t>Chixoy River</t>
  </si>
  <si>
    <t>Ocotepeque, Copán, Lempira, Intibucá, Santa Bárbara, Comayagua departements, Francisco Morazan (San Ignacio), Atlantida (El Porvenir), El Paraiso (Trojes), Valle (San Lorenzo, Nacaome Paso Hondo in Goascoran)</t>
  </si>
  <si>
    <t>Windsor, Tecumseh, Essex (Ontario)</t>
  </si>
  <si>
    <t>Rio de Janeiro, São Paulo, Minas Gerais</t>
  </si>
  <si>
    <t>GLIDE:WF-2016-000136</t>
  </si>
  <si>
    <t>Valparaiso, Santo Domingo (San Antonio), Casablanca (Valparaiso), Maule (Santa Olga), Biobio, Metropolitana, O'Higgins, Araucania</t>
  </si>
  <si>
    <t>GLIDE:LS-2017-000009</t>
  </si>
  <si>
    <t>Jujuy Province; Volcán, Bárcenas, Purmamarca (Tumbaya department); León (Dr Manuel Belgrano), Santa Barbara, San Martín (Ledesma), Tumbaya, Humahuaca</t>
  </si>
  <si>
    <t>GLIDE:FL-2017-000039</t>
  </si>
  <si>
    <t>Comodoro Rivadavia (Escalante - Patagonia); Santa Rosa (Canuelas-Buenos Aires); Jujuy, Salta, Tucumán, Santiago del Estero, Catamarca, San Juan, Mendoza, Córdoba, Formosa, Misiones, Santa Fe, La Pampa, Chubut, Santa Cruz provinces</t>
  </si>
  <si>
    <t>Manizales (Caldes)</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</si>
  <si>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</si>
  <si>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</si>
  <si>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</si>
  <si>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South department</t>
  </si>
  <si>
    <t>Coquimbo, Los Lagos, Bio Bio (Curanilahue), Maule, Metropolitan (Santiago), Araucania, O'Higgins, Los Rios, Valparaiso</t>
  </si>
  <si>
    <t>Thunderstorm</t>
  </si>
  <si>
    <t>Grand-Anse, Nippes, Nord-Ouest (Port de Paix), Sud (Les Anglais, Roche-a-Bateaux, Les Cayes)</t>
  </si>
  <si>
    <t>Charlier, Mayamba, Tenturier, Dupuy, Mulet rivers</t>
  </si>
  <si>
    <t>Antioquia, Cundinamarca, Cauca, Valle del Cauca, Nariño, Santander, Chocó, Caldas, Putumayo, César, Risaralda</t>
  </si>
  <si>
    <t>Highland areas and border with Brazil; Cuyuni-Mazaruni (Region Seven), Purima, Kako, Jawalla, Phillipi, Kamarang and Duebamang, Potaro- Siparuni (Region Eight), Kaibarupai, Waipa, Chenapau, Sand Hill Settlement, Itabac and Kanapang</t>
  </si>
  <si>
    <t>Ireng</t>
  </si>
  <si>
    <t>Butte (Oroville), San Luis Obispo, Santa Barbara (California)</t>
  </si>
  <si>
    <t>Ellison Creek (Water wheel) Tonto National Forest (Gila, Arizona)</t>
  </si>
  <si>
    <t>Ellison Creek</t>
  </si>
  <si>
    <t>BLM</t>
  </si>
  <si>
    <t>St. David's Christ Church, Weston St. James, Cattlewash St Joseph</t>
  </si>
  <si>
    <t>Caracol (Trou du Nord), Feroer, Malfety (Fort Liberte), Ouanaminthe, Cap Haitien; Port de Paix, St. Louis de Nord, Anse-a-Foleur, Jean Rabel, Baie-de-Henne, Detipotpe, Ile de la Tortue, Bassin Blue, Chansolme, Mole St. Nicolas which were supported</t>
  </si>
  <si>
    <t>North. Culebra and Vieques Islands</t>
  </si>
  <si>
    <t>South Caicos, Salt Cay, Grand Turks, Provo (Five keys)</t>
  </si>
  <si>
    <t>Anagoda, Tortola, Necker Island (Virgin Gorda)</t>
  </si>
  <si>
    <t>Huehuetenango, Quetzaltenango, Quiché, San Marcos, Suchitepéquez, Totonicapan</t>
  </si>
  <si>
    <t>All island</t>
  </si>
  <si>
    <t>Limbe, Cornillon (Croix des Bouquets), Saint Marc (Bocozel), Grand Saline (Artibonite), Saint Rafael (North)</t>
  </si>
  <si>
    <t>Artibonite</t>
  </si>
  <si>
    <t>San Andres, Providencia and Santa Catalina</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</si>
  <si>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</si>
  <si>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</si>
  <si>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Chalatenango, La Libertad</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</si>
  <si>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</si>
  <si>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</si>
  <si>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GLIDE:WF-2017-000190</t>
  </si>
  <si>
    <t>Napa, Sonoma, Mendocino, Lake, Solano, Butte, Yuba, Nevada, Humboldt, Calavaras, Orange counties (California)</t>
  </si>
  <si>
    <t>Georgia, North Carolina, Maryland, Virginia, New York, New Jersey, Massachusetts, Michigan, Texas, Mississippi, Missouri</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</si>
  <si>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</si>
  <si>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DFO:4444</t>
  </si>
  <si>
    <t>Center and south of California (San Diego, Los Angeles, San Francisco, Sacramento)</t>
  </si>
  <si>
    <t>GLIDE:MS-2017-000033</t>
  </si>
  <si>
    <t>San Fernando, San Miguel, Independencia, Chaparros, San Agustín, Naranjito,Pablo VI, Avenida 17 de Julio, Miraflores, Progres (Mocoa); Putumayo Department</t>
  </si>
  <si>
    <t>Mocoa, Sangoyaco, Mulato rivers</t>
  </si>
  <si>
    <t>near San Pedro Soloma</t>
  </si>
  <si>
    <t>Entre Rios, Corrientes</t>
  </si>
  <si>
    <t>GLIDE:ST-2017-000191|GLIDE:ST-2017-000192</t>
  </si>
  <si>
    <t>Colorado, New Mexico, Texas, Oklahoma, Missouri</t>
  </si>
  <si>
    <t>Southern East Coast; Chubut province. Comodoro Rivadavia, Caleta Cordova and Laprida</t>
  </si>
  <si>
    <t>Heavy Rain and storm</t>
  </si>
  <si>
    <t>GLIDE:ST-2017-000194</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</si>
  <si>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</si>
  <si>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Tulsa (Oklahoma); Texas, Louisiana, Kansas, Missouri</t>
  </si>
  <si>
    <t>MAF</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</si>
  <si>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</si>
  <si>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Le Morne-rouge, Le Carbet (St Pierre), Le Marigot, Gros-Morne (La Trinité), Northern coast, Fort-de-France, Schoelcher (Fort de France)</t>
  </si>
  <si>
    <t>Jersey shore, Seaside Park, Point Pleasant Beach (Ocean), Long Branch (Monmouth) (New Jersey), Fernandina beach (Nassau-Florida)</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</si>
  <si>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</si>
  <si>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</si>
  <si>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Rivas, Chontales, Madriz, Boaco, Rio San Juan, Nueva Segovia, Carazo, Granada and North Caribbean (Bilwi, Waspam, Prinzapolka, Siuna, Rosita, Bonanza)</t>
  </si>
  <si>
    <t>Mexico Gulf, Louisiania, Mississippi (coastal areas, Biloxi), Alabama (Dauphin Island, Autauga, Chilton, Lowndes Counties), Florida, South Carolina (Pickens, Laurens, Spartanburg, Newberry, Greenville, Union), North Carolina (Polk, Wilkes, Ashe )</t>
  </si>
  <si>
    <t>GLIDE:FL-2017-000160</t>
  </si>
  <si>
    <t>Alta Verapaz, El Progreso, Petén, Quiché</t>
  </si>
  <si>
    <t>La Pasión and Usumacinta</t>
  </si>
  <si>
    <t>Francisco Morazán, Olancho, Colón, Cortés (La Lima), Atlántida, Islas de La Bahía, Santa Bárbara, El Paraíso, Yoro, Gracias a Dios</t>
  </si>
  <si>
    <t>Teustepe, San Lorenzo, Tipitapa, Mateare, Managua, Granada, Bocana de Paiwas, Jinotega, Rosita (Las Minas)</t>
  </si>
  <si>
    <t>Oconwás</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</si>
  <si>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</si>
  <si>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</si>
  <si>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</si>
  <si>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</si>
  <si>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Corinto (Cauca)</t>
  </si>
  <si>
    <t>La Paila river</t>
  </si>
  <si>
    <t>DFO:4525</t>
  </si>
  <si>
    <t>Nuevo Laredo, Madero, Altamira, Tampico, Guemez, Hidalgo (Tamaulipas)</t>
  </si>
  <si>
    <t>Ventura, Santa Barbara, Los Angeles, San Diego, Riverside counties (California)</t>
  </si>
  <si>
    <t>Droght, winds</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</si>
  <si>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</si>
  <si>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Villa Santa Lucia (Los Lagos region), Hualaihué</t>
  </si>
  <si>
    <t>La Maquina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</si>
  <si>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</si>
  <si>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Nationwide</t>
  </si>
  <si>
    <t>San Vicente, Usulutan and San Miguel zones</t>
  </si>
  <si>
    <t>Lack of rain, El NIno</t>
  </si>
  <si>
    <t>Buenos Aires, Cordoba, Santa Fe, Pampa, Santiago del Estero provinces</t>
  </si>
  <si>
    <t>Bastrop, Burnet, Colorado, Fayette, Hood, Jim Wells, Kerr, Kimble, La Salle, Live Oak, Llano, Mason, McMullen, Nueces, Real, San Patricio, Travis, and Williamson counties</t>
  </si>
  <si>
    <t>Ottawa; Quebec province</t>
  </si>
  <si>
    <t>USGS:us2000d3km</t>
  </si>
  <si>
    <t>Oaxaca</t>
  </si>
  <si>
    <t>Colombie-Britannique</t>
  </si>
  <si>
    <t>Tropical storm 'Alberto'</t>
  </si>
  <si>
    <t>Southeast</t>
  </si>
  <si>
    <t>GLIDE:VO-2018-000066</t>
  </si>
  <si>
    <t>El Rodeo, Las Lajas, Antigua, Escuintla, Chimaltenango, Sacatepequez, San Miguel Los Lotes</t>
  </si>
  <si>
    <t>DFO:4620</t>
  </si>
  <si>
    <t>Chiquimula, El Progresso, Guatemala department, Peten, Quetzaltenango, Sacatepequez, Solola, San Marcos, Suchitepequez</t>
  </si>
  <si>
    <t>GLIDE:FL-2018-000014</t>
  </si>
  <si>
    <t>Santa Mónica, Tiro Federal, Ginés Benítez, Monseñor de Carlo, Santa Elena, Hipólito Yrigoyen, Sáenz Peña, Milenium, San José, Piñeiro, Nala, Pablo VI, Quinta Ocho (Chaco) -&gt; all in Presidencia Roque Sáenz Peña</t>
  </si>
  <si>
    <t>DFO:4569</t>
  </si>
  <si>
    <t>Chaco and Salta Province</t>
  </si>
  <si>
    <t>Bermejo, Pilcomayo Rivers</t>
  </si>
  <si>
    <t>DFO:4576</t>
  </si>
  <si>
    <t>DFO:4607</t>
  </si>
  <si>
    <t>La Matanza, Quilmes, Padre Varela de Luján,Lomas de Zamora districts (Buenos Aires)</t>
  </si>
  <si>
    <t>Ciego de Avila, Sancti Spiritus et Villa Clara, Matanzas, Pinar del Rio, Cienfuegos</t>
  </si>
  <si>
    <t>Gatineau, Montréal, Joliette, Saint-Hyacinthe, Saint-Jean-sur-Richelieu, Drummondville, Sherbrooke ,Outaouais, Laurentides, Lanaudière, Victoriaville Trois-Rivières, Québec, La Malbaie, Kamouraska, l’Abitibi-Témiscamingue, Saguenay—Lac-Saint-Jean (Quebec)</t>
  </si>
  <si>
    <t>GLIDE:ST-2018-000437</t>
  </si>
  <si>
    <t>New York City, Washington DC, Baltimore, Maryland, Texas, Kansas, Colorado, Oklahoma, Missouri, Illinois, Indiana, Iowa, New Jesey, Pennsylvania, Virginia, West Virginia, Massachusetts, Connecticut</t>
  </si>
  <si>
    <t>Pella, Marshalltown (Iowa); Missouri , Illinois, Indiana, Kansas, Kentucky, Alabama, Arkansas, Georgia, Tennessee, North Carolina, South Carolina, Viriginia, Maryland , Pennsylvania</t>
  </si>
  <si>
    <t>Wisconsin, Iowa, Minnesota, Missouri, Illinois, Kentucky, Pennsylvania, Arkansas, Ohio, Indiana</t>
  </si>
  <si>
    <t>Tropical Storm Gordon</t>
  </si>
  <si>
    <t>GLIDE:FL-2018-000108|GLIDE:FL-2018-000165</t>
  </si>
  <si>
    <t>Lepanto, Paquera, Puntarenas districts; Tárcoles, Garabito, Parrita, Quepos districts</t>
  </si>
  <si>
    <t>Naranjo, División Saveegre, Tempisque, Abangares Rivers</t>
  </si>
  <si>
    <t>Copán, Ocotepeque, Lempira, Intibucá, La Paz, Comayagua, Francisco Morazán, El Paraíso Valle (Copán),Choluteca</t>
  </si>
  <si>
    <t>Matagalpa, Jinotega, Nueva Segovia, León, Managua, Chinandega ,Región Autónoma de la Costa Caribe Norte y Sur departments</t>
  </si>
  <si>
    <t>GLIDE:FL-2018-000194</t>
  </si>
  <si>
    <t>Sangre Grande, Tunapuna/Piarco, Couva/Tabaquite/Talparo, Mayaro/Rio Claro regions</t>
  </si>
  <si>
    <t>Butte county (North California)</t>
  </si>
  <si>
    <t>GLIDE:FL-2018-000419</t>
  </si>
  <si>
    <t>Banado Norte, Chacarita, Banado Sur</t>
  </si>
  <si>
    <t>Paraguay River's middle basin</t>
  </si>
  <si>
    <t>Massachusetts, New York, Virginia, Maryland, New Hampshire, New Jersey, Pennsylvania, Connecticut, Delaware</t>
  </si>
  <si>
    <t>USGS:us2000cjfy</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</si>
  <si>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</si>
  <si>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Colorado, PLains and Midwest</t>
  </si>
  <si>
    <t>DFO:4562</t>
  </si>
  <si>
    <t>Bañado Norte, Chacarita, Bañado Sur</t>
  </si>
  <si>
    <t>GLIDE:VO-2018-000048</t>
  </si>
  <si>
    <t>Hawaï</t>
  </si>
  <si>
    <t>DFO:4647</t>
  </si>
  <si>
    <t>San Juan, Las Piedras</t>
  </si>
  <si>
    <t>Storm Beryl</t>
  </si>
  <si>
    <t>San Cristóbal and Santo Domingo provinces</t>
  </si>
  <si>
    <t>GLIDE:EQ-2018-000160|USGS:us1000h8an</t>
  </si>
  <si>
    <t>Port-de-Paix, Gros-Morne, Saint-Louis-du-Nor</t>
  </si>
  <si>
    <t>DFO:4677</t>
  </si>
  <si>
    <t>Vargas, Aragua</t>
  </si>
  <si>
    <t>Niteroi, near Rio de Janeiro</t>
  </si>
  <si>
    <t>Michoacán and Oaxaca</t>
  </si>
  <si>
    <t>New Mexico, Texas, Iowa, Minnesota, Kansas, Louisiana, Tennessee</t>
  </si>
  <si>
    <t>Thousand Oaks, Oak Park, Westlake Village, Agoura Hills, West Hills, Simi Valley, Chatsworth, Bell Canyon, Hidden Hills, Malibu and Calabasas (California)</t>
  </si>
  <si>
    <t>GLIDE:EP-2018-000071</t>
  </si>
  <si>
    <t>Santa Cruz department</t>
  </si>
  <si>
    <t>El NIno</t>
  </si>
  <si>
    <t>DFO:4591</t>
  </si>
  <si>
    <t>Torrential Rain</t>
  </si>
  <si>
    <t>GLIDE:ST-2018-000439</t>
  </si>
  <si>
    <t>Louisiana, Mississippi, North Carolina, Virginia, Arkansas, Florida, Georgia, Maryland, Michigan , Missouri , New Jersey, New York,Pennsylvania , South Carolina, Texas</t>
  </si>
  <si>
    <t>Santa Barbara County (Montecito and Carpinteria), Los Angeles County (Burbank), Ventura (California)</t>
  </si>
  <si>
    <t>Kauai Isl. (Hawai)</t>
  </si>
  <si>
    <t>Massachusetts , New Jersey, New York, Connecticut, Maine, New Hampshire, Pennsylvania, Maryland, Rhode Island , South Carolina, Tennessee, Virginia, North Carolina, Georgia</t>
  </si>
  <si>
    <t>DFO:4577|GLIDE:FL-2018-000015</t>
  </si>
  <si>
    <t>Tarija, Cochabamba,</t>
  </si>
  <si>
    <t>Norte de Santander, Cundinamarca, Choco, Narino, Tolima, Santander, Antioquia, Boyaca, Valle del Cauca</t>
  </si>
  <si>
    <t>DFO:4612</t>
  </si>
  <si>
    <t>British Columbia</t>
  </si>
  <si>
    <t>Heavy Rain and Snowmelt</t>
  </si>
  <si>
    <t>San Cristóbal Province, Santo Domingo Province, Distrito Nacional</t>
  </si>
  <si>
    <t>Tropical Storm Beryl</t>
  </si>
  <si>
    <t>Shasta, Trinity, Mendocino, Lake, Colusa, and Glenn counties (California)</t>
  </si>
  <si>
    <t>Bolivar, Monagas, Amazonas states</t>
  </si>
  <si>
    <t>Orénoque</t>
  </si>
  <si>
    <t>USGS:us1000dzgr</t>
  </si>
  <si>
    <t>Intipuca (La Union); Chirilagua (San Miguel)</t>
  </si>
  <si>
    <t>GLIDE:TC-2018-000420</t>
  </si>
  <si>
    <t>South and North Carolina, Virginia</t>
  </si>
  <si>
    <t>Colorado, Nebraska, Wyoming</t>
  </si>
  <si>
    <t>Sinaloa, Sonora, Chihuahua, Michoacan</t>
  </si>
  <si>
    <t>Cutio river</t>
  </si>
  <si>
    <t>GLIDE:TC-2018-000433</t>
  </si>
  <si>
    <t>Sandino, San Juan municipalities (Pinar del Rio province)</t>
  </si>
  <si>
    <t>Florida, Georgia, Alabama, North Carolina, Virginia, Maryland</t>
  </si>
  <si>
    <t>Jutiapa department</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</si>
  <si>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</si>
  <si>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</si>
  <si>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Lomas de Zamora, La Matanza, Lobos, La Plata, Arrecifes, Marcos Paz, Lanus (Buenos Aires Province)</t>
  </si>
  <si>
    <t>La Guajira, Caldas departments</t>
  </si>
  <si>
    <t>GLIDE:TC-2018-000168</t>
  </si>
  <si>
    <t>Sinaloa, Nayarit, Jalisco, Durango, Zacatec</t>
  </si>
  <si>
    <t>GLIDE:DR-2018-000033</t>
  </si>
  <si>
    <t>Tacuarembó, Salto, Durazno, Artigas, Paysandú, Rivera, Río Negro, Florida, Treinta y Tres, Maldonado, Cerro Largo, Colonia</t>
  </si>
  <si>
    <t>Lack of rain, La Nina</t>
  </si>
  <si>
    <t>DFO:4853</t>
  </si>
  <si>
    <t>Huanuco, Pasco and Cusco departments</t>
  </si>
  <si>
    <t>Rocuant, San Roque (Valparaiso)</t>
  </si>
  <si>
    <t>Missouri, Nebraska, Indiana, Kansas, Louisiana, Mississippi, Alabama, Florida, Georgia</t>
  </si>
  <si>
    <t>DFO:4809</t>
  </si>
  <si>
    <t>Zulia State</t>
  </si>
  <si>
    <t>Nariño Department</t>
  </si>
  <si>
    <t>Telembí River</t>
  </si>
  <si>
    <t>Bromont, Sherbrooke (Quebec); Ontario</t>
  </si>
  <si>
    <t>Los Angeles and Riverside counties (California)</t>
  </si>
  <si>
    <t>GLIDE:TO-2019-000195</t>
  </si>
  <si>
    <t>Texas, Arkansas, Oklahoma, Missouri, Louisiana,Tennessee.</t>
  </si>
  <si>
    <t>GLIDE:TC-2019-000099</t>
  </si>
  <si>
    <t>Great Abaco, Grand Bahama</t>
  </si>
  <si>
    <t>Alta Verapaz, Sololá, Guatemala, Santa Rosa, Sacatepéquez, Suchitepéquez, Escuintla</t>
  </si>
  <si>
    <t>Moquegua, Arequipa, Puno,Tacna Departments</t>
  </si>
  <si>
    <t>Santa Ana, Ahuachapán, Sonsonate, Cabañas departments</t>
  </si>
  <si>
    <t>Pernambuco state</t>
  </si>
  <si>
    <t>Victoria (Tamaulipas)</t>
  </si>
  <si>
    <t>Asuncion, Pilar</t>
  </si>
  <si>
    <t>Cabaret, Arcahaie, Cité Soleil, Carrefour, Port-au-Prince, Tabarre and Gressier municipalitities (Ouest department)</t>
  </si>
  <si>
    <t>General Taboada, Juan Felipe Ibarra, Belgrano Departments (Santiago del Estero Province)</t>
  </si>
  <si>
    <t>Hevy rainfall</t>
  </si>
  <si>
    <t>Resistencia, Barranqueras, General Pinedo, Charata, Las Breñas, Saenz Peña, Corrientes cities (Chaco, Formosa, Corrientes provinces)</t>
  </si>
  <si>
    <t>Rosas (Cauca department) - Barbacoas municapility (Narino department)</t>
  </si>
  <si>
    <t>Cochabamba, Beni, La Paz, Potosi, Chuquisaca, Tarija and Pando</t>
  </si>
  <si>
    <t>GLIDE:ST-2019-000199</t>
  </si>
  <si>
    <t>Tennessee, Mississippi, Alabama, Illinois, Indiana, Ohio, Connecticut, Maryland, Massachusetts, New Jersey, New-York, Pennsylvania, Virginia, West Virginia states</t>
  </si>
  <si>
    <t>GLIDE:FL-2019-000020</t>
  </si>
  <si>
    <t>Condoto, Tadó, Cértegui, Andagoya, Río Iró e Istmina municipalities (Chocó department)</t>
  </si>
  <si>
    <t>San Juan, Iró, Condoto, Cértegui , Quito rivers</t>
  </si>
  <si>
    <t>Apurimac, Arequipa, Ayacucho, Cusco, Huancavelica, Ica, Lima, Moquegua, Puno, Tacna</t>
  </si>
  <si>
    <t>Missouri, Illinois, Iowa, Kansas, Nebraska, Washington DC, Virginia, Colorado, North, South Carolina</t>
  </si>
  <si>
    <t>GLIDE:FL-2019-000032</t>
  </si>
  <si>
    <t>Chuquisaca, La Paz, Potosí, Oruro, Cochabamba, Tarija, Pando, Beni, Santa Cruz departments</t>
  </si>
  <si>
    <t>Heavy rain and thunderstorms, El Nino</t>
  </si>
  <si>
    <t>La Delia, El Colorado (Los Rios Province); Santa Ana Canton, Manabí, Pastaza provinces</t>
  </si>
  <si>
    <t>Portoviejo River</t>
  </si>
  <si>
    <t>Alabama, Georgia, South Carolina, Florida, Mississippi,</t>
  </si>
  <si>
    <t>GLIDE:FL-2019-000015</t>
  </si>
  <si>
    <t>Arequipa, Ancash, Loreto, Tacna, Moquegua</t>
  </si>
  <si>
    <t>São Paulo, São Bernardo do Campo, Ribeirão Pires, Suzano (Sao Paulo)</t>
  </si>
  <si>
    <t>GLIDE:FL-2019-000192</t>
  </si>
  <si>
    <t>Nebraska, Iowa, Wisconsin, Missouri, Kansas, Illinois, Minnesota, South Dakota, North Dakota, Michigan</t>
  </si>
  <si>
    <t>Fast snowmelt</t>
  </si>
  <si>
    <t>GLIDE:FL-2019-000179</t>
  </si>
  <si>
    <t>Ontario, Nouveau-Brunswick, Quebec</t>
  </si>
  <si>
    <t>Incresaing temperatures and heavy rains</t>
  </si>
  <si>
    <t>St Lawrence, St John rivers</t>
  </si>
  <si>
    <t>Texas, Lousiana states</t>
  </si>
  <si>
    <t>Ñeembucú, Presidente Hayes, Alto Paraguay, Concepción, Capital, Misiones, San Pedro, Central Departments</t>
  </si>
  <si>
    <t>Paraguay River</t>
  </si>
  <si>
    <t>San Gabriel municipality (Jalisco state)</t>
  </si>
  <si>
    <t>Apango and Salsipuedes rivers</t>
  </si>
  <si>
    <t>GLIDE:EQ-2019-000049|USGS:us60003sc0</t>
  </si>
  <si>
    <t>Amazon basin region</t>
  </si>
  <si>
    <t>Lake Titicaca on the Peru-Bolivia border, La Paz department</t>
  </si>
  <si>
    <t>Petite Goave</t>
  </si>
  <si>
    <t>Oaxaca state</t>
  </si>
  <si>
    <t>San Lucas Sacatepéquez Municipality (Sacatepéquez Department)</t>
  </si>
  <si>
    <t>Antioquia and Tolima Departments</t>
  </si>
  <si>
    <t>Alegre, Vitória, Vila Velha, Cariacica, Viana municipalities (Espirito Santo State)</t>
  </si>
  <si>
    <t>DFO:4835</t>
  </si>
  <si>
    <t>Salvador de Bahia City (Bahia State, north-eastern Brazil)</t>
  </si>
  <si>
    <t>GLIDE:DR-2020-000031</t>
  </si>
  <si>
    <t>San Martín, Rivadavia, Oran departments (Salta province)</t>
  </si>
  <si>
    <t>GLIDE:FL-2019-000009</t>
  </si>
  <si>
    <t>Corrientes, Santiago del Estero, Chaco, Tucumán, Santa Fe, Entre Ríos provinces</t>
  </si>
  <si>
    <t>Alegrete, Santana da Boa Vista, Quaraí , Bagé and Lavras do Sul Municipalities municipalities (Rio Grande do Sul State)</t>
  </si>
  <si>
    <t>GLIDE:ST-2019-000111</t>
  </si>
  <si>
    <t>Cerro, 10 de Octubre,Guanabacoa, Regla, San Miguel del Padron (la Havana)</t>
  </si>
  <si>
    <t>Santa Cruz, Cochabamba, Tarija, Potosi, northern part of La Paz</t>
  </si>
  <si>
    <t>Artigas, Durazno, Florida, Soriano, Salto</t>
  </si>
  <si>
    <t>Amador, Glenn, Lake, Mendocino, Sonoma, Humboldt counties (California)</t>
  </si>
  <si>
    <t>DFO:4726</t>
  </si>
  <si>
    <t>Arica y Parinacota, Tarapacá, Antofagasta regions</t>
  </si>
  <si>
    <t>Asuncion, Distrito Capital</t>
  </si>
  <si>
    <t>Rio Paraguay, Rio Parana</t>
  </si>
  <si>
    <t>Antioquia, Nariño, Cauca, Cundinamarca, Huila, Caldas, Caquetá</t>
  </si>
  <si>
    <t>GLIDE:EQ-2019-000077|USGS:ci38457511</t>
  </si>
  <si>
    <t>Ridgecrest (Califronia)</t>
  </si>
  <si>
    <t>Lincolnton region (Lincoln County, North Carolina)</t>
  </si>
  <si>
    <t>Catawba river</t>
  </si>
  <si>
    <t>Louisiana, Mississippi, Arkansas, Oklahoma, Great Lakes region</t>
  </si>
  <si>
    <t>North Central, Huetar Caribe</t>
  </si>
  <si>
    <t>Managua, Estelí, Masaya</t>
  </si>
  <si>
    <t>Santa Cruz, Beni, La Paz departments</t>
  </si>
  <si>
    <t>Northwestern, Legal Amazon Area</t>
  </si>
  <si>
    <t>Los Angeles, San Bernardino, Ventura, Sonoma Counties (California)</t>
  </si>
  <si>
    <t>Coahuila, Nuevo León, Tamaulipas, San Luis Potosí states</t>
  </si>
  <si>
    <t>Pacific Northwest, Rockies, Northern Plains, Upper Midwest, and the Northeast</t>
  </si>
  <si>
    <t>DFO:4812</t>
  </si>
  <si>
    <t>Canelones, Florida, Durazno, San José and Treinta y Tres departments</t>
  </si>
  <si>
    <t>Chaparral municipality (Tolima Department)</t>
  </si>
  <si>
    <t>DFO:4834</t>
  </si>
  <si>
    <t>Sinaloa, Chihuahua, Sonora, Baja California; Mazatlán (Sinaloa)</t>
  </si>
  <si>
    <t>DFO:4727</t>
  </si>
  <si>
    <t>Northern California</t>
  </si>
  <si>
    <t>GLIDE:EQ-2019-000008|USGS:us2000j6hy</t>
  </si>
  <si>
    <t>Coquimbo</t>
  </si>
  <si>
    <t>Apurimac department (Abancay province)</t>
  </si>
  <si>
    <t>Midwest and Northeast</t>
  </si>
  <si>
    <t>Upper midwest</t>
  </si>
  <si>
    <t>Rio de Janeiro, Maranhao, Piaui, Sao Paulo states</t>
  </si>
  <si>
    <t>GLIDE:ST-2019-000191</t>
  </si>
  <si>
    <t>Robertson, Angelina, Houston and Cherokee Counties (Texas); Louisiana, Arkansas, Mississippi, Alabama, Georgia, North Carolina, Ohio, Pennyslvania</t>
  </si>
  <si>
    <t>USGS:us70003t2n</t>
  </si>
  <si>
    <t>San Martín municipality (San Salvador Department)</t>
  </si>
  <si>
    <t>Libertad, Loreto, Cajamarca, San Martín departments</t>
  </si>
  <si>
    <t>Jefferson city, Golden (Barry county), Carl Junction (Jasper county), Missouri state</t>
  </si>
  <si>
    <t>Florida, Durazno</t>
  </si>
  <si>
    <t>Banos de Agua Santa (Tungurahua province, central Ecuador); Juive Grande</t>
  </si>
  <si>
    <t>Cortés, Yoro, Olancho, Santa Bárbara, San Pedro Sula Metropolitan, Comayagua Region</t>
  </si>
  <si>
    <t>Quetzaltenango, Huehuetenango, Petén, Suroriente, Guatemala, Las Verapaces.</t>
  </si>
  <si>
    <t>Metropolitan Region of Recife</t>
  </si>
  <si>
    <t>Florida, Georgia, South Carolina, North Carolina, Virginia</t>
  </si>
  <si>
    <t>GLIDE:TC-2019-000186</t>
  </si>
  <si>
    <t>Baja California Peninsula, coastal Baja California Sur, Jalisco, Sinaloa, Nayarit, Michoacan, Colima States</t>
  </si>
  <si>
    <t>Alto Paraguay, Amambay, Caazapá, Canindeyú, Concepción, Presidente Hayes, San Pedro departments</t>
  </si>
  <si>
    <t>Lack of rain—compounded by strong winds and the use of slash-and-burn agricultural techniques</t>
  </si>
  <si>
    <t>GLIDE:EP-2019-000105</t>
  </si>
  <si>
    <t>Meta, Tolima, Huila, Santander, Norte de Santander, Casanare, Cesar, Antioquia,</t>
  </si>
  <si>
    <t>GLIDE:EP-2019-000106</t>
  </si>
  <si>
    <t>Barahona, Independencia, Santo Domingo</t>
  </si>
  <si>
    <t>GLIDE:EQ-2019-000016|USGS:us2000jlfv</t>
  </si>
  <si>
    <t>Azuay, Manabi, Morona Sant</t>
  </si>
  <si>
    <t>DFO:4931</t>
  </si>
  <si>
    <t>Montevideo, Lavalleja, Colonia, Canelones</t>
  </si>
  <si>
    <t>GLIDE:TC-2020-000173</t>
  </si>
  <si>
    <t>Yauco, Jayuya, Mayagüez cities</t>
  </si>
  <si>
    <t>Filomeno Meta municipality (Veracruz State)</t>
  </si>
  <si>
    <t>GLIDE:TC-2020-000189</t>
  </si>
  <si>
    <t>GLIDE:TC-2020-000218|GLIDE:TC-2020-000220|GLIDE:TC-2020-000224</t>
  </si>
  <si>
    <t>Chiapas, San Cristobal de Las Casas, Tabasco</t>
  </si>
  <si>
    <t>Bonanza Municipality, Bilwi, Jinotega, Yali, Wiwili, Ocotal.</t>
  </si>
  <si>
    <t>Florida, North Carolina, Virginia</t>
  </si>
  <si>
    <t>Louisiana, Mississippi, Alabama, northern Georgia, south and North Carolinas</t>
  </si>
  <si>
    <t>GLIDE:TC-2020-000227</t>
  </si>
  <si>
    <t>San Andre, Providencia Islands (Caribbean Sea), Bolivar, Choco, Guajira, Santa Catalina, Sucre, Atlántico, Magdalena,La Guajira Departments</t>
  </si>
  <si>
    <t>Alta Verapaz, Baja Verapaz, Izabal, Chiquimula, Quiché, Zacapa departments</t>
  </si>
  <si>
    <t>Illinois, Wisconsin, North Carolina, Virginia, Maryland</t>
  </si>
  <si>
    <t>GLIDE:ST-2020-000252</t>
  </si>
  <si>
    <t>Missouri, Oklahoma, Texas, Illinois, Indiana, Ohio, Arkansas, Kentucky, Tennessee, West Virginia, Pennnsylvania</t>
  </si>
  <si>
    <t>South Texas</t>
  </si>
  <si>
    <t>GLIDE:TO-2020-000253</t>
  </si>
  <si>
    <t>Nashville (Tennessee), Kentucky, Missouri, Mississippi, Georgia, Texas Oklahoma, Illinois, Indiana, Ohio, Arkansas, West Virginia, Pennsylvania</t>
  </si>
  <si>
    <t>GLIDE:ST-2020-000251</t>
  </si>
  <si>
    <t>Illinois, Iowa, Wisconsin, Michigan, Indiana, Ohio, Kentucky, Arkansas, Tennessee, Missouri</t>
  </si>
  <si>
    <t>La Paz, Santa Cruz, Potosi, Beni, Cochabamba,Tarija Departments</t>
  </si>
  <si>
    <t>Sapahaqui River</t>
  </si>
  <si>
    <t>DFO:4922|GLIDE:TC-2020-000142|GLIDE:TC-2020-000146</t>
  </si>
  <si>
    <t>Tegucigalpa (Francisco Morazán department); Valle Department</t>
  </si>
  <si>
    <t>errebonne, Plaquemines, Lafourche Parishes (Louisiana)</t>
  </si>
  <si>
    <t>GLIDE:TO-2020-000255</t>
  </si>
  <si>
    <t>Texas, Oklahoma, Missouri, Arkansas, Louisiana, Mississippi, Alabama, Tennessee, Kentucky, Georgia states</t>
  </si>
  <si>
    <t>Uchumayo (Arequipa); Monzón (Huanuco Department)</t>
  </si>
  <si>
    <t>GLIDE:EQ-2020-000001|USGS:us70006vll</t>
  </si>
  <si>
    <t>Ponce City, San Juan, Yauco, Guayanilla, Lajas, Guanica</t>
  </si>
  <si>
    <t>Santa Teresa District (La Convencion Province, Cusco Department); Pisac District (Calca Province, Cusco Department)</t>
  </si>
  <si>
    <t>Rio de Janeiro State</t>
  </si>
  <si>
    <t>Asuncion, Central</t>
  </si>
  <si>
    <t>Chaco, Salta, Tucumán,La Rioja Provinces</t>
  </si>
  <si>
    <t>Torrential seasonal rains</t>
  </si>
  <si>
    <t>San Antonio River</t>
  </si>
  <si>
    <t>Arequipa, Tacna, Cusco</t>
  </si>
  <si>
    <t>Seasonal rains</t>
  </si>
  <si>
    <t>GLIDE:TO-2020-000250</t>
  </si>
  <si>
    <t>Louisiana, Texas, Mississippi, South Carolina, Georgia, Tennessee, Arkansas, North Carolina, Alabama</t>
  </si>
  <si>
    <t>Saint-Laurent du Maroni Commune, Camopi-Trois Sauts Commune, Kourou District</t>
  </si>
  <si>
    <t>Oyapock river</t>
  </si>
  <si>
    <t>Ponce, Peñuelas, Guayanilla provinces</t>
  </si>
  <si>
    <t>Zacapa, San Marcos Departments</t>
  </si>
  <si>
    <t>GLIDE:SS-2020-000143</t>
  </si>
  <si>
    <t>Sancti Spiritus, Villa Clara, Cienfuegos, Camaguey, Ciego de Avila provinces (central Cuba)</t>
  </si>
  <si>
    <t>Ciudad del Carmen (Campeche State); Quintana Roo, Yucatan, Tabasco, Chiapas Oaxaca, Veracruz states</t>
  </si>
  <si>
    <t>Santa Catarina state; Iraí, Cacique Doble, Barracão, Vacaria and Capão Bonito do Sul (Rio Grande do Sul State); Parana</t>
  </si>
  <si>
    <t>Montevideo, Lavalleja, Colonia, and Canelones Departments</t>
  </si>
  <si>
    <t>Californie, Washington, Oregon, Colorado</t>
  </si>
  <si>
    <t>GLIDE:LS-2020-000219</t>
  </si>
  <si>
    <t>Nejapa municipality (San Salvador Department)</t>
  </si>
  <si>
    <t>Tachira State</t>
  </si>
  <si>
    <t>Hurricane Iota</t>
  </si>
  <si>
    <t>Nandayure, Hojancha of Guanacaste, Corredores,Coto Brus, San José, Alajuela, Heredia, Cartago, Puntarenas, Guanacaste, Limón</t>
  </si>
  <si>
    <t>Alta Verapaz,Petén, Quiché, Sololá, Izabal, Chiquimula, Zacapa, Jutiapa, El Progreso, Santa Rosa departments</t>
  </si>
  <si>
    <t>La Ceiba, El Progresso, Santa Barbara, Gualala, Sulaco, San Manuel, Lempira</t>
  </si>
  <si>
    <t>GLIDE:EP-2020-000217</t>
  </si>
  <si>
    <t>Parish Charlotte (Georgetown, Mespotamia), Parish George (Calliaqua, Kingstown) and Parish Saint David (Spring Village, Chateaubeliar)</t>
  </si>
  <si>
    <t>Chiapas, Tabasco, Veracruz</t>
  </si>
  <si>
    <t>Heavy rain due to the influence of Hurricane ETA</t>
  </si>
  <si>
    <t>GLIDE:FL-2020-000242</t>
  </si>
  <si>
    <t>Puerto Valdivia municupality (Antioquia department)</t>
  </si>
  <si>
    <t>Piedecuesta Municipality (Santander Department); Chinchina (Caldas Department)</t>
  </si>
  <si>
    <t>Machala City (El Oro Province); Manabí,Morona Santiago Provinces</t>
  </si>
  <si>
    <t>La Masica (Atlantida Department); Gracias a Dios, Colón, Cortés, Yoro, Islas de la Bahía.</t>
  </si>
  <si>
    <t>Lean, Esteban, Bambu, Coco, and Papaloteca rivers</t>
  </si>
  <si>
    <t>GLIDE:FL-2020-000034</t>
  </si>
  <si>
    <t>La Paz, Santa Cruz, Potosi, Beni, Cochabamba, Tarija</t>
  </si>
  <si>
    <t>Seasonal rain</t>
  </si>
  <si>
    <t>Texas, Oklahoma, Louisiana, Mississippi, Alabama, Georgia, Florida, Virginia</t>
  </si>
  <si>
    <t>Alberta</t>
  </si>
  <si>
    <t>Rising temperatures and subsequent ice jamming</t>
  </si>
  <si>
    <t>Athabasca, Clearwater Rivers</t>
  </si>
  <si>
    <t>Midland Country, Edenville, Sanford (Central Michigan State)</t>
  </si>
  <si>
    <t>Chiquimula, El Progreso, Jalapa, Jutiapa, Santa Rosa</t>
  </si>
  <si>
    <t>La Libertad, Santa Ana, San Salvador</t>
  </si>
  <si>
    <t>Duarte, Hato Mayor, El Seibo, Monte Plata, María Trinidad Sánchez, Samaná, San Cristóbal and San Pedro de Macorís departments</t>
  </si>
  <si>
    <t>Coahuila, Nuevo León,Tamaulipas states</t>
  </si>
  <si>
    <t>Louisiana, Texas, Arkansas, Mississippi</t>
  </si>
  <si>
    <t>GLIDE:TC-2020-000247</t>
  </si>
  <si>
    <t>Louisiana, Texas, Mississippi, Georgia, North and South Carolina</t>
  </si>
  <si>
    <t>Alabama, Florida</t>
  </si>
  <si>
    <t>Magdalena, Bolivar, Atlantico</t>
  </si>
  <si>
    <t>Bocas del Toro, Chiriquí, Coclé, Colón, Comarca Ngäbe Buglé, Herrera, Veraguas</t>
  </si>
  <si>
    <t>Santander department; El Retén and Fundación (Magdalena Department)</t>
  </si>
  <si>
    <t>GLIDE:VO-2020-000205</t>
  </si>
  <si>
    <t>Chimborazo, Bolivar, Guayas, Los Ríos, Santa Elena, Manabí</t>
  </si>
  <si>
    <t>Quintana Roo, Yucatán, Chiapas, Campeche,Tabasco</t>
  </si>
  <si>
    <t>Waspam, Bilwi/Puerto Cabezas, Prinzapolka, La Cruz de Rio Grande, Laguna de Perlas</t>
  </si>
  <si>
    <t>Nole Duima, Soloy (Ngäbe-Buglé Comarca)</t>
  </si>
  <si>
    <t>GLIDE:ST-2020-000249</t>
  </si>
  <si>
    <t>Iowa, Illinois, Minnesota, Indiana and Ohio</t>
  </si>
  <si>
    <t>Famaillá, La Reducción, La Madrid, Los Ralos, Yerba Buena municipalities (Tucumán province )</t>
  </si>
  <si>
    <t>Mississippi, Tennessee</t>
  </si>
  <si>
    <t>Pearl River</t>
  </si>
  <si>
    <t>DFO:4898</t>
  </si>
  <si>
    <t>Maranon Province , Huanuco Department (central Peru)</t>
  </si>
  <si>
    <t>GLIDE:ST-2020-000254</t>
  </si>
  <si>
    <t>Oklahoma, Missouri, Arkansas, Tennessee; Kansas, South Carolina</t>
  </si>
  <si>
    <t>Huehuetenango, Petén , Sayaxché Departments</t>
  </si>
  <si>
    <t>Calgary (Alberta)</t>
  </si>
  <si>
    <t>South Oaxaca State (Mexico)</t>
  </si>
  <si>
    <t>Baracoa</t>
  </si>
  <si>
    <t>North Carolina, South Carolina, New York, Maryland, Delaware, New Jersey, Connecticut, Florida, Virginia, Pennsylvania, New Hampshire</t>
  </si>
  <si>
    <t>Antioquia, Meta, Putumayo, Tolima, Choco, Caldas departments</t>
  </si>
  <si>
    <t>Calovébora Commune (Veraguas Province, western Panama); Colon Province (eastern Panama)</t>
  </si>
  <si>
    <t>rio Bejuco</t>
  </si>
  <si>
    <t>Tabasco, Quintana Roo, Yucatán, Campeche</t>
  </si>
  <si>
    <t>Santa Cruz, Beni (nord-est), Pando (nord), Chuquisaca (sud-est), Tarija (sud), La Paz</t>
  </si>
  <si>
    <t>Cayo, Belize, Stann Creek, and Toledo districts</t>
  </si>
  <si>
    <t>La Union, department of La Union</t>
  </si>
  <si>
    <t>GLIDE:EP-2020-000216</t>
  </si>
  <si>
    <t>Gros Islet, Vieux Fort, Babonneau, Dennery, Micoud, Laborie, Castries, Castries-B, Anse La Raye, Choisuel, Soufrière</t>
  </si>
  <si>
    <t>Sulla Valley, San Pedro Sula, Santa Barbara, Central District, Santa Rosa de Aguan, Tocoa Copán, Choluteca (Sula Valley); Comayagua; Puerto Cortés, Yoro, Atlántida, Santa Barbara, Olancho, departments</t>
  </si>
  <si>
    <t>Oklahoma, Arkansas, Indiana, Tennessee, Alabama, Georgia, Florida, South Carolina, Texas, Illinois, North Carolina</t>
  </si>
  <si>
    <t>Rio Grande Do Sul, Santa Catarina</t>
  </si>
  <si>
    <t>West and central states</t>
  </si>
  <si>
    <t>Chimborazo province</t>
  </si>
  <si>
    <t>Cochabamba, Tarija, Beni, La Paz Departments</t>
  </si>
  <si>
    <t>Taquiña River</t>
  </si>
  <si>
    <t>Conception City</t>
  </si>
  <si>
    <t>GLIDE:FL-2021-000229</t>
  </si>
  <si>
    <t>San Mateo, Santa Cruz and Monterey Counties (California)</t>
  </si>
  <si>
    <t>North Carolina, Oklahoma, Arkansas, Missouri, Illinois, Kentucky, Tennessee, Louisiana, Mississippi, Colorado, Oregon, Washington, Nebraska, Texas</t>
  </si>
  <si>
    <t>Polar Vortex</t>
  </si>
  <si>
    <t>Tambogrande, Las Loma, Chulucanas, Canchaque, Máncora,San Miguel de El Faique distrcits (Morropón, Piura, Huancabamba , Sullana Provinces - Piura Region)</t>
  </si>
  <si>
    <t>GLIDE:TO-2021-000227</t>
  </si>
  <si>
    <t>Calhoun, Bibb, Jefferson, Shelby and Calhoun Counties (Alabama); Mississippi; Coweta and Fayette Counties (Georgia); Tennessee; Kentucky</t>
  </si>
  <si>
    <t>Davidson, Rutherford, Sullivan, Wilson counties; Nashville Metropolitan Region, Lower Mississippi and Tennessee Valley (Tennessee); Arkansas, Alabama, Georgia, Mississippi, South Carolina, North Carolina, Virginia, Pennsylvania, Maryland, New Jersey</t>
  </si>
  <si>
    <t>Uspantán and Chicamán Municipalities (Quiché Department); Sacatepéquez Department</t>
  </si>
  <si>
    <t>La Taña River</t>
  </si>
  <si>
    <t>East Baton Rouge Parish (eastern Louisiana); Lake Charles City (south-western Louisiana)</t>
  </si>
  <si>
    <t>Parintins, Manacapuru, Careiro da Várzea, Manaus municipalities (Amazonas State)</t>
  </si>
  <si>
    <t>Amazon, Solimões and Negro Rivers</t>
  </si>
  <si>
    <t>Yage municipality (Central Valley Region, Oaxaca State); Guerrero, Michoacán, Colima, and Jalisco states</t>
  </si>
  <si>
    <t>Bolivar, Sunflower, Panola, and Tallahatchie Counties (Mississippi State); Arkansas, Texas</t>
  </si>
  <si>
    <t>Montreal City area (Quebec)</t>
  </si>
  <si>
    <t>Pinas and Gila counties (Arizona); Montana, Utah</t>
  </si>
  <si>
    <t>GLIDE:TC-2021-000072</t>
  </si>
  <si>
    <t>Southern portions of Barbados</t>
  </si>
  <si>
    <t>Bahoruco region</t>
  </si>
  <si>
    <t>Sud-Est, Sud, Ouest, Nippes, Grande-Anse departments</t>
  </si>
  <si>
    <t>Northern half of St. Vincent</t>
  </si>
  <si>
    <t>Bio Bío, Araucania, Los Ríos, and Los Lagos region</t>
  </si>
  <si>
    <t>Albuquerque (New Mexico); Larimer County (Colorado); Arizona</t>
  </si>
  <si>
    <t>DFO:5104|GLIDE:FL-2021-000096</t>
  </si>
  <si>
    <t>Changuinola, Almirante, Chiriquí Grande (Bocas del Toro Province); Chiriquí, and Nabe-Buglé</t>
  </si>
  <si>
    <t>Rhode Isl., Connecticut, Vermont, New York, New Jersey states</t>
  </si>
  <si>
    <t>Transylvania, Haywood, Swain counties (North Carolina); Florida</t>
  </si>
  <si>
    <t>Heavy rains, remnants of tropical storm Fred</t>
  </si>
  <si>
    <t>Pigeon river</t>
  </si>
  <si>
    <t>Michoacan, Colima and Jalisco States</t>
  </si>
  <si>
    <t>GLIDE:EQ-2021-000137</t>
  </si>
  <si>
    <t>Southern Guerrero State</t>
  </si>
  <si>
    <t>Jaèn Province (Cajamarca Region)</t>
  </si>
  <si>
    <t>Heavy rais</t>
  </si>
  <si>
    <t>Jefferson, Shelby, Marshall, Escambia, Baldwin counties (Alabama)</t>
  </si>
  <si>
    <t>Larecaja Province (La Paz Department)</t>
  </si>
  <si>
    <t>El Santuario Municipality; Medellin city area (Antioquia Department)</t>
  </si>
  <si>
    <t>GLIDE:FL-2021-000204</t>
  </si>
  <si>
    <t>Louisville, Superior (Boulder county, Colorado)</t>
  </si>
  <si>
    <t>Sucre City (Chuquisaca Department)</t>
  </si>
  <si>
    <t>Jefferson county (Alabama)</t>
  </si>
  <si>
    <t>New York, New Jersey, Pennsylvania, Virginia, Maine, Washington, Boston (Suffolk, Massachusetts)</t>
  </si>
  <si>
    <t>Santiago Metropolitan, O’Higgins, Valparaíso, Maule, Araucanía, and Bío Bío Regions</t>
  </si>
  <si>
    <t>Santa Cruz, Beni Departments</t>
  </si>
  <si>
    <t>Chihuahua, Tamaulipas</t>
  </si>
  <si>
    <t>Arctic blast associated with the Polar Vortex</t>
  </si>
  <si>
    <t>Cholila (Cushamen), Lago Puelo (Cushamen), El Bolsón (Bariloche), El Maitén (Cushamen), Epuyén (Cushamen), Futaleufú and El Hoyo Towns (Cushamen) in Chubut and Santa Cruz Provinces; Rio Negro, Neuquen provinces (Patagonia)</t>
  </si>
  <si>
    <t>Lagoa Vermelha Municipality (Rio Grande Do Sul State)</t>
  </si>
  <si>
    <t>GLIDE:FL-2021-000035</t>
  </si>
  <si>
    <t>Jean-Rabel, Terrier-Rouge, Caracol, Trou-du-Nord communes (North-West department) and Bois de Lance (Nord-East Department)</t>
  </si>
  <si>
    <t>GLIDE:VO-2021-000034</t>
  </si>
  <si>
    <t>Saint-David, Charlotte</t>
  </si>
  <si>
    <t>Santa Catarina (southern Brazil) and Pará (northern Brazil)</t>
  </si>
  <si>
    <t>El Tablon de Medina (Cundinamarca department); Villavicencio City (Meta Department)</t>
  </si>
  <si>
    <t>El Carmen de Bolivar Municipality (Bolivar department); Valle Del Guamuez, Santiago, Orito municipalities (Putamayo Department)</t>
  </si>
  <si>
    <t>Alférez River</t>
  </si>
  <si>
    <t>Barbacoas Municipality (Nariño Department)</t>
  </si>
  <si>
    <t>Telembí river</t>
  </si>
  <si>
    <t>Near Greenville, Butler county (Alabama); Louisiane, Mississippi, Floride</t>
  </si>
  <si>
    <t>Cristóbal Town (Colón Province, central Panama), Las Garzas de Pacora locality (eastern Panama); Panamá Oeste, Chiriquí</t>
  </si>
  <si>
    <t>Guerrero, Michoacán, Colima, Jalisco, and Nayarit states</t>
  </si>
  <si>
    <t>Matanzas, Granma Provinces</t>
  </si>
  <si>
    <t>California, Georgia, Florida, North Carolina, South Carolina</t>
  </si>
  <si>
    <t>Plumas County (California)</t>
  </si>
  <si>
    <t>Heat, drought and winds</t>
  </si>
  <si>
    <t>GLIDE:EQ-2021-000116</t>
  </si>
  <si>
    <t>Nippe, Grand Anse and the Sud departments</t>
  </si>
  <si>
    <t>Arizona, Missouri, Nebraska, Iowa, South Dakota, North Dakota, New Mexico, Texas</t>
  </si>
  <si>
    <t>Utah, Nevada, Arizona, New Mexico</t>
  </si>
  <si>
    <t>Active monsoonal rainfall</t>
  </si>
  <si>
    <t>GLIDE:TC-2021-000122</t>
  </si>
  <si>
    <t>Xalapa City (Veracruz State); Tamaulipas state; Huauchinango, Tlaola (Puebla state)</t>
  </si>
  <si>
    <t>GLIDE:TC-2021-000131</t>
  </si>
  <si>
    <t>Louisiana, New York, New Jersey, Maryland, Connecticut, Virginia, Pennsylvania, Delaware</t>
  </si>
  <si>
    <t>Utah and Colorado</t>
  </si>
  <si>
    <t>Hidalgo, Mexico, Morelos, Jalisco states</t>
  </si>
  <si>
    <t>Tula and Rosas Rivers</t>
  </si>
  <si>
    <t>Ibagué City (central Tolima Departement)</t>
  </si>
  <si>
    <t>Combeima river</t>
  </si>
  <si>
    <t>GLIDE:WF-2021-000154</t>
  </si>
  <si>
    <t>Guanaja Island (Islas de la Bahía Department)</t>
  </si>
  <si>
    <t>Unclear</t>
  </si>
  <si>
    <t>Guerrero, Michoacán States; Jalisco, Colima, Guanajuato, and Nayarit</t>
  </si>
  <si>
    <t>GLIDE:EQ-2021-000192</t>
  </si>
  <si>
    <t>GLIDE:ST-2021-000221</t>
  </si>
  <si>
    <t>Wisconsin, Illinois, Indiana, Michigan, Ohio, Missouri</t>
  </si>
  <si>
    <t>San Juan Province</t>
  </si>
  <si>
    <t>Oregon and Washington States</t>
  </si>
  <si>
    <t>Distrito Capital, Central, Paraguarí, Caaguazú and Canindeyú</t>
  </si>
  <si>
    <t>GLIDE:FL-2021-000019</t>
  </si>
  <si>
    <t>Santa Ana District and Echarate District (La Convención Province); Cusco region</t>
  </si>
  <si>
    <t>Santa Rosa de Alto Yanajanca district, Marañón province (Huanuco Department)</t>
  </si>
  <si>
    <t>Santa Martha River</t>
  </si>
  <si>
    <t>Hawai‘i, Maui, Kalawao, Kaua‘i, Honolulu (Oahu Island, Hawaii)</t>
  </si>
  <si>
    <t>Louisiana, Alabama,Mississippi</t>
  </si>
  <si>
    <t>Florencia City (Caquetá Department); Quípama Town (Boyacá Department), Bogotá</t>
  </si>
  <si>
    <t>Southern Louisiana and the Gulf Coast</t>
  </si>
  <si>
    <t>Trombetas River</t>
  </si>
  <si>
    <t>GLIDE:ST-2021-000228</t>
  </si>
  <si>
    <t>Alabama, Louisiana, Mississippi, Tennessee, Georgia, Texas, Virginia, Arkansas, South Carolina, North Carolina</t>
  </si>
  <si>
    <t>Lytton (British Columbia)</t>
  </si>
  <si>
    <t>Soufrière</t>
  </si>
  <si>
    <t>Oregon, Washington, Northern California, Idaho, Western Nevada</t>
  </si>
  <si>
    <t>Paramaribo, Nickerie, Coronie, Saramacca, Wanica, Para, Marowijne, Sipaliwini, Brokopondo, Commewijne districts</t>
  </si>
  <si>
    <t>Arizona, California, Oregon</t>
  </si>
  <si>
    <t>GLIDE:FL-2021-000132</t>
  </si>
  <si>
    <t>Merida, Zulia, Apure, Bolivar, Yaracuy, Amazonas, Aragua, Barinas, Delta Amacuro, Monagas, Táchira, Carabobo</t>
  </si>
  <si>
    <t>Tropical Waves No. 38 and 39 generated heavy rains</t>
  </si>
  <si>
    <t>San Marcos, Sololá, Guatemala and Santa Rosa Departments</t>
  </si>
  <si>
    <t>Sonsonate, Tecoluca, Jiquilisco, Puerto El Triunfo, Chalatenango, Ahuachapan</t>
  </si>
  <si>
    <t>Tlayacapan, Ayala, Cuautla, Yautepec, Jonacatepec, Jantetelco, Yecapixtla and Tepalcingo (Morelos State)</t>
  </si>
  <si>
    <t>Shasta County (north California State)</t>
  </si>
  <si>
    <t>Fraser Valley, Okanagan-Similkameen, Thompson-Nicola,Vancouver (British Columbia)</t>
  </si>
  <si>
    <t>Whatcom County (northern Washington State)</t>
  </si>
  <si>
    <t>Mallama Municipality (Narino Department)</t>
  </si>
  <si>
    <t>GLIDE:TO-2021-000199</t>
  </si>
  <si>
    <t>Graves County, Caldwell, Hopkins, Muhlenberg, Ohio, Warren, Taylor (Kentucky); Saint Charles (Missouri); Obion (Tennessee); (Mississippi); Craighead, Poinsett, Mississippi (Arkansas); Madison (Illinois)</t>
  </si>
  <si>
    <t>GLIDE:ST-2021-000225</t>
  </si>
  <si>
    <t>Russell, Ellis, Lyon (Kansas); Floyd (Iowa); Missouri; Prowers, El Paso (Colorado); Nebraska; Freeborn (Minnesota); Wisconsin; Taos (New Mexico)</t>
  </si>
  <si>
    <t>La Paz, Cochabamba, Chuquisaca, Potosi, Tarija, Santa Cruz</t>
  </si>
  <si>
    <t>Yapacani, Surutu, Pirai, Grande, Mizque Rivers</t>
  </si>
  <si>
    <t>GLIDE:EQ-2021-000101</t>
  </si>
  <si>
    <t>Piura region</t>
  </si>
  <si>
    <t>Sucre City (Chuquisaca Department), Paz Department, Potosì Department, Cochabamba Department</t>
  </si>
  <si>
    <t>Piñas Canton (El Oro); Chunchi Canton (Chimborazo)</t>
  </si>
  <si>
    <t>Tambopata, Tahuamanu, Manu Provinces; Ucayali, Loreto, Junín, Cusco regions (Madre de Dios Department)</t>
  </si>
  <si>
    <t>Louisiana, Florida, Mississippi, Alabama</t>
  </si>
  <si>
    <t>Todd, Christian, Breathitt, Lee and Magoffin Counties (Kentucky); Tennessee, West Virginia, Arkansas, Ohio, and Maryland</t>
  </si>
  <si>
    <t>Heavy rain and thunderstorm</t>
  </si>
  <si>
    <t>Catamarca, Tinogasta, Belén</t>
  </si>
  <si>
    <t>Yurimaguas District (Alto Amazonas Province, Loreto Region); Piura, Amazonas, and San Martin regions</t>
  </si>
  <si>
    <t>Nauta District (Loreto Province); San Martin region</t>
  </si>
  <si>
    <t>Omereque, Raqaypampa municipalities (Cochabamba Department)</t>
  </si>
  <si>
    <t>Pichari and Kimbiri, La Convención Province (Cusco Region); Vizcatán del Ene district, Satipo province in Junín Region</t>
  </si>
  <si>
    <t>Cuscomayo, San Martín, Santa Fey and Otari</t>
  </si>
  <si>
    <t>Burnet, Williamson, Travis Counties (Texas)</t>
  </si>
  <si>
    <t>GLIDE:ST-2021-000226</t>
  </si>
  <si>
    <t>Texas, Oklahoma</t>
  </si>
  <si>
    <t>Febres Cordero Municipality (Merida State)</t>
  </si>
  <si>
    <t>San Pedro River</t>
  </si>
  <si>
    <t>Cuenca Canton (Azuay Province)</t>
  </si>
  <si>
    <t>Tarqui River</t>
  </si>
  <si>
    <t>Livingston Town Area (Izabal Department); Alta Verapaz, Baja Verapaz, Petén, Quetzaltenango, San Marcos, Santa Rosa, Sololá, Suchitepéquez departments</t>
  </si>
  <si>
    <t>GLIDE:FL-2021-000066</t>
  </si>
  <si>
    <t>Regions 3, 4, 5, 6, 7, 9 and 10</t>
  </si>
  <si>
    <t>San Luis, El Retiro, San Francisco, Campamento, Cocorná, Cisneros, Santo Domingo and Liborina Municipalities (Antioquia Department)</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</si>
  <si>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</si>
  <si>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</si>
  <si>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</si>
  <si>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El Dorado County (California)</t>
  </si>
  <si>
    <t>Dickson, Humphrey, and Hickman Counties (Tennessee)</t>
  </si>
  <si>
    <t>Isle of Youth (Isla de la Juventud) and the Pinar del Rio Province</t>
  </si>
  <si>
    <t>El Paso (Texas); Gila Bend (Arizona)</t>
  </si>
  <si>
    <t>Texas, Louisiana</t>
  </si>
  <si>
    <t>Antioquia, Norte de Santander, Bolívar, Cauca, Tolima, Córdoba, Madgalena, Sucre, Meta, Cundinamarca, Risaralda, Santanderes, Caldas departments</t>
  </si>
  <si>
    <t>Santiago de Querétaro, San Juan del Río, Tequisquiapan municipalities (Querétaro State)</t>
  </si>
  <si>
    <t>San Juan River</t>
  </si>
  <si>
    <t>Antioquia, Meta and Putumayo Departments</t>
  </si>
  <si>
    <t>Heavy rains; La Nina</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</si>
  <si>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</si>
  <si>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Chocó Department</t>
  </si>
  <si>
    <t>Baudó, Oro Chocó, Pepé and Dubasa rivers</t>
  </si>
  <si>
    <t>Big Island, Maui, Molokai, Oahu Island (Hawai)</t>
  </si>
  <si>
    <t>Heavy rains and strong winds</t>
  </si>
  <si>
    <t>Paraná River region</t>
  </si>
  <si>
    <t>GLIDE:EP-2022-000325</t>
  </si>
  <si>
    <t>Port-au-Prince; Centre Department (Mirebalais)</t>
  </si>
  <si>
    <t>GLIDE:FL-2022-000348|GLIDE:TC-2022-000343</t>
  </si>
  <si>
    <t>San Andrés and Providencia Archipelago</t>
  </si>
  <si>
    <t>Montevideo Capital City, Canelones Municipality</t>
  </si>
  <si>
    <t>La Esnada District of Pereira City (Risaralda department)</t>
  </si>
  <si>
    <t>Barranca District (Datem del Marañón Province)</t>
  </si>
  <si>
    <t>Escuintla, Baja Verapaz, Chimaltenango, Guatemala, Quetzaltenango, Sacatepéquez, Sololá, Suchitepéquez and Totonicapán departments</t>
  </si>
  <si>
    <t>GLIDE:WF-2022-000173</t>
  </si>
  <si>
    <t>Santo Tomé, Ituzaingo, San martin, General Alvear, San Miguel (Corrientes Province)</t>
  </si>
  <si>
    <t>Petrópolis City and the Fluminense Mountain Region (Rio de Janeiro State)</t>
  </si>
  <si>
    <t>GLIDE:EQ-2022-000194</t>
  </si>
  <si>
    <t>Cotopaxi, Esmeraldas, Guayas, Imbabura, Los Ríos, Manabí, Pichincha, Santo Domingo de los Tsáchilas, Tungurahua</t>
  </si>
  <si>
    <t>North Dakota and northern Minnesota (central-northern USA)</t>
  </si>
  <si>
    <t>GLIDE:ST-2022-000218|GLIDE:ST-2022-000395</t>
  </si>
  <si>
    <t>Minnesota, Kentucly, Michigan, Missouri, Illinois, Wisconsin</t>
  </si>
  <si>
    <t>Meta Department</t>
  </si>
  <si>
    <t>GLIDE:TC-2022-000314</t>
  </si>
  <si>
    <t>GLIDE:TC-2022-000320</t>
  </si>
  <si>
    <t>Pinar del Rio, Artemisa, Havana, Isla de la Juventud.</t>
  </si>
  <si>
    <t>Mexico; Coalcomán Municipality (Michoacán); Colima, Guerrero Jalisco States.</t>
  </si>
  <si>
    <t>Colima, Michoacán, Jalisco States</t>
  </si>
  <si>
    <t>Tejerías Town (Aragua State); Anzoátegui, Barinas, Bolívar, Carabobo, Distrito Capital, Falcón, Guárico, Mérida, Miranda, Lara, La Guaira, Portuguesa, Táchira, Trujillo, Sucre and Zulia</t>
  </si>
  <si>
    <t>Bahia state</t>
  </si>
  <si>
    <t>GLIDE:TC-2022-000360</t>
  </si>
  <si>
    <t>Bahamas, Florida</t>
  </si>
  <si>
    <t>Texas, Arkansas and Oklahoma</t>
  </si>
  <si>
    <t>Melipilla commune (Santiago Metropolitan Region)</t>
  </si>
  <si>
    <t>Humboldt County (California)</t>
  </si>
  <si>
    <t>Louisiana, Oklahoma, Texas, Alabama, Mississippi, Georgia, Florida states</t>
  </si>
  <si>
    <t>South Dakota, Oregon, Washington, Idaho, New York, Oklahoma, Kentucky, Colorado, Connecticut, Kansas, Maryland, Missouri, North Carolina, West Virginia, Wisconsin, Georgia, New Hampshire, Ohio, Tennessee, Vermont states</t>
  </si>
  <si>
    <t>Heavy snowfall and very low temperatures</t>
  </si>
  <si>
    <t>GLIDE:FR-2022-000384</t>
  </si>
  <si>
    <t>Viña del Mar (Valparaíso); Araucanía, Biobio</t>
  </si>
  <si>
    <t>GLIDE:DR-2022-000391</t>
  </si>
  <si>
    <t>Nation wide; Arizona, Nevada, California, Oregon and Texas</t>
  </si>
  <si>
    <t>Maryland, Virginia, New Jersey, Washington D.C., Missouri, Tennessee, Georgia</t>
  </si>
  <si>
    <t>Hale, Sumter, Elmore Counties (central Alabama); Rockies, Plains, Mid-Atlantic, Northeasr</t>
  </si>
  <si>
    <t>Machu Picchu Pueblo District (Cusco Department)</t>
  </si>
  <si>
    <t>North-West, North, North-East and Nippes Departments</t>
  </si>
  <si>
    <t>San Juan area</t>
  </si>
  <si>
    <t>Urabá, Turbo, Apartadó, Chigorodó, Carepa, Mutatá, Murindó, Cocorná Municipality (Antioquia Department); Caldas and Chocó; Cauca, Cundinamarca, Chocó, Huila, Tolima, the Coffee Region, Nariño and Santander</t>
  </si>
  <si>
    <t>Madison county (Iowa state); Illinois, Indiana, Ohio, Arkansas, Kentucky, New Hampshire, Pennsylvania, Maryland, New York, New Jersey, New England</t>
  </si>
  <si>
    <t>Puerto Plata Province</t>
  </si>
  <si>
    <t>Limbé Arrondissement</t>
  </si>
  <si>
    <t>Calhoun and Gulf Counties (Florida); Reno, Harvey Counties (Kansas)</t>
  </si>
  <si>
    <t>Prolonged period of dry conditions, steady winds, and abundant fuels</t>
  </si>
  <si>
    <t>Cotopaxi, Azuay, Chimborazo, El Oro, Esmeraldas, Guayas, Los Ríos, Pichincha Provinces</t>
  </si>
  <si>
    <t>Lincoln, San Miguel Counties (New Mexico)</t>
  </si>
  <si>
    <t>Ongoing severe drought, strong winds and low relative humidity</t>
  </si>
  <si>
    <t>Alabama, Arkansas, Florida, Mississippi,Oklahoma, and Texas</t>
  </si>
  <si>
    <t>Nebraska, Kansas, Missouri, Dakota, Virginia, North Carolina, Texas, Montana, Minnesota</t>
  </si>
  <si>
    <t>Andover Town (Butler County); Wichita City (Sedgwick County) - Kansas; Texas; Oklahoma</t>
  </si>
  <si>
    <t>Southern Manitoba Province</t>
  </si>
  <si>
    <t>Heavi rains</t>
  </si>
  <si>
    <t>Tucurú Municipality (Alta Verapaz); Guatemala, Huehuetenango, Quiché, Santa Rosa, Solóla, Gualán, Zacapa, Retalhuleu, Suchitepéquez, Quetzaltenango</t>
  </si>
  <si>
    <t>Matanzas, San Juan y Martinez, Pinar del Río</t>
  </si>
  <si>
    <t>Sonsonate, Tecoluca, Jiquilisco, Puerto El Triunfo, Chalatenango and Ahuachapán</t>
  </si>
  <si>
    <t>Pastaza, Zamora Chinchipe, Azuay, Chimborazo,Tungurahua provinces</t>
  </si>
  <si>
    <t>Pastaza Rive</t>
  </si>
  <si>
    <t>GLIDE:FL-2022-000398</t>
  </si>
  <si>
    <t>Kentucky, Missouri</t>
  </si>
  <si>
    <t>Barinas, Táchira, and Miranda states</t>
  </si>
  <si>
    <t>Nuevo León State</t>
  </si>
  <si>
    <t>Girardot Municipality (Aragua State)</t>
  </si>
  <si>
    <t>Piojó Municipality (Atlantico Department); Villa Paraiso; Cartajena</t>
  </si>
  <si>
    <t>Bogotá area; North Santander department; La Calera municipality (Cundinamarca Department)</t>
  </si>
  <si>
    <t>Sacramento City, Santa Cruz, Calaveras, San Mateo, Ventura, Santa Barbara, El Dorado, Monterey, Santa Clara, Alameda, San Benito, Merced, Mono, Stanislaus, Mendocino, Humboldt (California)</t>
  </si>
  <si>
    <t>GLIDE:FL-2022-000164</t>
  </si>
  <si>
    <t>Guayas, Cotopaxi, El Oro and Los Ríos; Quito (Pichincha)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</si>
  <si>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</si>
  <si>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Retamas (Pataz Province, La Libertad Department); Callalli District (Caylloma Province, Arequipa Region); Piura Region</t>
  </si>
  <si>
    <t>GLIDE:TO-2022-000392</t>
  </si>
  <si>
    <t>Washington County (Arkansas); Shelby, Chilton, Bibb Counties (Alabama); Iowa, Kansas, Missouri; Newton county (Texas); Lousiana; Bolivar, Calhoun, Hinds, Warren, Yazoo Counties (Mississippi); Trigg County (Kentucky); Washington County (Florida); Armstrong County (Pennsylvania)</t>
  </si>
  <si>
    <t>GLIDE:FL-2022-000196</t>
  </si>
  <si>
    <t>Cundinamarca, Cauca, Antioquia, Huila, Nariño, Caldas, Quindío, Risaralda, Tolima, and Valle del Cauca</t>
  </si>
  <si>
    <t>Dallas Fort, Johnson, Collin, Smith counties (Texas); Marengo County (Alabama); Lee, Houston, Berkeley Counties (Georgia); Allendale county (South Carolina); Covington, Jefferson Davis, Lauderdale, Newton, Wayne Counties (Mississippi); Florida</t>
  </si>
  <si>
    <t>GLIDE:ST-2022-000393</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</si>
  <si>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</si>
  <si>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Nariño department, Melgar Municipality (Tolima Department)</t>
  </si>
  <si>
    <t>Ontario, Manitoba</t>
  </si>
  <si>
    <t>Mora, Colfax, Lincoln, San Miguel, Valencia Counties (New Mexico); Colorado, Nebraska</t>
  </si>
  <si>
    <t>Hot and dry conditions, severe drought, and very high winds</t>
  </si>
  <si>
    <t>GLIDE:FL-2022-000207</t>
  </si>
  <si>
    <t>Táchira, Mérida, Trujillo, Zulia, Lara, Falcón, Aragua, Carabobo, Portuguesa, Apure, Vargas and Caracas Capital District</t>
  </si>
  <si>
    <t>Brokopondo, Sipaliwini, Marowijne, Para, Saramacca, Coronie, and Nickerie districts</t>
  </si>
  <si>
    <t>GLIDE:TC-2022-000223</t>
  </si>
  <si>
    <t>Coastal and Santiago Xanica (Sierra Sur Regions of Oaxaca); Chiapas, Guerrero, Tabasco, and Veracruz states</t>
  </si>
  <si>
    <t>Culiacán, Mocorito, Guasave, and Elota (Sinaloa State); Oaxaca, Coahuila, Tamaulipas, Veracruz and Morelos states</t>
  </si>
  <si>
    <t>Guanacaste, San Jose; Parrita, Garabito, Quepos; Buenos Aires, Golfito and Osa (, Punta Arenas)</t>
  </si>
  <si>
    <t>San Salvador, La Libertad, La Paz, San Vicente, Usulután, San Miguel, La Unión and Sonsonate</t>
  </si>
  <si>
    <t>Tabasco, Veracruz; Pichucalco, Ostuaca Municipalities (Chiapa); Oaxaca states</t>
  </si>
  <si>
    <t>GLIDE:FL-2022-000264</t>
  </si>
  <si>
    <t>Guaranda, Majagual, Sucre-Sucre, Caimito, San Marcos, San Benito, La Union (La Mojana sub-region)</t>
  </si>
  <si>
    <t>GLIDE:TC-2022-000345</t>
  </si>
  <si>
    <t>Santiago Ixcuintla, Rosamorada (Nayarit state); Jalisco, and Sinaloa</t>
  </si>
  <si>
    <t>Sucre, Zulia, Carabobo, Miranda, Aragua, La Guaira, Guárico, Anzoátegui, Monagas, Delta Amacuro, and the Capital Caraca</t>
  </si>
  <si>
    <t>Macuto and Caraballeda Parishes (La Guaira State)</t>
  </si>
  <si>
    <t>Cabaña Sector (Risaralda Department)</t>
  </si>
  <si>
    <t>Guanta, Sotillo, Puerto La Cruz, Valle Verde (Anzoátegui State)</t>
  </si>
  <si>
    <t>GLIDE:FL-2022-000362</t>
  </si>
  <si>
    <t>Corinth, Bois drorange, and Grande Riviere (Gros Islet District)</t>
  </si>
  <si>
    <t>GLIDE:VO-2022-000005</t>
  </si>
  <si>
    <t>Ventanilla district</t>
  </si>
  <si>
    <t>GLIDE:EQ-2022-000150</t>
  </si>
  <si>
    <t>Nippes Department</t>
  </si>
  <si>
    <t>Cortés, Atlántida and Islas de la Bahía</t>
  </si>
  <si>
    <t>O'Connor Province (Tarija Department)</t>
  </si>
  <si>
    <t>San Pablo, Los Andes, Santa Cruz, Túquerres. (Nariño Department)</t>
  </si>
  <si>
    <t>Azuay Province</t>
  </si>
  <si>
    <t>La Antigua village (Antioquia department)</t>
  </si>
  <si>
    <t>Viotá, Cachipay, Arbeláez Municipalities (Cundimarca)</t>
  </si>
  <si>
    <t>Balao,Quinsaloma, La Maná, Quilanga, Espíndola, Catamayo, Chila, Santa Elena, Camilo Enrique Ponce, Alfredo Baquerizo Moreno, Caluma, Zaruma counties; Cotopaxi, Pichincha,Los Ríos, El Oro provinces</t>
  </si>
  <si>
    <t>Texas, North Carolina, West Virginia, Minnesota, Wisconsin, Oklahoma, Ohio, Pennsylvania</t>
  </si>
  <si>
    <t>Manitoba, northern Alberta and Northwest Territories</t>
  </si>
  <si>
    <t>Ice jams, rain and melting snow</t>
  </si>
  <si>
    <t>Mahaica-Berbice, Upper Demerara-Upper Berbice, Cuyuni-Mazaruni, and Upper Takutu-Upper Essequibo Regions</t>
  </si>
  <si>
    <t>Rupununi, Berbice Rivers</t>
  </si>
  <si>
    <t>Negro, Amazon, Jurua, Purus, Madeira and Solimões Rivers</t>
  </si>
  <si>
    <t>Toronto, Ottawa, Montreal, Ontario, Quebec</t>
  </si>
  <si>
    <t>Yellowstone National Park (Wyoming, Montana and Idaho states)</t>
  </si>
  <si>
    <t>Heavy rain combined with glacier melt</t>
  </si>
  <si>
    <t>Havana, Pinar del Río, Artemisa, Sancti Spíritus, and Matanzas provinces</t>
  </si>
  <si>
    <t>La Capilla district (Moquegua department); Arequipa department</t>
  </si>
  <si>
    <t>Siskiyou County (California)</t>
  </si>
  <si>
    <t>Vague de chaleur, de forts vents et des orages</t>
  </si>
  <si>
    <t>Nova Scotia, Prince Edward Island, Newfoundland, and Quebec</t>
  </si>
  <si>
    <t>La Altagracia, La Romana, El Seibo, Samana, Hato Mayor, María Trinidad Sanchez, Duarte, Monte Plata, La Vega, Espaillat, San Pedro de Macorís, San José de Ocoa, Puerto Plata and Sánchez Ramirez</t>
  </si>
  <si>
    <t>Charlotte and Lee Counties (Florida Peninsula); North Carolina</t>
  </si>
  <si>
    <t>Táchira, Lara, Carabobo, Miranda, and Mérida</t>
  </si>
  <si>
    <t>Alta Verapaz, Izabal, Quiché, Huehuetenango, Zacapa, Petén, Chimaltenango, Totonicapán, Sacatepéquez, Jalapa, Guatemala, Sololá, San Marcos, Quetzaltenango, Chiquimula</t>
  </si>
  <si>
    <t>GLIDE:FL-2022-000328</t>
  </si>
  <si>
    <t>Santa Bárbara, Copàn, Cortés, Olancho, Colón, Yoro, Paraíso, Ocotepeque, Lempira, Intibucá, Comayagua, La Paz, Francisco Morazán, Valle, and Choluteca Departments</t>
  </si>
  <si>
    <t>Ulùa River</t>
  </si>
  <si>
    <t>Bosconia Municipality (Cesar Department); Montecristo, San Juan Municipalities (Bolivar Department); Bello Municipality (Antioquia Department); Norte de Santander, Nariño, Cauca, Tolima, Atlántico, Boyacá, Magdalena, Guajira departments</t>
  </si>
  <si>
    <t>Dangriga and Belize City</t>
  </si>
  <si>
    <t>Itapema and Camboriú (Santa Catarina state); Espírito Santo State</t>
  </si>
  <si>
    <t>GLIDE:FL-2022-000374</t>
  </si>
  <si>
    <t>Bamboo #2, Valsayn South, Real Spring Gardens, Kelly Village, Madras Road and El Carmen, St. Helena</t>
  </si>
  <si>
    <t>Caroni, North Oropouche, South Oropouche, Caparo, Ortoire Rivers</t>
  </si>
  <si>
    <t>Carapebus and Conceição de Macabu (Rio de Janeiro State); Santa Catarina state; Paranà State; Espirito Santo State, Curitiba, Bahia</t>
  </si>
  <si>
    <t>Doce River</t>
  </si>
  <si>
    <t>El Cacao, Tonosí Centro, El Manantial, Pueblo Nuevo, La Nestlé, La Rabelo, El Bado, Bongo, and Villa Bonita (Los Santos province); Corinth, Bois drorange, and Grande Riviere in Gros Islet Districts (Herrera province)</t>
  </si>
  <si>
    <t>La Villa, Tonosí, and El Cacao rivers</t>
  </si>
  <si>
    <t>GLIDE:TO-2023-000005</t>
  </si>
  <si>
    <t>Alabama and Georgia</t>
  </si>
  <si>
    <t>Texas, Arkansas, Louisiana, Oklahoma, Tennessee. Mississippi</t>
  </si>
  <si>
    <t>Guanay, Mapiri, Chuquisaca, Tipuani municipalities (La Paz); Santa Cruz, Cochabamba, Potosi, Beni Departments</t>
  </si>
  <si>
    <t>Mapiri, and Guanay Rivers</t>
  </si>
  <si>
    <t>GLIDE:FL-2023-000041</t>
  </si>
  <si>
    <t>San Lazaro, Horqueta, Sargento Felix Lopez, Paso Horqueta and Paso Barreto (Concepción); Alto Paraguay, Amambay San Pedro departments</t>
  </si>
  <si>
    <t>Texas, Oklahoma, Mississippi, Kentucky, Arkansas, Alabama, Tennessee, Louisiana, Indiana and Ohio</t>
  </si>
  <si>
    <t>Monterey, Merced and Tulare Counties (California); Nevada</t>
  </si>
  <si>
    <t>Suarez, Caloto, La Vega, Jambaló and Santander de Quilichao muncipalities (Cauca)</t>
  </si>
  <si>
    <t>Arkansas, Florida, Illinois, Kansas, Louisiana, Missouri, Nebraska,Texas, Oklahoma, Iowa</t>
  </si>
  <si>
    <t>Baie-Saint-Paul (Charlevoix Region), Saint-Côme and Sainte-Émélie-de-l'Énergie (Lanaudière Region, south-western Quebec).</t>
  </si>
  <si>
    <t>GLIDE:WF-2023-000074</t>
  </si>
  <si>
    <t>Alberta, British Columbia, Nova Scotia, Ontario, Québec, Saskatchewan</t>
  </si>
  <si>
    <t>Dry conditions and high winds</t>
  </si>
  <si>
    <t>San Pedro Yepocapa, Chimaltenango, Panimaché I and II villages, El Porvenir and Morelia muncipalities</t>
  </si>
  <si>
    <t>Texas, Oklahoma, Kansas, Louisiana, Michigan, Ohio, Mississippi, Nebraska, Wyoming, Colorado and Arkansas</t>
  </si>
  <si>
    <t>GLIDE:FL-2023-000097</t>
  </si>
  <si>
    <t>Granma, Las Tunas, Santiago de Cuba, and Camagüey</t>
  </si>
  <si>
    <t>Ouest, Sud-Est, Nippes, Grand'Anse, Nord-Ouest, Centre, Sud</t>
  </si>
  <si>
    <t>Tropical storm ARLENE</t>
  </si>
  <si>
    <t>Texas, Louisiana, Florida, Arizona, New Mexico, Kansas, Oklahoma, and southern California</t>
  </si>
  <si>
    <t>GLIDE:EP-2023-000109</t>
  </si>
  <si>
    <t>Piura, Lambayeque</t>
  </si>
  <si>
    <t>Matriz de Camaragibe, Marechal Deodoro, São Miguel dos Milagres, União dos Palmares, Rio Largo, Atalaia, Cajueiro, Murici, and Jacuípe (Alagoas); Pernambuco</t>
  </si>
  <si>
    <t>Quetame Municipality (Cundinamarca Department)</t>
  </si>
  <si>
    <t>GLIDE:FL-2023-000156</t>
  </si>
  <si>
    <t>Valparaíso, Santiago Metropolitan, O’Higgins, Maule, Ñuble, Biobío Regions</t>
  </si>
  <si>
    <t>Autlan (Jalisco state)</t>
  </si>
  <si>
    <t>El Cangrejo river</t>
  </si>
  <si>
    <t>New York city; New Jersey, Connecticut, Texas, Oklahoma, and Arkansas</t>
  </si>
  <si>
    <t>Heavy rains and storms</t>
  </si>
  <si>
    <t>Nebraska, Texas, Oklahoma, Missouri, and Kentucky</t>
  </si>
  <si>
    <t>Nashville City, Davidson County; Clarksville City, Montgomery County in (Tennesee state); Louisiana; Connecticut</t>
  </si>
  <si>
    <t>Valparaiso, O'Higgins and Santiago Metropolitan Regions</t>
  </si>
  <si>
    <t>Massachusetts, Maine, New Jersey, New York, Pennsylvania and South Carolina</t>
  </si>
  <si>
    <t>Passaic River</t>
  </si>
  <si>
    <t>Amazonas state</t>
  </si>
  <si>
    <t>Cajamarca, La Libertad, Lambayeque, Ancash, Lima, Piura, Arequipa and Tumbes, departments.</t>
  </si>
  <si>
    <t>Heavy rains, cyclone Yaku</t>
  </si>
  <si>
    <t>East and West Hants Regional Municipality, Halifax Regional Municipality, Lunenburg and Queens counties in southern Nova Scotia</t>
  </si>
  <si>
    <t>Montana, Wyoming, South Dakota, Nebraska, Minnesota, Ohio, Tennessee, Oklahoma, Wyoming, Colorado, Indiana, Kentucky, Arkansas</t>
  </si>
  <si>
    <t>Santa Cruz Cabrália, Ilhéus, Belmonte, Porto Seguro and Itapebi (Bahia state)</t>
  </si>
  <si>
    <t>Dickens, Comanche, McLennan, Nolan, Swisher, Taylor, Floyd (Texas); St. Lucie, Nassau, Brevard, Hillsborough, Sumter, Broward, and Indian River (Florida); Effingham, Bryan, Wayne, Terrell, Chatham (Georgia); Oklahoma</t>
  </si>
  <si>
    <t>Pembroke Pines, Dania Beach and Fort Lauderdale (Broward County, Hollywood, Florida)</t>
  </si>
  <si>
    <t>Piura, Lambayeque, Huancavelica, Lima, La Libertad DepartmentS</t>
  </si>
  <si>
    <t>Cobija City (Pando Department)</t>
  </si>
  <si>
    <t>GLIDE:TO-2023-000046</t>
  </si>
  <si>
    <t>Rolling Fork, Silver City, Winona, Sharkey, Smithville, Amory and Montgomery (Mississippi); Alabama, Georgia, Tennessee</t>
  </si>
  <si>
    <t>GLIDE:DR-2023-000010</t>
  </si>
  <si>
    <t>Cerro Largo, Florida, Lavalleja, San Jose, Tacuarembo</t>
  </si>
  <si>
    <t>La nina, lack of rainfall since September 2022</t>
  </si>
  <si>
    <t>Las Calaveras</t>
  </si>
  <si>
    <t>Catamarca, Jujuy Provinces, Córdoba, Tucumán and San Luis Provinces</t>
  </si>
  <si>
    <t>Chilca District, Huancan District and Huancayo District (Huancayo Province, Junìn Department)</t>
  </si>
  <si>
    <t>Portland City area (Oregon State); Snohomish and Wahkiakum Counties (Washington State)</t>
  </si>
  <si>
    <t>Heavy rains and snow</t>
  </si>
  <si>
    <t>Arroio do Meio, Colinas, Cruzeiro do Sul, Encantado, Estrela, Lajeado, Muçum, Roca Sales, Santa Tereza and Taquari (Rio Grande do Sul)</t>
  </si>
  <si>
    <t>Artigas, Paysandú, and Salto Departments</t>
  </si>
  <si>
    <t>Tacuarembó Chico River, Sandú, Sauce del Conventos and Convento streams</t>
  </si>
  <si>
    <t>Azua, Barahona, Distrito Nacional, Duarte, Monte Plata, San Cristobal, San Pedro de Macoris, Santo Domingo, San José de Ocoa, Bahoruco, San Juan de la Maguana, Sánchez Ramírez, Peravia</t>
  </si>
  <si>
    <t>Extreme rainfall from a tropical disturbance</t>
  </si>
  <si>
    <t>Tampa, St. Petersburg, Sarasota, Tarpon Springs, Fort Myers Naples (Florida); Brooks and Lowndes Counties (Georgia); Mt. Pleasant, Edisto Beach, and Folly Beach (South Carolina); Whiteville, Wilmington, Outer Banks (North Carolina)</t>
  </si>
  <si>
    <t>Pinar del Rio, Artemisa, and Havana provinces</t>
  </si>
  <si>
    <t>Barahona,Azua, Bahoruco, Elias Pina, Independencia</t>
  </si>
  <si>
    <t>GLIDE:FL-2023-000058</t>
  </si>
  <si>
    <t>Alausí, La Esperanza, Control Norte, Nuevo Alausí, Pircapamba and Buain (Chimborazo Province)</t>
  </si>
  <si>
    <t>Bollinger County (Missouri); Illinois, Kentucky, Iowa, Indiana, Ohio, Michigan</t>
  </si>
  <si>
    <t>GLIDE:FL-2023-000094</t>
  </si>
  <si>
    <t>Atacames, Esmeraldas, Quinindé and Muisne</t>
  </si>
  <si>
    <t>Alta Verapaz, Escuintla, Baja Verapaz, Guatemala, Suchitepéques, Zacapa and Totonicapán Departments</t>
  </si>
  <si>
    <t>El Callao City (Bolivar State)</t>
  </si>
  <si>
    <t>GLIDE:WF-2023-000140</t>
  </si>
  <si>
    <t>Maui and Kula City (Hawai)</t>
  </si>
  <si>
    <t>Gobernador Virasoro and Ituzaingo (Posadas municipality)</t>
  </si>
  <si>
    <t>GLIDE:FL-2023-000217</t>
  </si>
  <si>
    <t>Alto Paranà, Itapua, Misiones, Neembucu</t>
  </si>
  <si>
    <t>Parana river</t>
  </si>
  <si>
    <t>Grand'Anse Department</t>
  </si>
  <si>
    <t>GLIDE:FL-2023-000232</t>
  </si>
  <si>
    <t>Atlantico, Bolivar, Magdalena, La Guajira</t>
  </si>
  <si>
    <t>Choculeta, Sabanagrande, Tegulcipalga, Jacaleapa, Lepaguare, Catacamas, Yoro, Flores, La Lima, Sana Rosa de Copan, Ocotepeque, La Esperanza</t>
  </si>
  <si>
    <t>Texas, Louisiana, Oklahoma, Kansas, Illinois, Missouri, Nebraska, Washington, Oregon, Montana</t>
  </si>
  <si>
    <t>Chone Canton (Manabí); Guayas; Los Ríos, Santa Elena, Cotopaxi, El Oro, Santo Domingo de Los Tsáchilas, Imbabura, Esmeraldas, and Chimborazo</t>
  </si>
  <si>
    <t>GLIDE:TC-2023-000209</t>
  </si>
  <si>
    <t>Acapulco (central Guerrero State)</t>
  </si>
  <si>
    <t>Alajuela, Heredia, Limon, Puntarenas</t>
  </si>
  <si>
    <t>Rosas, Cauca municipality</t>
  </si>
  <si>
    <t>Bío Bío, Araucanía, Ñuble, Maule, Los Ríos, Los Lagos, Aysén, O’Higgins, Valparaíso, and Santiago Metropolitan</t>
  </si>
  <si>
    <t>Strong winds and high temperatures</t>
  </si>
  <si>
    <t>Camaná Province (Arequipa Department)</t>
  </si>
  <si>
    <t>GLIDE:EQ-2023-000038</t>
  </si>
  <si>
    <t>El Oro, Guayas, and Azuay</t>
  </si>
  <si>
    <t>Tumbes</t>
  </si>
  <si>
    <t>El Torno, Santa Cruz de la Sierra municipalities (Santa Cruz Department)</t>
  </si>
  <si>
    <t>Pirai and Rio Grande rivers</t>
  </si>
  <si>
    <t>GLIDE:TO-2023-000050</t>
  </si>
  <si>
    <t>Memphis (Tennessee); Owen and Sullivan counties (Indiana); Arkansas, Mississippi, Alabama, Illinois; Sussex county (Delaware); Oklahoma, Iowa, Kentucky, Ohio, Missouri, Kansas; Pennsylvania</t>
  </si>
  <si>
    <t>Aratuba, Guaramiranga, Itapipoca, Missão Velha, Uruburetama, Altaneira, Antonina do Norte and Itapaje (Ceará state)</t>
  </si>
  <si>
    <t>Maranhão</t>
  </si>
  <si>
    <t>Guaíba, Serrinha, Porto Alegre, Lagoa dos Patos, Barra do Ribeiro cities (Rio Grande do Sul State)</t>
  </si>
  <si>
    <t>Texas, Nebraska, Missouri, Kansas, Colorado, Illinois, Iowa, Indiana, Kentucky, Tennessee, South Carolina</t>
  </si>
  <si>
    <t>Dallas, Tarrant, Denton, Ochiltree counties (Texas); Louisiana, Mississippi, Alabama, Georgia, Tennessee, Arkansas, South Carolina and Florida</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</si>
  <si>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</si>
  <si>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</si>
  <si>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</si>
  <si>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GLIDE:FL-2023-000103</t>
  </si>
  <si>
    <t>Azua, Barahona, Bahoruco, Dajabón, Elías Piña, Espaillat, Independencia, La Vega, Pedernales, Santiago, and Santiago Rodríguez</t>
  </si>
  <si>
    <t>GLIDE:FL-2023-000089</t>
  </si>
  <si>
    <t>Quilmes (Buenos Aires); Santa Fe, Córdoba, Entre Ríos, Neuquen</t>
  </si>
  <si>
    <t>Vermont, New York, Connecticut, Pennsylvania, Massachusetts, New Jersey, New Hampshire, Missouri, Illinois, Kentucky,Tennessee</t>
  </si>
  <si>
    <t>Spokane County (eastern Washington State)</t>
  </si>
  <si>
    <t>Muçum, Roca Sales and Cruzeiro do Sul Municipalities (Rio Grande do Sul State)</t>
  </si>
  <si>
    <t>Atlántida, Colón, Cortés, Gracias a Dios, Islas de la Bahía, Santa Bárbara, Yoro, Olancho and Alianza Municipality in Valle Department</t>
  </si>
  <si>
    <t>Porto Alegre (Rio Grande do Sul); Balneário Camboriú, Camboriú, and Blumenau (Santa Catarina State)</t>
  </si>
  <si>
    <t>GLIDE:WF-2023-000239</t>
  </si>
  <si>
    <t>Beni, La Paz, Santa Cruz, Suárez, Carmen Rivero Torrez, San José de Chiquitos, Urubicha departments</t>
  </si>
  <si>
    <t>Potosí, La Paz and Chuquisaca Departments</t>
  </si>
  <si>
    <t>Coroico, Mapiri, and Tipuani Rivers</t>
  </si>
  <si>
    <t>Bahía Blanca and Moreno Cities (Buenos Aires Province)</t>
  </si>
  <si>
    <t>Colonia Department</t>
  </si>
  <si>
    <t>GLIDE:DR-2023-000191</t>
  </si>
  <si>
    <t>Cochabamba, Chuquisaca, La Paz, Oruro, Santa Cruz, Potosi, Tarija</t>
  </si>
  <si>
    <t>Pennsylvania, Massachusetts, New York, Oregon, Maine, Mississippi, Tennessee Arkansas, Illinois, Wisconsin, Washington, Kentucky, New Jersey, Louisiana states.</t>
  </si>
  <si>
    <t>GLIDE:FL-2024-000015</t>
  </si>
  <si>
    <t>Muisne (Esmeraldas); Puerto López, Chone, and Tosagu (Manabí); Alfredo Baquerizo Moreno (Jujan); Balzar, Palestina, Santa Lucía, Playas, and Milagro (Guayas); Baba and Valenc (Los Rios); El Oro Province</t>
  </si>
  <si>
    <t>GLIDE:FL-2024-000021</t>
  </si>
  <si>
    <t>Bajo Acre, Bajo Virtudes and Velmonte (Cobija Municipality, Pando)</t>
  </si>
  <si>
    <t>Acre River</t>
  </si>
  <si>
    <t>Valparaíso Municipality, Valparaíso region, in Cerro Cordillera, Curauma and La Caldera areas</t>
  </si>
  <si>
    <t>Houston (Texas); Kansas, Oklahoma, Missouri, Iowa, Wisconsin, Illinois, Nebraska</t>
  </si>
  <si>
    <t>Oklahoma, Iowa, Nebraska, Texas, Kansas, Missouri, Michigan, Tennessee, North and South Craolinas</t>
  </si>
  <si>
    <t>GLIDE:TC-2024-000105</t>
  </si>
  <si>
    <t>Nouvelle Ecosse</t>
  </si>
  <si>
    <t>Nuevo Leon, Veracruz, Tamaulipas, Coahuila,</t>
  </si>
  <si>
    <t>Cumanacoa, Montes municipality (Sucre)</t>
  </si>
  <si>
    <t>Veracruz, Mexico city</t>
  </si>
  <si>
    <t>Iowa, South Dakota, Minnesota, Nebraska, Wisconsin and Michigan.</t>
  </si>
  <si>
    <t>Los Angeles, Orange, Riverside, San Bernardino counties (California); Grant, Crook, and Wheeler Counties (Oregon); Nevada</t>
  </si>
  <si>
    <t>Quintana Roo state</t>
  </si>
  <si>
    <t>Tampa and Sarasota city area; Yucatan</t>
  </si>
  <si>
    <t>Antioquia department</t>
  </si>
  <si>
    <t>GLIDE:TC-2024-000211</t>
  </si>
  <si>
    <t>Guanacaste, Puntarenas</t>
  </si>
  <si>
    <t>Grand-Anse department and the South department</t>
  </si>
  <si>
    <t>Grand'Anse, Nippes and North-West departments</t>
  </si>
  <si>
    <t>GLIDE:DR-2024-000013</t>
  </si>
  <si>
    <t>Boyaca, Cordoba, Cundinamarca, Huila, Santander, Sucre</t>
  </si>
  <si>
    <t>GLIDE:DR-2024-000079</t>
  </si>
  <si>
    <t>Saint Andrew, Saint David, Saint George</t>
  </si>
  <si>
    <t>Near Malibu city, Santa Monica mountains (Los Angeles County, California)</t>
  </si>
  <si>
    <t>La Paz capital city area</t>
  </si>
  <si>
    <t>Pasajahuira river</t>
  </si>
  <si>
    <t>Duarte, El Seibo, Espaillat, Hato Mayor, La Altagracia, Maria Trinidad Sanches, Puerto Plata, Samanà</t>
  </si>
  <si>
    <t>GLIDE:EQ-2024-000207</t>
  </si>
  <si>
    <t>Bartolomé Masó, Pilón and Niquero municipalities (Granma province)</t>
  </si>
  <si>
    <t>Oklahoma, Missouri, Arkansas states</t>
  </si>
  <si>
    <t>Chiapas, Veracruz, and Tabasco states</t>
  </si>
  <si>
    <t>Florida, Georgia, North Carolina, South Carolina, Tennessee, Kentucky, Indiana and Virginia</t>
  </si>
  <si>
    <t>Artemisa and coastal communities</t>
  </si>
  <si>
    <t>GLIDE:WF-2024-000134</t>
  </si>
  <si>
    <t>La Paz department; San Matías, Concepción, San Rafael, San Ignacio de Velasco, El Puente, and San Javier municipalities (Santa Cruz department); Beni department</t>
  </si>
  <si>
    <t>Ontario, Montana, South Dakota, Minnesota, Wisconsin, Illinois, Missouri, Ohio, Mississippi, New York, New Jersey, Pennsylvania, Arkansas, llinois, Indiana,</t>
  </si>
  <si>
    <t>Union Island, Canouan Island, and Mayrea</t>
  </si>
  <si>
    <t>Otero and Lincoln Counties (New Mexico); California, Washington states</t>
  </si>
  <si>
    <t>Jalpatagua and Chacaya municipalities</t>
  </si>
  <si>
    <t>Coquimbo, Valparaíso, O'Higgins, Maule, Ñuble, Biobío, Araucanía, Los Rios and Santiago, Metropolitana, Los Lagos regions</t>
  </si>
  <si>
    <t>GLIDE:FL-2024-000098</t>
  </si>
  <si>
    <t>Ahuachapán, Chalatenango, Cuscatlán, La Paz, La Unión, San Vicente, Santa Ana, Sonsonate</t>
  </si>
  <si>
    <t>Suchitepéquez, San Marcos, Jutiapa, Sacatepequez, Guatemala Department</t>
  </si>
  <si>
    <t>Ñuble, Biobío, Araucanía, Maule, Los Ríos; O'HIggins, santiago regions</t>
  </si>
  <si>
    <t>GLIDE:WF-2024-000090</t>
  </si>
  <si>
    <t>Toledo and Cayo districts</t>
  </si>
  <si>
    <t>Greenfield (Iowa state)</t>
  </si>
  <si>
    <t>Cap-Haïtien commune</t>
  </si>
  <si>
    <t>GLIDE:FL-2024-000063-</t>
  </si>
  <si>
    <t>California, Maine, Great Lakes, New England, Oklahoma, Ohio, West Virginia, Kentucky, Tennessee, Georgia, Pennsylvania, New Hampshire, New York, New Jersey, Massachusetts</t>
  </si>
  <si>
    <t>Long-lasting, multi-hazard weather system</t>
  </si>
  <si>
    <t>Ohio, Indiana, Kentucky, Kansas, Oklahoma, Illinois and Arkansas</t>
  </si>
  <si>
    <t>GLIDE:FL-2024-000043</t>
  </si>
  <si>
    <t>Artemisa, Ciudad de la Habana, Matanzas, Mayabeque</t>
  </si>
  <si>
    <t>Lanús and Avellaneda districts (La Plata area, Buenos Aires Province)</t>
  </si>
  <si>
    <t>Hot and windy conditions</t>
  </si>
  <si>
    <t>Catachila Alta, Laquina and Chinata Communities (Cochabamba Department)</t>
  </si>
  <si>
    <t>Barra do Piraí, Japeri, Nova Iguaçu Municipalities (Rio de Janeiro State);</t>
  </si>
  <si>
    <t>Los Angeles, Monterrey, Santa Barbara, Ventura, San Diego, Santa Clara, San Mateo, Santa Cruz, Sutter and Sacramento (California)</t>
  </si>
  <si>
    <t>Dário Meira, Cotegipe, Ilhéus, Medeiros Neto, Ibicuí, Anagé, Muquém de São Francisco, Iguaí, Quijingue, Wanderley, Jaguaquara, Ubaíra, Saubara and Milagres municipalities (Bahia state)</t>
  </si>
  <si>
    <t>Carmen de Atrato</t>
  </si>
  <si>
    <t>Estancia de Socorro Brazil Sao Paulo State</t>
  </si>
  <si>
    <t>Velille District, Chumbivilcas Province, (Cusco department); Uchiza District, in Tocache Province (San Martìn Department)</t>
  </si>
  <si>
    <t>Chaychapam, Chontayacu and Tomás Rivers</t>
  </si>
  <si>
    <t>GLIDE:WF-2024-000010</t>
  </si>
  <si>
    <t>Viña del Mar City, Quilpué City (Marga Marga Province; Valparaíso Region); O'Higgins, Maule, Ñuble, Los Ríos, Arucania, Aysén regions</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</si>
  <si>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</si>
  <si>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</si>
  <si>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Macapá Municipality (Amapá State)</t>
  </si>
  <si>
    <t>Molinos District, Juja Province, Junín Department; San Juan District, Sihuas Province, Ancash Department</t>
  </si>
  <si>
    <t>Guatemala, Escuintla, and Sacatepéquez</t>
  </si>
  <si>
    <t>Fort Nelson, Carpenter Lake, Fontas, and Doig River First Nation reserve (British Columbia); Alberta, Manitoba Provinces</t>
  </si>
  <si>
    <t>Arkansas, northern Texas, eastern Oklahoma, Kentucky, Alabama, Colorado, Missouri, Illinois</t>
  </si>
  <si>
    <t>Heat dome</t>
  </si>
  <si>
    <t>Ocotepeque, Lempira, Intibucá, La Paz, Valle and Choluteca departments</t>
  </si>
  <si>
    <t>Clarendon, St.Elizabeth, St. Thomas, Manchester, Westmoreland, Hanover</t>
  </si>
  <si>
    <t>National park Jasper (Alberta province); Colombie-Britannique</t>
  </si>
  <si>
    <t>Warm temperatures, dry conditions, and strong winds, lightenings</t>
  </si>
  <si>
    <t>Quebec</t>
  </si>
  <si>
    <t>Tampa, Manatee, and St. Petersburg (Florida); Georgia; South Carolina, North Carolina, Virginia, New Yprk, Pennsylvania</t>
  </si>
  <si>
    <t>Mississippi, Louisiana, Alabama, Florida</t>
  </si>
  <si>
    <t>Amazonas, San Martin and Ucayali</t>
  </si>
  <si>
    <t>Hillsborough, Pinellas, Sarasota Volusia, Saint Petersburg, Tampa, (Florida state)</t>
  </si>
  <si>
    <t>GLIDE:TC-2024-000192</t>
  </si>
  <si>
    <t>Imías and San Antonio del Sur, Maisí and Baracoa muncipalities (Guantanamo Province); Granma, Holguin, Las Tunas, Santiago de Cuba</t>
  </si>
  <si>
    <t>GLIDE:TC-2024-000203</t>
  </si>
  <si>
    <t>Havana, Mayabeque, Isla de la Juventud, Artemisa provinces</t>
  </si>
  <si>
    <t>Ventura county (California)</t>
  </si>
  <si>
    <t>GLIDE:FL-2024-000214</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</si>
  <si>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</si>
  <si>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GLIDE:FL-2024-000212</t>
  </si>
  <si>
    <t>Les Cayes, Torbeck, Saint-Louis-du-Sud, Maniche and Port-Salut municipalities</t>
  </si>
  <si>
    <t>Sula Valley,</t>
  </si>
  <si>
    <t>Rio Grande do Sul State</t>
  </si>
  <si>
    <t>New Mexico, Colorado, Kansas, Nebraska, South Dakota, and Iowa; Panama City and Jackson County (Florida), Cottonwood (Alabama), Bamberg (South Carolina), Catawba County (North Craolina).</t>
  </si>
  <si>
    <t>Two powerful storm systems</t>
  </si>
  <si>
    <t>Tipuani municipality (La Paz department)</t>
  </si>
  <si>
    <t>New Mexico, Colorado, Oklahoma, Lousiana, Texas, Pennsylvania, New Jersey, New York, Connecticut., Mississippi, Wisconsin, Massachusetts, New Hampshire</t>
  </si>
  <si>
    <t>Two storms systems</t>
  </si>
  <si>
    <t>Contralmirante Villar and Tumbes Provinces (Tumbes Region); Tahuamanu Province</t>
  </si>
  <si>
    <t>Acre and Yaverija Rivers</t>
  </si>
  <si>
    <t>Corrientes</t>
  </si>
  <si>
    <t>Heavy rain, intense storm system</t>
  </si>
  <si>
    <t>GLIDE:FL-2024-000048</t>
  </si>
  <si>
    <t>Florida, San Jose; Rosario, Nueva Helvecia Cities (Colonia); Canelones, San Jose, Cero Largo, Paysandú, Rivera, Rocha, Durazno</t>
  </si>
  <si>
    <t>Texas, Louisiana, MIssissippi, Florida, Colorado, Nebraska, and Wyoming</t>
  </si>
  <si>
    <t>Corrientes and Entre Ríos</t>
  </si>
  <si>
    <t>Ortigas, Cerro Largo, Durazno, Paysandú, Rocha, Salto, Soriano, Tacuarembó and Treinta y Tres</t>
  </si>
  <si>
    <t>Oklahoma, Arkansas, Kansas, Nebraska, Michigan, Indiana, Ohio, Kentucky, Tennessee, Alabama, North Carolina, South Carolina, Georgia and Florida</t>
  </si>
  <si>
    <t>San Jacinto del Cauca municipalit (Bolívar department); Guaranda, Sucre and Majagual municipalities (Sucre department)</t>
  </si>
  <si>
    <t>Cauca river</t>
  </si>
  <si>
    <t>Texas, Colorado</t>
  </si>
  <si>
    <t>Petén, Alta Verapaz and Izabal</t>
  </si>
  <si>
    <t>Prolonged heat</t>
  </si>
  <si>
    <t>El Chaco, Patate, Pelileo, Quero, Pillaro, Baños de Agua Santa (Tungurahua province); Penipe (Chimborazo province); Cotopaxi province</t>
  </si>
  <si>
    <t>The Union, Carriacou and Petite Martinique islands</t>
  </si>
  <si>
    <t>Near Arequipa province</t>
  </si>
  <si>
    <t>Windsor, Sarnia, London, Watford, Petrolia, Mississauga, Vaughan, Hamilton, Milton, Oakville, Burlington, Kitchener/Waterloo (Toronto)</t>
  </si>
  <si>
    <t>GLIDE:EP-2024-000152</t>
  </si>
  <si>
    <t>Colon, Panama</t>
  </si>
  <si>
    <t>Jilotzingo, Naucalpan (Mexico state)</t>
  </si>
  <si>
    <t>Tlacoachistlahuaca town (Guerrero state); Michoacan state</t>
  </si>
  <si>
    <t>Arizona</t>
  </si>
  <si>
    <t>Roswell (Chaves county, Eastern New Mexico)</t>
  </si>
  <si>
    <t>GLIDE:FL-2024-000209</t>
  </si>
  <si>
    <t>Los Santos, Herrera, Veraguas, Chiriquí, Bocas del Toro and Ngöbé Bugle provinces</t>
  </si>
  <si>
    <t>Rains from the incipient disturbance Raphael</t>
  </si>
  <si>
    <t>Petén, Izabal, and northern Alta Verapaz</t>
  </si>
  <si>
    <t>Acre, Amazonas, Mato Grosso, Rondonia, and Tocantins</t>
  </si>
  <si>
    <t>Texas, Oklahoma, Kansas, Montana, Idaho, Washington, Mississippi Pennsylvania, Maryland, Delaware and New Jersey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</si>
</sst>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0.00_ "/>
    <numFmt numFmtId="177" formatCode="0.000000_ "/>
    <numFmt numFmtId="178" formatCode="0.000000_);[Red]\(0.000000\)"/>
    <numFmt numFmtId="179" formatCode="0_);[Red]\(0\)"/>
    <numFmt numFmtId="180" formatCode="0.0000%"/>
    <numFmt numFmtId="181" formatCode="0.0000000000_ "/>
  </numFmts>
  <fonts count="5" x14ac:knownFonts="1">
    <font>
      <sz val="11"/>
      <color theme="1"/>
      <name val="Calibri"/>
      <family val="2"/>
    </font>
    <font>
      <sz val="9"/>
      <name val="宋体"/>
      <family val="3"/>
      <charset val="134"/>
    </font>
    <font>
      <sz val="11"/>
      <color rgb="FF006100"/>
      <name val="等线"/>
      <family val="2"/>
      <charset val="134"/>
      <scheme val="minor"/>
    </font>
    <font>
      <sz val="11"/>
      <color rgb="FF006100"/>
      <name val="等线"/>
      <family val="3"/>
      <charset val="134"/>
      <scheme val="minor"/>
    </font>
    <font>
      <vertAlign val="subscript"/>
      <sz val="11"/>
      <color theme="1"/>
      <name val="Calibri"/>
      <family val="2"/>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2" fillId="2" borderId="0" applyNumberFormat="0" applyBorder="0" applyAlignment="0" applyProtection="0">
      <alignment vertical="center"/>
    </xf>
  </cellStyleXfs>
  <cellXfs count="12">
    <xf numFmtId="0" fontId="0" fillId="0" borderId="0" xfId="0"/>
    <xf numFmtId="176" fontId="0" fillId="0" borderId="0" xfId="0" applyNumberFormat="1"/>
    <xf numFmtId="0" fontId="2" fillId="2" borderId="0" xfId="1" applyAlignment="1"/>
    <xf numFmtId="177" fontId="0" fillId="0" borderId="0" xfId="0" applyNumberFormat="1"/>
    <xf numFmtId="178" fontId="0" fillId="0" borderId="0" xfId="0" applyNumberFormat="1"/>
    <xf numFmtId="178" fontId="0" fillId="0" borderId="0" xfId="0" applyNumberFormat="1" applyFill="1"/>
    <xf numFmtId="179" fontId="0" fillId="0" borderId="0" xfId="0" applyNumberFormat="1"/>
    <xf numFmtId="0" fontId="0" fillId="0" borderId="0" xfId="0" applyAlignment="1">
      <alignment horizontal="center"/>
    </xf>
    <xf numFmtId="181" fontId="0" fillId="0" borderId="0" xfId="0" applyNumberFormat="1" applyAlignment="1">
      <alignment horizontal="center"/>
    </xf>
    <xf numFmtId="180" fontId="0" fillId="0" borderId="0" xfId="0" applyNumberFormat="1" applyAlignment="1">
      <alignment horizontal="center"/>
    </xf>
    <xf numFmtId="179" fontId="0" fillId="0" borderId="0" xfId="0" applyNumberFormat="1" applyAlignment="1">
      <alignment horizontal="center"/>
    </xf>
    <xf numFmtId="177" fontId="0" fillId="0" borderId="0" xfId="0" applyNumberFormat="1" applyAlignment="1">
      <alignment horizontal="center"/>
    </xf>
  </cellXfs>
  <cellStyles count="2">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2382"/>
  <sheetViews>
    <sheetView tabSelected="1" workbookViewId="0">
      <selection activeCell="J1" sqref="J1:J1048576"/>
    </sheetView>
  </sheetViews>
  <sheetFormatPr defaultRowHeight="14.4" x14ac:dyDescent="0.3"/>
  <cols>
    <col min="1" max="1" width="13.77734375" customWidth="1"/>
    <col min="2" max="2" width="12.88671875" customWidth="1"/>
    <col min="3" max="3" width="14" customWidth="1"/>
  </cols>
  <sheetData>
    <row r="1" spans="1:20" x14ac:dyDescent="0.3">
      <c r="A1" t="s">
        <v>13</v>
      </c>
      <c r="B1" t="s">
        <v>14</v>
      </c>
      <c r="C1" t="s">
        <v>2583</v>
      </c>
      <c r="D1" t="s">
        <v>15</v>
      </c>
      <c r="E1" t="s">
        <v>21</v>
      </c>
      <c r="F1" t="s">
        <v>23</v>
      </c>
      <c r="G1" t="s">
        <v>2637</v>
      </c>
      <c r="H1" t="s">
        <v>2638</v>
      </c>
      <c r="I1" t="s">
        <v>16</v>
      </c>
      <c r="J1" t="s">
        <v>2584</v>
      </c>
      <c r="K1" t="s">
        <v>2639</v>
      </c>
      <c r="L1" t="s">
        <v>17</v>
      </c>
      <c r="M1" t="s">
        <v>18</v>
      </c>
      <c r="N1" t="s">
        <v>19</v>
      </c>
      <c r="O1" t="s">
        <v>20</v>
      </c>
      <c r="P1" t="s">
        <v>2640</v>
      </c>
      <c r="Q1" t="s">
        <v>2641</v>
      </c>
      <c r="R1" t="s">
        <v>2642</v>
      </c>
      <c r="S1" t="s">
        <v>2643</v>
      </c>
      <c r="T1" t="s">
        <v>2644</v>
      </c>
    </row>
    <row r="2" spans="1:20" hidden="1" x14ac:dyDescent="0.3">
      <c r="A2" t="s">
        <v>38</v>
      </c>
      <c r="B2" t="s">
        <v>39</v>
      </c>
      <c r="C2" t="s">
        <v>40</v>
      </c>
      <c r="D2" t="s">
        <v>41</v>
      </c>
      <c r="E2">
        <v>2000</v>
      </c>
      <c r="F2">
        <v>1000000</v>
      </c>
      <c r="G2" t="s">
        <v>31</v>
      </c>
      <c r="H2" t="s">
        <v>2645</v>
      </c>
      <c r="I2" t="s">
        <v>34</v>
      </c>
      <c r="J2" t="s">
        <v>2646</v>
      </c>
      <c r="K2" t="s">
        <v>31</v>
      </c>
      <c r="L2" t="s">
        <v>31</v>
      </c>
      <c r="M2" t="s">
        <v>27</v>
      </c>
      <c r="N2" t="s">
        <v>27</v>
      </c>
      <c r="O2" t="s">
        <v>27</v>
      </c>
      <c r="P2" t="s">
        <v>31</v>
      </c>
      <c r="Q2">
        <v>680000</v>
      </c>
      <c r="R2" t="s">
        <v>31</v>
      </c>
      <c r="S2" t="s">
        <v>31</v>
      </c>
      <c r="T2" t="s">
        <v>31</v>
      </c>
    </row>
    <row r="3" spans="1:20" hidden="1" x14ac:dyDescent="0.3">
      <c r="A3" t="s">
        <v>416</v>
      </c>
      <c r="B3" t="s">
        <v>51</v>
      </c>
      <c r="C3" t="s">
        <v>37</v>
      </c>
      <c r="D3" t="s">
        <v>121</v>
      </c>
      <c r="E3">
        <v>2000</v>
      </c>
      <c r="F3" t="s">
        <v>31</v>
      </c>
      <c r="G3" t="s">
        <v>31</v>
      </c>
      <c r="H3" t="s">
        <v>2647</v>
      </c>
      <c r="I3" t="s">
        <v>47</v>
      </c>
      <c r="J3" t="s">
        <v>2648</v>
      </c>
      <c r="K3" t="s">
        <v>2649</v>
      </c>
      <c r="L3" t="s">
        <v>417</v>
      </c>
      <c r="M3" t="s">
        <v>27</v>
      </c>
      <c r="N3" t="s">
        <v>27</v>
      </c>
      <c r="O3" t="s">
        <v>27</v>
      </c>
      <c r="P3">
        <v>9</v>
      </c>
      <c r="Q3">
        <v>200000</v>
      </c>
      <c r="R3" t="s">
        <v>31</v>
      </c>
      <c r="S3" t="s">
        <v>31</v>
      </c>
      <c r="T3" t="s">
        <v>2650</v>
      </c>
    </row>
    <row r="4" spans="1:20" hidden="1" x14ac:dyDescent="0.3">
      <c r="A4" t="s">
        <v>420</v>
      </c>
      <c r="B4" t="s">
        <v>51</v>
      </c>
      <c r="C4" t="s">
        <v>37</v>
      </c>
      <c r="D4" t="s">
        <v>56</v>
      </c>
      <c r="E4">
        <v>2000</v>
      </c>
      <c r="F4" t="s">
        <v>31</v>
      </c>
      <c r="G4" t="s">
        <v>31</v>
      </c>
      <c r="H4" t="s">
        <v>2645</v>
      </c>
      <c r="I4" t="s">
        <v>34</v>
      </c>
      <c r="J4" t="s">
        <v>2651</v>
      </c>
      <c r="K4" t="s">
        <v>2652</v>
      </c>
      <c r="L4" t="s">
        <v>31</v>
      </c>
      <c r="M4" t="s">
        <v>27</v>
      </c>
      <c r="N4" t="s">
        <v>27</v>
      </c>
      <c r="O4" t="s">
        <v>27</v>
      </c>
      <c r="P4" t="s">
        <v>31</v>
      </c>
      <c r="Q4" t="s">
        <v>31</v>
      </c>
      <c r="R4" t="s">
        <v>31</v>
      </c>
      <c r="S4" t="s">
        <v>31</v>
      </c>
      <c r="T4" t="s">
        <v>2653</v>
      </c>
    </row>
    <row r="5" spans="1:20" hidden="1" x14ac:dyDescent="0.3">
      <c r="A5" t="s">
        <v>504</v>
      </c>
      <c r="B5" t="s">
        <v>39</v>
      </c>
      <c r="C5" t="s">
        <v>40</v>
      </c>
      <c r="D5" t="s">
        <v>41</v>
      </c>
      <c r="E5">
        <v>2000</v>
      </c>
      <c r="F5" t="s">
        <v>31</v>
      </c>
      <c r="G5" t="s">
        <v>31</v>
      </c>
      <c r="H5" t="s">
        <v>2645</v>
      </c>
      <c r="I5" t="s">
        <v>34</v>
      </c>
      <c r="J5" t="s">
        <v>2654</v>
      </c>
      <c r="K5" t="s">
        <v>31</v>
      </c>
      <c r="L5" t="s">
        <v>31</v>
      </c>
      <c r="M5" t="s">
        <v>27</v>
      </c>
      <c r="N5" t="s">
        <v>27</v>
      </c>
      <c r="O5" t="s">
        <v>27</v>
      </c>
      <c r="P5" t="s">
        <v>31</v>
      </c>
      <c r="Q5">
        <v>2363</v>
      </c>
      <c r="R5" t="s">
        <v>31</v>
      </c>
      <c r="S5" t="s">
        <v>31</v>
      </c>
      <c r="T5" t="s">
        <v>31</v>
      </c>
    </row>
    <row r="6" spans="1:20" hidden="1" x14ac:dyDescent="0.3">
      <c r="A6" t="s">
        <v>510</v>
      </c>
      <c r="B6" t="s">
        <v>51</v>
      </c>
      <c r="C6" t="s">
        <v>2655</v>
      </c>
      <c r="D6" t="s">
        <v>150</v>
      </c>
      <c r="E6">
        <v>2000</v>
      </c>
      <c r="F6">
        <v>75000</v>
      </c>
      <c r="G6" t="s">
        <v>31</v>
      </c>
      <c r="H6" t="s">
        <v>2656</v>
      </c>
      <c r="I6" t="s">
        <v>119</v>
      </c>
      <c r="J6" t="s">
        <v>2603</v>
      </c>
      <c r="K6" t="s">
        <v>31</v>
      </c>
      <c r="L6" t="s">
        <v>31</v>
      </c>
      <c r="M6" t="s">
        <v>27</v>
      </c>
      <c r="N6" t="s">
        <v>27</v>
      </c>
      <c r="O6" t="s">
        <v>27</v>
      </c>
      <c r="P6" t="s">
        <v>31</v>
      </c>
      <c r="Q6" t="s">
        <v>31</v>
      </c>
      <c r="R6" t="s">
        <v>31</v>
      </c>
      <c r="S6" t="s">
        <v>31</v>
      </c>
      <c r="T6" t="s">
        <v>31</v>
      </c>
    </row>
    <row r="7" spans="1:20" hidden="1" x14ac:dyDescent="0.3">
      <c r="A7" t="s">
        <v>517</v>
      </c>
      <c r="B7" t="s">
        <v>51</v>
      </c>
      <c r="C7" t="s">
        <v>37</v>
      </c>
      <c r="D7" t="s">
        <v>52</v>
      </c>
      <c r="E7">
        <v>2000</v>
      </c>
      <c r="F7" t="s">
        <v>31</v>
      </c>
      <c r="G7" t="s">
        <v>31</v>
      </c>
      <c r="H7" t="s">
        <v>2645</v>
      </c>
      <c r="I7" t="s">
        <v>34</v>
      </c>
      <c r="J7" t="s">
        <v>2657</v>
      </c>
      <c r="K7" t="s">
        <v>31</v>
      </c>
      <c r="L7" t="s">
        <v>31</v>
      </c>
      <c r="M7" t="s">
        <v>27</v>
      </c>
      <c r="N7" t="s">
        <v>27</v>
      </c>
      <c r="O7" t="s">
        <v>27</v>
      </c>
      <c r="P7" t="s">
        <v>31</v>
      </c>
      <c r="Q7" t="s">
        <v>31</v>
      </c>
      <c r="R7" t="s">
        <v>31</v>
      </c>
      <c r="S7" t="s">
        <v>31</v>
      </c>
      <c r="T7" t="s">
        <v>31</v>
      </c>
    </row>
    <row r="8" spans="1:20" hidden="1" x14ac:dyDescent="0.3">
      <c r="A8" t="s">
        <v>578</v>
      </c>
      <c r="B8" t="s">
        <v>39</v>
      </c>
      <c r="C8" t="s">
        <v>40</v>
      </c>
      <c r="D8" t="s">
        <v>41</v>
      </c>
      <c r="E8">
        <v>2000</v>
      </c>
      <c r="F8" t="s">
        <v>31</v>
      </c>
      <c r="G8" t="s">
        <v>31</v>
      </c>
      <c r="H8" t="s">
        <v>2658</v>
      </c>
      <c r="I8" t="s">
        <v>130</v>
      </c>
      <c r="J8" t="s">
        <v>2659</v>
      </c>
      <c r="K8" t="s">
        <v>31</v>
      </c>
      <c r="L8" t="s">
        <v>31</v>
      </c>
      <c r="M8" t="s">
        <v>27</v>
      </c>
      <c r="N8" t="s">
        <v>27</v>
      </c>
      <c r="O8" t="s">
        <v>27</v>
      </c>
      <c r="P8" t="s">
        <v>31</v>
      </c>
      <c r="Q8">
        <v>20500</v>
      </c>
      <c r="R8" t="s">
        <v>31</v>
      </c>
      <c r="S8" t="s">
        <v>31</v>
      </c>
      <c r="T8" t="s">
        <v>31</v>
      </c>
    </row>
    <row r="9" spans="1:20" hidden="1" x14ac:dyDescent="0.3">
      <c r="A9" t="s">
        <v>589</v>
      </c>
      <c r="B9" t="s">
        <v>51</v>
      </c>
      <c r="C9" t="s">
        <v>37</v>
      </c>
      <c r="D9" t="s">
        <v>121</v>
      </c>
      <c r="E9">
        <v>2000</v>
      </c>
      <c r="F9">
        <v>20000</v>
      </c>
      <c r="G9" t="s">
        <v>31</v>
      </c>
      <c r="H9" t="s">
        <v>2645</v>
      </c>
      <c r="I9" t="s">
        <v>34</v>
      </c>
      <c r="J9" t="s">
        <v>2660</v>
      </c>
      <c r="K9" t="s">
        <v>2649</v>
      </c>
      <c r="L9" t="s">
        <v>31</v>
      </c>
      <c r="M9" t="s">
        <v>27</v>
      </c>
      <c r="N9" t="s">
        <v>27</v>
      </c>
      <c r="O9" t="s">
        <v>27</v>
      </c>
      <c r="P9" t="s">
        <v>31</v>
      </c>
      <c r="Q9">
        <v>86</v>
      </c>
      <c r="R9" t="s">
        <v>31</v>
      </c>
      <c r="S9" t="s">
        <v>31</v>
      </c>
      <c r="T9" t="s">
        <v>31</v>
      </c>
    </row>
    <row r="10" spans="1:20" hidden="1" x14ac:dyDescent="0.3">
      <c r="A10" t="s">
        <v>598</v>
      </c>
      <c r="B10" t="s">
        <v>28</v>
      </c>
      <c r="C10" t="s">
        <v>29</v>
      </c>
      <c r="D10" t="s">
        <v>97</v>
      </c>
      <c r="E10">
        <v>2000</v>
      </c>
      <c r="F10" t="s">
        <v>31</v>
      </c>
      <c r="G10" t="s">
        <v>31</v>
      </c>
      <c r="H10" t="s">
        <v>2645</v>
      </c>
      <c r="I10" t="s">
        <v>34</v>
      </c>
      <c r="J10" t="s">
        <v>2661</v>
      </c>
      <c r="K10" t="s">
        <v>31</v>
      </c>
      <c r="L10" t="s">
        <v>31</v>
      </c>
      <c r="M10" t="s">
        <v>27</v>
      </c>
      <c r="N10" t="s">
        <v>27</v>
      </c>
      <c r="O10" t="s">
        <v>27</v>
      </c>
      <c r="P10" t="s">
        <v>31</v>
      </c>
      <c r="Q10">
        <v>249</v>
      </c>
      <c r="R10" t="s">
        <v>31</v>
      </c>
      <c r="S10" t="s">
        <v>31</v>
      </c>
      <c r="T10" t="s">
        <v>31</v>
      </c>
    </row>
    <row r="11" spans="1:20" hidden="1" x14ac:dyDescent="0.3">
      <c r="A11" t="s">
        <v>611</v>
      </c>
      <c r="B11" t="s">
        <v>51</v>
      </c>
      <c r="C11" t="s">
        <v>37</v>
      </c>
      <c r="D11" t="s">
        <v>52</v>
      </c>
      <c r="E11">
        <v>2000</v>
      </c>
      <c r="F11" t="s">
        <v>31</v>
      </c>
      <c r="G11" t="s">
        <v>31</v>
      </c>
      <c r="H11" t="s">
        <v>2647</v>
      </c>
      <c r="I11" t="s">
        <v>47</v>
      </c>
      <c r="J11" t="s">
        <v>2662</v>
      </c>
      <c r="K11" t="s">
        <v>31</v>
      </c>
      <c r="L11" t="s">
        <v>31</v>
      </c>
      <c r="M11" t="s">
        <v>27</v>
      </c>
      <c r="N11" t="s">
        <v>27</v>
      </c>
      <c r="O11" t="s">
        <v>27</v>
      </c>
      <c r="P11" t="s">
        <v>31</v>
      </c>
      <c r="Q11" t="s">
        <v>31</v>
      </c>
      <c r="R11" t="s">
        <v>31</v>
      </c>
      <c r="S11" t="s">
        <v>31</v>
      </c>
      <c r="T11" t="s">
        <v>31</v>
      </c>
    </row>
    <row r="12" spans="1:20" hidden="1" x14ac:dyDescent="0.3">
      <c r="A12" t="s">
        <v>628</v>
      </c>
      <c r="B12" t="s">
        <v>51</v>
      </c>
      <c r="C12" t="s">
        <v>37</v>
      </c>
      <c r="D12" t="s">
        <v>121</v>
      </c>
      <c r="E12">
        <v>2000</v>
      </c>
      <c r="F12" t="s">
        <v>31</v>
      </c>
      <c r="G12" t="s">
        <v>31</v>
      </c>
      <c r="H12" t="s">
        <v>2658</v>
      </c>
      <c r="I12" t="s">
        <v>130</v>
      </c>
      <c r="J12" t="s">
        <v>2663</v>
      </c>
      <c r="K12" t="s">
        <v>2664</v>
      </c>
      <c r="L12" t="s">
        <v>31</v>
      </c>
      <c r="M12" t="s">
        <v>27</v>
      </c>
      <c r="N12" t="s">
        <v>27</v>
      </c>
      <c r="O12" t="s">
        <v>27</v>
      </c>
      <c r="P12" t="s">
        <v>31</v>
      </c>
      <c r="Q12" t="s">
        <v>31</v>
      </c>
      <c r="R12" t="s">
        <v>31</v>
      </c>
      <c r="S12" t="s">
        <v>31</v>
      </c>
      <c r="T12" t="s">
        <v>31</v>
      </c>
    </row>
    <row r="13" spans="1:20" hidden="1" x14ac:dyDescent="0.3">
      <c r="A13" t="s">
        <v>684</v>
      </c>
      <c r="B13" t="s">
        <v>43</v>
      </c>
      <c r="C13" t="s">
        <v>2665</v>
      </c>
      <c r="D13" t="s">
        <v>627</v>
      </c>
      <c r="E13">
        <v>2000</v>
      </c>
      <c r="F13" t="s">
        <v>31</v>
      </c>
      <c r="G13" t="s">
        <v>31</v>
      </c>
      <c r="H13" t="s">
        <v>2666</v>
      </c>
      <c r="I13" t="s">
        <v>109</v>
      </c>
      <c r="J13" t="s">
        <v>2667</v>
      </c>
      <c r="K13" t="s">
        <v>31</v>
      </c>
      <c r="L13" t="s">
        <v>31</v>
      </c>
      <c r="M13" t="s">
        <v>27</v>
      </c>
      <c r="N13" t="s">
        <v>27</v>
      </c>
      <c r="O13" t="s">
        <v>27</v>
      </c>
      <c r="P13" t="s">
        <v>31</v>
      </c>
      <c r="Q13" t="s">
        <v>31</v>
      </c>
      <c r="R13" t="s">
        <v>31</v>
      </c>
      <c r="S13" t="s">
        <v>31</v>
      </c>
      <c r="T13" t="s">
        <v>31</v>
      </c>
    </row>
    <row r="14" spans="1:20" hidden="1" x14ac:dyDescent="0.3">
      <c r="A14" t="s">
        <v>692</v>
      </c>
      <c r="B14" t="s">
        <v>51</v>
      </c>
      <c r="C14" t="s">
        <v>2655</v>
      </c>
      <c r="D14" t="s">
        <v>134</v>
      </c>
      <c r="E14">
        <v>2000</v>
      </c>
      <c r="F14" t="s">
        <v>31</v>
      </c>
      <c r="G14" t="s">
        <v>31</v>
      </c>
      <c r="H14" t="s">
        <v>2666</v>
      </c>
      <c r="I14" t="s">
        <v>109</v>
      </c>
      <c r="J14" t="s">
        <v>2668</v>
      </c>
      <c r="K14" t="s">
        <v>31</v>
      </c>
      <c r="L14" t="s">
        <v>31</v>
      </c>
      <c r="M14" t="s">
        <v>27</v>
      </c>
      <c r="N14" t="s">
        <v>27</v>
      </c>
      <c r="O14" t="s">
        <v>27</v>
      </c>
      <c r="P14" t="s">
        <v>31</v>
      </c>
      <c r="Q14" t="s">
        <v>31</v>
      </c>
      <c r="R14" t="s">
        <v>31</v>
      </c>
      <c r="S14" t="s">
        <v>31</v>
      </c>
      <c r="T14" t="s">
        <v>31</v>
      </c>
    </row>
    <row r="15" spans="1:20" hidden="1" x14ac:dyDescent="0.3">
      <c r="A15" t="s">
        <v>775</v>
      </c>
      <c r="B15" t="s">
        <v>51</v>
      </c>
      <c r="C15" t="s">
        <v>37</v>
      </c>
      <c r="D15" t="s">
        <v>121</v>
      </c>
      <c r="E15">
        <v>2000</v>
      </c>
      <c r="F15" t="s">
        <v>31</v>
      </c>
      <c r="G15" t="s">
        <v>31</v>
      </c>
      <c r="H15" t="s">
        <v>2669</v>
      </c>
      <c r="I15" t="s">
        <v>111</v>
      </c>
      <c r="J15" t="s">
        <v>2670</v>
      </c>
      <c r="K15" t="s">
        <v>2649</v>
      </c>
      <c r="L15" t="s">
        <v>31</v>
      </c>
      <c r="M15" t="s">
        <v>27</v>
      </c>
      <c r="N15" t="s">
        <v>27</v>
      </c>
      <c r="O15" t="s">
        <v>27</v>
      </c>
      <c r="P15" t="s">
        <v>31</v>
      </c>
      <c r="Q15">
        <v>750</v>
      </c>
      <c r="R15" t="s">
        <v>31</v>
      </c>
      <c r="S15" t="s">
        <v>31</v>
      </c>
      <c r="T15" t="s">
        <v>2671</v>
      </c>
    </row>
    <row r="16" spans="1:20" hidden="1" x14ac:dyDescent="0.3">
      <c r="A16" t="s">
        <v>777</v>
      </c>
      <c r="B16" t="s">
        <v>51</v>
      </c>
      <c r="C16" t="s">
        <v>37</v>
      </c>
      <c r="D16" t="s">
        <v>52</v>
      </c>
      <c r="E16">
        <v>2000</v>
      </c>
      <c r="F16" t="s">
        <v>31</v>
      </c>
      <c r="G16" t="s">
        <v>31</v>
      </c>
      <c r="H16" t="s">
        <v>2672</v>
      </c>
      <c r="I16" t="s">
        <v>73</v>
      </c>
      <c r="J16" t="s">
        <v>2673</v>
      </c>
      <c r="K16" t="s">
        <v>31</v>
      </c>
      <c r="L16" t="s">
        <v>31</v>
      </c>
      <c r="M16" t="s">
        <v>27</v>
      </c>
      <c r="N16" t="s">
        <v>27</v>
      </c>
      <c r="O16" t="s">
        <v>27</v>
      </c>
      <c r="P16" t="s">
        <v>31</v>
      </c>
      <c r="Q16" t="s">
        <v>31</v>
      </c>
      <c r="R16" t="s">
        <v>31</v>
      </c>
      <c r="S16" t="s">
        <v>31</v>
      </c>
      <c r="T16" t="s">
        <v>31</v>
      </c>
    </row>
    <row r="17" spans="1:20" hidden="1" x14ac:dyDescent="0.3">
      <c r="A17" t="s">
        <v>778</v>
      </c>
      <c r="B17" t="s">
        <v>51</v>
      </c>
      <c r="C17" t="s">
        <v>37</v>
      </c>
      <c r="D17" t="s">
        <v>52</v>
      </c>
      <c r="E17">
        <v>2000</v>
      </c>
      <c r="F17" t="s">
        <v>31</v>
      </c>
      <c r="G17" t="s">
        <v>31</v>
      </c>
      <c r="H17" t="s">
        <v>2672</v>
      </c>
      <c r="I17" t="s">
        <v>73</v>
      </c>
      <c r="J17" t="s">
        <v>2674</v>
      </c>
      <c r="K17" t="s">
        <v>31</v>
      </c>
      <c r="L17" t="s">
        <v>54</v>
      </c>
      <c r="M17" t="s">
        <v>27</v>
      </c>
      <c r="N17" t="s">
        <v>27</v>
      </c>
      <c r="O17" t="s">
        <v>27</v>
      </c>
      <c r="P17" t="s">
        <v>31</v>
      </c>
      <c r="Q17" t="s">
        <v>31</v>
      </c>
      <c r="R17" t="s">
        <v>31</v>
      </c>
      <c r="S17" t="s">
        <v>31</v>
      </c>
      <c r="T17" t="s">
        <v>31</v>
      </c>
    </row>
    <row r="18" spans="1:20" hidden="1" x14ac:dyDescent="0.3">
      <c r="A18" t="s">
        <v>779</v>
      </c>
      <c r="B18" t="s">
        <v>51</v>
      </c>
      <c r="C18" t="s">
        <v>37</v>
      </c>
      <c r="D18" t="s">
        <v>121</v>
      </c>
      <c r="E18">
        <v>2000</v>
      </c>
      <c r="F18" t="s">
        <v>31</v>
      </c>
      <c r="G18" t="s">
        <v>31</v>
      </c>
      <c r="H18" t="s">
        <v>2675</v>
      </c>
      <c r="I18" t="s">
        <v>81</v>
      </c>
      <c r="J18" t="s">
        <v>2676</v>
      </c>
      <c r="K18" t="s">
        <v>31</v>
      </c>
      <c r="L18" t="s">
        <v>31</v>
      </c>
      <c r="M18" t="s">
        <v>27</v>
      </c>
      <c r="N18" t="s">
        <v>27</v>
      </c>
      <c r="O18" t="s">
        <v>27</v>
      </c>
      <c r="P18" t="s">
        <v>31</v>
      </c>
      <c r="Q18" t="s">
        <v>31</v>
      </c>
      <c r="R18" t="s">
        <v>31</v>
      </c>
      <c r="S18" t="s">
        <v>31</v>
      </c>
      <c r="T18" t="s">
        <v>31</v>
      </c>
    </row>
    <row r="19" spans="1:20" hidden="1" x14ac:dyDescent="0.3">
      <c r="A19" t="s">
        <v>780</v>
      </c>
      <c r="B19" t="s">
        <v>39</v>
      </c>
      <c r="C19" t="s">
        <v>40</v>
      </c>
      <c r="D19" t="s">
        <v>41</v>
      </c>
      <c r="E19">
        <v>2000</v>
      </c>
      <c r="F19" t="s">
        <v>31</v>
      </c>
      <c r="G19" t="s">
        <v>31</v>
      </c>
      <c r="H19" t="s">
        <v>2645</v>
      </c>
      <c r="I19" t="s">
        <v>34</v>
      </c>
      <c r="J19" t="s">
        <v>2677</v>
      </c>
      <c r="K19" t="s">
        <v>31</v>
      </c>
      <c r="L19" t="s">
        <v>31</v>
      </c>
      <c r="M19" t="s">
        <v>27</v>
      </c>
      <c r="N19" t="s">
        <v>27</v>
      </c>
      <c r="O19" t="s">
        <v>27</v>
      </c>
      <c r="P19" t="s">
        <v>31</v>
      </c>
      <c r="Q19">
        <v>85</v>
      </c>
      <c r="R19" t="s">
        <v>31</v>
      </c>
      <c r="S19" t="s">
        <v>31</v>
      </c>
      <c r="T19" t="s">
        <v>31</v>
      </c>
    </row>
    <row r="20" spans="1:20" hidden="1" x14ac:dyDescent="0.3">
      <c r="A20" t="s">
        <v>781</v>
      </c>
      <c r="B20" t="s">
        <v>51</v>
      </c>
      <c r="C20" t="s">
        <v>2655</v>
      </c>
      <c r="D20" t="s">
        <v>134</v>
      </c>
      <c r="E20">
        <v>2000</v>
      </c>
      <c r="F20" t="s">
        <v>31</v>
      </c>
      <c r="G20" t="s">
        <v>31</v>
      </c>
      <c r="H20" t="s">
        <v>2678</v>
      </c>
      <c r="I20" t="s">
        <v>53</v>
      </c>
      <c r="J20" t="s">
        <v>2679</v>
      </c>
      <c r="K20" t="s">
        <v>31</v>
      </c>
      <c r="L20" t="s">
        <v>31</v>
      </c>
      <c r="M20" t="s">
        <v>27</v>
      </c>
      <c r="N20" t="s">
        <v>27</v>
      </c>
      <c r="O20" t="s">
        <v>27</v>
      </c>
      <c r="P20" t="s">
        <v>31</v>
      </c>
      <c r="Q20" t="s">
        <v>31</v>
      </c>
      <c r="R20" t="s">
        <v>31</v>
      </c>
      <c r="S20" t="s">
        <v>31</v>
      </c>
      <c r="T20" t="s">
        <v>31</v>
      </c>
    </row>
    <row r="21" spans="1:20" hidden="1" x14ac:dyDescent="0.3">
      <c r="A21" t="s">
        <v>782</v>
      </c>
      <c r="B21" t="s">
        <v>28</v>
      </c>
      <c r="C21" t="s">
        <v>29</v>
      </c>
      <c r="D21" t="s">
        <v>30</v>
      </c>
      <c r="E21">
        <v>2000</v>
      </c>
      <c r="F21" t="s">
        <v>31</v>
      </c>
      <c r="G21" t="s">
        <v>31</v>
      </c>
      <c r="H21" t="s">
        <v>2680</v>
      </c>
      <c r="I21" t="s">
        <v>115</v>
      </c>
      <c r="J21" t="s">
        <v>2681</v>
      </c>
      <c r="K21" t="s">
        <v>31</v>
      </c>
      <c r="L21" t="s">
        <v>31</v>
      </c>
      <c r="M21" t="s">
        <v>27</v>
      </c>
      <c r="N21" t="s">
        <v>27</v>
      </c>
      <c r="O21" t="s">
        <v>27</v>
      </c>
      <c r="P21" t="s">
        <v>31</v>
      </c>
      <c r="Q21" t="s">
        <v>31</v>
      </c>
      <c r="R21" t="s">
        <v>31</v>
      </c>
      <c r="S21" t="s">
        <v>31</v>
      </c>
      <c r="T21" t="s">
        <v>31</v>
      </c>
    </row>
    <row r="22" spans="1:20" hidden="1" x14ac:dyDescent="0.3">
      <c r="A22" t="s">
        <v>783</v>
      </c>
      <c r="B22" t="s">
        <v>28</v>
      </c>
      <c r="C22" t="s">
        <v>29</v>
      </c>
      <c r="D22" t="s">
        <v>30</v>
      </c>
      <c r="E22">
        <v>2000</v>
      </c>
      <c r="F22">
        <v>219000</v>
      </c>
      <c r="G22" t="s">
        <v>31</v>
      </c>
      <c r="H22" t="s">
        <v>2645</v>
      </c>
      <c r="I22" t="s">
        <v>34</v>
      </c>
      <c r="J22" t="s">
        <v>2682</v>
      </c>
      <c r="K22" t="s">
        <v>31</v>
      </c>
      <c r="L22" t="s">
        <v>31</v>
      </c>
      <c r="M22" t="s">
        <v>27</v>
      </c>
      <c r="N22" t="s">
        <v>27</v>
      </c>
      <c r="O22" t="s">
        <v>27</v>
      </c>
      <c r="P22" t="s">
        <v>31</v>
      </c>
      <c r="Q22" t="s">
        <v>31</v>
      </c>
      <c r="R22" t="s">
        <v>31</v>
      </c>
      <c r="S22" t="s">
        <v>31</v>
      </c>
      <c r="T22" t="s">
        <v>31</v>
      </c>
    </row>
    <row r="23" spans="1:20" hidden="1" x14ac:dyDescent="0.3">
      <c r="A23" t="s">
        <v>784</v>
      </c>
      <c r="B23" t="s">
        <v>51</v>
      </c>
      <c r="C23" t="s">
        <v>2655</v>
      </c>
      <c r="D23" t="s">
        <v>150</v>
      </c>
      <c r="E23">
        <v>2000</v>
      </c>
      <c r="F23" t="s">
        <v>31</v>
      </c>
      <c r="G23" t="s">
        <v>31</v>
      </c>
      <c r="H23" t="s">
        <v>2666</v>
      </c>
      <c r="I23" t="s">
        <v>109</v>
      </c>
      <c r="J23" t="s">
        <v>2683</v>
      </c>
      <c r="K23" t="s">
        <v>31</v>
      </c>
      <c r="L23" t="s">
        <v>31</v>
      </c>
      <c r="M23" t="s">
        <v>27</v>
      </c>
      <c r="N23" t="s">
        <v>27</v>
      </c>
      <c r="O23" t="s">
        <v>27</v>
      </c>
      <c r="P23" t="s">
        <v>31</v>
      </c>
      <c r="Q23" t="s">
        <v>31</v>
      </c>
      <c r="R23" t="s">
        <v>31</v>
      </c>
      <c r="S23" t="s">
        <v>31</v>
      </c>
      <c r="T23" t="s">
        <v>31</v>
      </c>
    </row>
    <row r="24" spans="1:20" hidden="1" x14ac:dyDescent="0.3">
      <c r="A24" t="s">
        <v>785</v>
      </c>
      <c r="B24" t="s">
        <v>28</v>
      </c>
      <c r="C24" t="s">
        <v>29</v>
      </c>
      <c r="D24" t="s">
        <v>99</v>
      </c>
      <c r="E24">
        <v>2000</v>
      </c>
      <c r="F24" t="s">
        <v>31</v>
      </c>
      <c r="G24" t="s">
        <v>31</v>
      </c>
      <c r="H24" t="s">
        <v>2658</v>
      </c>
      <c r="I24" t="s">
        <v>130</v>
      </c>
      <c r="J24" t="s">
        <v>2684</v>
      </c>
      <c r="K24" t="s">
        <v>31</v>
      </c>
      <c r="L24" t="s">
        <v>31</v>
      </c>
      <c r="M24" t="s">
        <v>27</v>
      </c>
      <c r="N24" t="s">
        <v>27</v>
      </c>
      <c r="O24" t="s">
        <v>27</v>
      </c>
      <c r="P24" t="s">
        <v>31</v>
      </c>
      <c r="Q24">
        <v>96</v>
      </c>
      <c r="R24" t="s">
        <v>31</v>
      </c>
      <c r="S24" t="s">
        <v>31</v>
      </c>
      <c r="T24" t="s">
        <v>31</v>
      </c>
    </row>
    <row r="25" spans="1:20" hidden="1" x14ac:dyDescent="0.3">
      <c r="A25" t="s">
        <v>786</v>
      </c>
      <c r="B25" t="s">
        <v>28</v>
      </c>
      <c r="C25" t="s">
        <v>2685</v>
      </c>
      <c r="D25" t="s">
        <v>68</v>
      </c>
      <c r="E25">
        <v>2000</v>
      </c>
      <c r="F25" t="s">
        <v>31</v>
      </c>
      <c r="G25" t="s">
        <v>31</v>
      </c>
      <c r="H25" t="s">
        <v>2672</v>
      </c>
      <c r="I25" t="s">
        <v>73</v>
      </c>
      <c r="J25" t="s">
        <v>2686</v>
      </c>
      <c r="K25" t="s">
        <v>31</v>
      </c>
      <c r="L25" t="s">
        <v>31</v>
      </c>
      <c r="M25" t="s">
        <v>27</v>
      </c>
      <c r="N25" t="s">
        <v>27</v>
      </c>
      <c r="O25" t="s">
        <v>27</v>
      </c>
      <c r="P25" t="s">
        <v>31</v>
      </c>
      <c r="Q25" t="s">
        <v>31</v>
      </c>
      <c r="R25" t="s">
        <v>31</v>
      </c>
      <c r="S25" t="s">
        <v>31</v>
      </c>
      <c r="T25" t="s">
        <v>31</v>
      </c>
    </row>
    <row r="26" spans="1:20" hidden="1" x14ac:dyDescent="0.3">
      <c r="A26" t="s">
        <v>787</v>
      </c>
      <c r="B26" t="s">
        <v>51</v>
      </c>
      <c r="C26" t="s">
        <v>37</v>
      </c>
      <c r="D26" t="s">
        <v>52</v>
      </c>
      <c r="E26">
        <v>2000</v>
      </c>
      <c r="F26" t="s">
        <v>31</v>
      </c>
      <c r="G26" t="s">
        <v>31</v>
      </c>
      <c r="H26" t="s">
        <v>2669</v>
      </c>
      <c r="I26" t="s">
        <v>111</v>
      </c>
      <c r="J26" t="s">
        <v>2687</v>
      </c>
      <c r="K26" t="s">
        <v>31</v>
      </c>
      <c r="L26" t="s">
        <v>54</v>
      </c>
      <c r="M26" t="s">
        <v>27</v>
      </c>
      <c r="N26" t="s">
        <v>27</v>
      </c>
      <c r="O26" t="s">
        <v>27</v>
      </c>
      <c r="P26" t="s">
        <v>31</v>
      </c>
      <c r="Q26" t="s">
        <v>31</v>
      </c>
      <c r="R26" t="s">
        <v>31</v>
      </c>
      <c r="S26" t="s">
        <v>31</v>
      </c>
      <c r="T26" t="s">
        <v>31</v>
      </c>
    </row>
    <row r="27" spans="1:20" hidden="1" x14ac:dyDescent="0.3">
      <c r="A27" t="s">
        <v>788</v>
      </c>
      <c r="B27" t="s">
        <v>28</v>
      </c>
      <c r="C27" t="s">
        <v>29</v>
      </c>
      <c r="D27" t="s">
        <v>189</v>
      </c>
      <c r="E27">
        <v>2000</v>
      </c>
      <c r="F27">
        <v>350000</v>
      </c>
      <c r="G27" t="s">
        <v>31</v>
      </c>
      <c r="H27" t="s">
        <v>2645</v>
      </c>
      <c r="I27" t="s">
        <v>34</v>
      </c>
      <c r="J27" t="s">
        <v>2688</v>
      </c>
      <c r="K27" t="s">
        <v>31</v>
      </c>
      <c r="L27" t="s">
        <v>68</v>
      </c>
      <c r="M27" t="s">
        <v>27</v>
      </c>
      <c r="N27" t="s">
        <v>27</v>
      </c>
      <c r="O27" t="s">
        <v>27</v>
      </c>
      <c r="P27" t="s">
        <v>31</v>
      </c>
      <c r="Q27" t="s">
        <v>31</v>
      </c>
      <c r="R27" t="s">
        <v>31</v>
      </c>
      <c r="S27" t="s">
        <v>31</v>
      </c>
      <c r="T27" t="s">
        <v>31</v>
      </c>
    </row>
    <row r="28" spans="1:20" hidden="1" x14ac:dyDescent="0.3">
      <c r="A28" t="s">
        <v>789</v>
      </c>
      <c r="B28" t="s">
        <v>28</v>
      </c>
      <c r="C28" t="s">
        <v>29</v>
      </c>
      <c r="D28" t="s">
        <v>189</v>
      </c>
      <c r="E28">
        <v>2000</v>
      </c>
      <c r="F28">
        <v>500000</v>
      </c>
      <c r="G28" t="s">
        <v>31</v>
      </c>
      <c r="H28" t="s">
        <v>2645</v>
      </c>
      <c r="I28" t="s">
        <v>34</v>
      </c>
      <c r="J28" t="s">
        <v>2689</v>
      </c>
      <c r="K28" t="s">
        <v>31</v>
      </c>
      <c r="L28" t="s">
        <v>31</v>
      </c>
      <c r="M28" t="s">
        <v>27</v>
      </c>
      <c r="N28" t="s">
        <v>27</v>
      </c>
      <c r="O28" t="s">
        <v>27</v>
      </c>
      <c r="P28" t="s">
        <v>31</v>
      </c>
      <c r="Q28" t="s">
        <v>31</v>
      </c>
      <c r="R28" t="s">
        <v>31</v>
      </c>
      <c r="S28" t="s">
        <v>31</v>
      </c>
      <c r="T28" t="s">
        <v>31</v>
      </c>
    </row>
    <row r="29" spans="1:20" hidden="1" x14ac:dyDescent="0.3">
      <c r="A29" t="s">
        <v>790</v>
      </c>
      <c r="B29" t="s">
        <v>39</v>
      </c>
      <c r="C29" t="s">
        <v>157</v>
      </c>
      <c r="D29" t="s">
        <v>157</v>
      </c>
      <c r="E29">
        <v>2000</v>
      </c>
      <c r="F29">
        <v>1100000</v>
      </c>
      <c r="G29" t="s">
        <v>31</v>
      </c>
      <c r="H29" t="s">
        <v>2645</v>
      </c>
      <c r="I29" t="s">
        <v>34</v>
      </c>
      <c r="J29" t="s">
        <v>2690</v>
      </c>
      <c r="K29" t="s">
        <v>31</v>
      </c>
      <c r="L29" t="s">
        <v>31</v>
      </c>
      <c r="M29" t="s">
        <v>27</v>
      </c>
      <c r="N29" t="s">
        <v>27</v>
      </c>
      <c r="O29" t="s">
        <v>33</v>
      </c>
      <c r="P29" t="s">
        <v>31</v>
      </c>
      <c r="Q29" t="s">
        <v>31</v>
      </c>
      <c r="R29" t="s">
        <v>31</v>
      </c>
      <c r="S29" t="s">
        <v>31</v>
      </c>
      <c r="T29" t="s">
        <v>31</v>
      </c>
    </row>
    <row r="30" spans="1:20" hidden="1" x14ac:dyDescent="0.3">
      <c r="A30" t="s">
        <v>791</v>
      </c>
      <c r="B30" t="s">
        <v>39</v>
      </c>
      <c r="C30" t="s">
        <v>157</v>
      </c>
      <c r="D30" t="s">
        <v>157</v>
      </c>
      <c r="E30">
        <v>2000</v>
      </c>
      <c r="F30" t="s">
        <v>31</v>
      </c>
      <c r="G30" t="s">
        <v>31</v>
      </c>
      <c r="H30" t="s">
        <v>2675</v>
      </c>
      <c r="I30" t="s">
        <v>81</v>
      </c>
      <c r="J30" t="s">
        <v>2691</v>
      </c>
      <c r="K30" t="s">
        <v>31</v>
      </c>
      <c r="L30" t="s">
        <v>792</v>
      </c>
      <c r="M30" t="s">
        <v>27</v>
      </c>
      <c r="N30" t="s">
        <v>27</v>
      </c>
      <c r="O30" t="s">
        <v>27</v>
      </c>
      <c r="P30" t="s">
        <v>31</v>
      </c>
      <c r="Q30" t="s">
        <v>31</v>
      </c>
      <c r="R30" t="s">
        <v>31</v>
      </c>
      <c r="S30" t="s">
        <v>31</v>
      </c>
      <c r="T30" t="s">
        <v>31</v>
      </c>
    </row>
    <row r="31" spans="1:20" hidden="1" x14ac:dyDescent="0.3">
      <c r="A31" t="s">
        <v>821</v>
      </c>
      <c r="B31" t="s">
        <v>39</v>
      </c>
      <c r="C31" t="s">
        <v>40</v>
      </c>
      <c r="D31" t="s">
        <v>41</v>
      </c>
      <c r="E31">
        <v>2000</v>
      </c>
      <c r="F31" t="s">
        <v>31</v>
      </c>
      <c r="G31" t="s">
        <v>31</v>
      </c>
      <c r="H31" t="s">
        <v>2645</v>
      </c>
      <c r="I31" t="s">
        <v>34</v>
      </c>
      <c r="J31" t="s">
        <v>2692</v>
      </c>
      <c r="K31" t="s">
        <v>31</v>
      </c>
      <c r="L31" t="s">
        <v>31</v>
      </c>
      <c r="M31" t="s">
        <v>27</v>
      </c>
      <c r="N31" t="s">
        <v>27</v>
      </c>
      <c r="O31" t="s">
        <v>27</v>
      </c>
      <c r="P31" t="s">
        <v>31</v>
      </c>
      <c r="Q31">
        <v>113</v>
      </c>
      <c r="R31" t="s">
        <v>31</v>
      </c>
      <c r="S31" t="s">
        <v>31</v>
      </c>
      <c r="T31" t="s">
        <v>31</v>
      </c>
    </row>
    <row r="32" spans="1:20" hidden="1" x14ac:dyDescent="0.3">
      <c r="A32" t="s">
        <v>822</v>
      </c>
      <c r="B32" t="s">
        <v>51</v>
      </c>
      <c r="C32" t="s">
        <v>37</v>
      </c>
      <c r="D32" t="s">
        <v>52</v>
      </c>
      <c r="E32">
        <v>2000</v>
      </c>
      <c r="F32" t="s">
        <v>31</v>
      </c>
      <c r="G32" t="s">
        <v>31</v>
      </c>
      <c r="H32" t="s">
        <v>2666</v>
      </c>
      <c r="I32" t="s">
        <v>109</v>
      </c>
      <c r="J32" t="s">
        <v>2693</v>
      </c>
      <c r="K32" t="s">
        <v>31</v>
      </c>
      <c r="L32" t="s">
        <v>31</v>
      </c>
      <c r="M32" t="s">
        <v>27</v>
      </c>
      <c r="N32" t="s">
        <v>27</v>
      </c>
      <c r="O32" t="s">
        <v>27</v>
      </c>
      <c r="P32" t="s">
        <v>31</v>
      </c>
      <c r="Q32" t="s">
        <v>31</v>
      </c>
      <c r="R32" t="s">
        <v>31</v>
      </c>
      <c r="S32" t="s">
        <v>31</v>
      </c>
      <c r="T32" t="s">
        <v>31</v>
      </c>
    </row>
    <row r="33" spans="1:20" hidden="1" x14ac:dyDescent="0.3">
      <c r="A33" t="s">
        <v>823</v>
      </c>
      <c r="B33" t="s">
        <v>28</v>
      </c>
      <c r="C33" t="s">
        <v>29</v>
      </c>
      <c r="D33" t="s">
        <v>97</v>
      </c>
      <c r="E33">
        <v>2000</v>
      </c>
      <c r="F33">
        <v>28500</v>
      </c>
      <c r="G33" t="s">
        <v>31</v>
      </c>
      <c r="H33" t="s">
        <v>2645</v>
      </c>
      <c r="I33" t="s">
        <v>34</v>
      </c>
      <c r="J33" t="s">
        <v>2694</v>
      </c>
      <c r="K33" t="s">
        <v>31</v>
      </c>
      <c r="L33" t="s">
        <v>31</v>
      </c>
      <c r="M33" t="s">
        <v>27</v>
      </c>
      <c r="N33" t="s">
        <v>27</v>
      </c>
      <c r="O33" t="s">
        <v>27</v>
      </c>
      <c r="P33" t="s">
        <v>31</v>
      </c>
      <c r="Q33" t="s">
        <v>31</v>
      </c>
      <c r="R33" t="s">
        <v>31</v>
      </c>
      <c r="S33" t="s">
        <v>31</v>
      </c>
      <c r="T33" t="s">
        <v>31</v>
      </c>
    </row>
    <row r="34" spans="1:20" hidden="1" x14ac:dyDescent="0.3">
      <c r="A34" t="s">
        <v>824</v>
      </c>
      <c r="B34" t="s">
        <v>51</v>
      </c>
      <c r="C34" t="s">
        <v>2655</v>
      </c>
      <c r="D34" t="s">
        <v>134</v>
      </c>
      <c r="E34">
        <v>2000</v>
      </c>
      <c r="F34" t="s">
        <v>31</v>
      </c>
      <c r="G34" t="s">
        <v>31</v>
      </c>
      <c r="H34" t="s">
        <v>2695</v>
      </c>
      <c r="I34" t="s">
        <v>161</v>
      </c>
      <c r="J34" t="s">
        <v>2696</v>
      </c>
      <c r="K34" t="s">
        <v>31</v>
      </c>
      <c r="L34" t="s">
        <v>31</v>
      </c>
      <c r="M34" t="s">
        <v>27</v>
      </c>
      <c r="N34" t="s">
        <v>27</v>
      </c>
      <c r="O34" t="s">
        <v>27</v>
      </c>
      <c r="P34" t="s">
        <v>31</v>
      </c>
      <c r="Q34" t="s">
        <v>31</v>
      </c>
      <c r="R34" t="s">
        <v>31</v>
      </c>
      <c r="S34" t="s">
        <v>31</v>
      </c>
      <c r="T34" t="s">
        <v>31</v>
      </c>
    </row>
    <row r="35" spans="1:20" hidden="1" x14ac:dyDescent="0.3">
      <c r="A35" t="s">
        <v>825</v>
      </c>
      <c r="B35" t="s">
        <v>91</v>
      </c>
      <c r="C35" t="s">
        <v>92</v>
      </c>
      <c r="D35" t="s">
        <v>93</v>
      </c>
      <c r="E35">
        <v>2000</v>
      </c>
      <c r="F35" t="s">
        <v>31</v>
      </c>
      <c r="G35" t="s">
        <v>2697</v>
      </c>
      <c r="H35" t="s">
        <v>2675</v>
      </c>
      <c r="I35" t="s">
        <v>81</v>
      </c>
      <c r="J35" t="s">
        <v>2698</v>
      </c>
      <c r="K35" t="s">
        <v>31</v>
      </c>
      <c r="L35" t="s">
        <v>31</v>
      </c>
      <c r="M35" t="s">
        <v>27</v>
      </c>
      <c r="N35" t="s">
        <v>27</v>
      </c>
      <c r="O35" t="s">
        <v>27</v>
      </c>
      <c r="P35">
        <v>69</v>
      </c>
      <c r="Q35">
        <v>5.4</v>
      </c>
      <c r="R35">
        <v>11.884</v>
      </c>
      <c r="S35">
        <v>-85.988</v>
      </c>
      <c r="T35" t="s">
        <v>31</v>
      </c>
    </row>
    <row r="36" spans="1:20" hidden="1" x14ac:dyDescent="0.3">
      <c r="A36" t="s">
        <v>826</v>
      </c>
      <c r="B36" t="s">
        <v>39</v>
      </c>
      <c r="C36" t="s">
        <v>40</v>
      </c>
      <c r="D36" t="s">
        <v>41</v>
      </c>
      <c r="E36">
        <v>2000</v>
      </c>
      <c r="F36" t="s">
        <v>31</v>
      </c>
      <c r="G36" t="s">
        <v>31</v>
      </c>
      <c r="H36" t="s">
        <v>2645</v>
      </c>
      <c r="I36" t="s">
        <v>34</v>
      </c>
      <c r="J36" t="s">
        <v>2699</v>
      </c>
      <c r="K36" t="s">
        <v>31</v>
      </c>
      <c r="L36" t="s">
        <v>31</v>
      </c>
      <c r="M36" t="s">
        <v>27</v>
      </c>
      <c r="N36" t="s">
        <v>27</v>
      </c>
      <c r="O36" t="s">
        <v>27</v>
      </c>
      <c r="P36" t="s">
        <v>31</v>
      </c>
      <c r="Q36">
        <v>607</v>
      </c>
      <c r="R36" t="s">
        <v>31</v>
      </c>
      <c r="S36" t="s">
        <v>31</v>
      </c>
      <c r="T36" t="s">
        <v>31</v>
      </c>
    </row>
    <row r="37" spans="1:20" hidden="1" x14ac:dyDescent="0.3">
      <c r="A37" t="s">
        <v>827</v>
      </c>
      <c r="B37" t="s">
        <v>28</v>
      </c>
      <c r="C37" t="s">
        <v>2685</v>
      </c>
      <c r="D37" t="s">
        <v>68</v>
      </c>
      <c r="E37">
        <v>2000</v>
      </c>
      <c r="F37" t="s">
        <v>31</v>
      </c>
      <c r="G37" t="s">
        <v>31</v>
      </c>
      <c r="H37" t="s">
        <v>2658</v>
      </c>
      <c r="I37" t="s">
        <v>130</v>
      </c>
      <c r="J37" t="s">
        <v>2700</v>
      </c>
      <c r="K37" t="s">
        <v>31</v>
      </c>
      <c r="L37" t="s">
        <v>31</v>
      </c>
      <c r="M37" t="s">
        <v>27</v>
      </c>
      <c r="N37" t="s">
        <v>27</v>
      </c>
      <c r="O37" t="s">
        <v>27</v>
      </c>
      <c r="P37" t="s">
        <v>31</v>
      </c>
      <c r="Q37">
        <v>0</v>
      </c>
      <c r="R37" t="s">
        <v>31</v>
      </c>
      <c r="S37" t="s">
        <v>31</v>
      </c>
      <c r="T37" t="s">
        <v>31</v>
      </c>
    </row>
    <row r="38" spans="1:20" hidden="1" x14ac:dyDescent="0.3">
      <c r="A38" t="s">
        <v>828</v>
      </c>
      <c r="B38" t="s">
        <v>28</v>
      </c>
      <c r="C38" t="s">
        <v>2685</v>
      </c>
      <c r="D38" t="s">
        <v>68</v>
      </c>
      <c r="E38">
        <v>2000</v>
      </c>
      <c r="F38">
        <v>10000</v>
      </c>
      <c r="G38" t="s">
        <v>31</v>
      </c>
      <c r="H38" t="s">
        <v>2701</v>
      </c>
      <c r="I38" t="s">
        <v>60</v>
      </c>
      <c r="J38" t="s">
        <v>2702</v>
      </c>
      <c r="K38" t="s">
        <v>31</v>
      </c>
      <c r="L38" t="s">
        <v>31</v>
      </c>
      <c r="M38" t="s">
        <v>27</v>
      </c>
      <c r="N38" t="s">
        <v>27</v>
      </c>
      <c r="O38" t="s">
        <v>27</v>
      </c>
      <c r="P38" t="s">
        <v>31</v>
      </c>
      <c r="Q38">
        <v>-20</v>
      </c>
      <c r="R38" t="s">
        <v>31</v>
      </c>
      <c r="S38" t="s">
        <v>31</v>
      </c>
      <c r="T38" t="s">
        <v>31</v>
      </c>
    </row>
    <row r="39" spans="1:20" hidden="1" x14ac:dyDescent="0.3">
      <c r="A39" t="s">
        <v>829</v>
      </c>
      <c r="B39" t="s">
        <v>28</v>
      </c>
      <c r="C39" t="s">
        <v>2685</v>
      </c>
      <c r="D39" t="s">
        <v>95</v>
      </c>
      <c r="E39">
        <v>2000</v>
      </c>
      <c r="F39" t="s">
        <v>31</v>
      </c>
      <c r="G39" t="s">
        <v>31</v>
      </c>
      <c r="H39" t="s">
        <v>2645</v>
      </c>
      <c r="I39" t="s">
        <v>34</v>
      </c>
      <c r="J39" t="s">
        <v>2703</v>
      </c>
      <c r="K39" t="s">
        <v>31</v>
      </c>
      <c r="L39" t="s">
        <v>31</v>
      </c>
      <c r="M39" t="s">
        <v>27</v>
      </c>
      <c r="N39" t="s">
        <v>27</v>
      </c>
      <c r="O39" t="s">
        <v>27</v>
      </c>
      <c r="P39" t="s">
        <v>31</v>
      </c>
      <c r="Q39">
        <v>38</v>
      </c>
      <c r="R39" t="s">
        <v>31</v>
      </c>
      <c r="S39" t="s">
        <v>31</v>
      </c>
      <c r="T39" t="s">
        <v>31</v>
      </c>
    </row>
    <row r="40" spans="1:20" hidden="1" x14ac:dyDescent="0.3">
      <c r="A40" t="s">
        <v>830</v>
      </c>
      <c r="B40" t="s">
        <v>51</v>
      </c>
      <c r="C40" t="s">
        <v>37</v>
      </c>
      <c r="D40" t="s">
        <v>121</v>
      </c>
      <c r="E40">
        <v>2000</v>
      </c>
      <c r="F40" t="s">
        <v>31</v>
      </c>
      <c r="G40" t="s">
        <v>31</v>
      </c>
      <c r="H40" t="s">
        <v>2680</v>
      </c>
      <c r="I40" t="s">
        <v>115</v>
      </c>
      <c r="J40" t="s">
        <v>2704</v>
      </c>
      <c r="K40" t="s">
        <v>2664</v>
      </c>
      <c r="L40" t="s">
        <v>31</v>
      </c>
      <c r="M40" t="s">
        <v>27</v>
      </c>
      <c r="N40" t="s">
        <v>27</v>
      </c>
      <c r="O40" t="s">
        <v>33</v>
      </c>
      <c r="P40" t="s">
        <v>31</v>
      </c>
      <c r="Q40" t="s">
        <v>31</v>
      </c>
      <c r="R40" t="s">
        <v>31</v>
      </c>
      <c r="S40" t="s">
        <v>31</v>
      </c>
      <c r="T40" t="s">
        <v>31</v>
      </c>
    </row>
    <row r="41" spans="1:20" hidden="1" x14ac:dyDescent="0.3">
      <c r="A41" t="s">
        <v>831</v>
      </c>
      <c r="B41" t="s">
        <v>28</v>
      </c>
      <c r="C41" t="s">
        <v>29</v>
      </c>
      <c r="D41" t="s">
        <v>67</v>
      </c>
      <c r="E41">
        <v>2000</v>
      </c>
      <c r="F41" t="s">
        <v>31</v>
      </c>
      <c r="G41" t="s">
        <v>31</v>
      </c>
      <c r="H41" t="s">
        <v>2658</v>
      </c>
      <c r="I41" t="s">
        <v>130</v>
      </c>
      <c r="J41" t="s">
        <v>2705</v>
      </c>
      <c r="K41" t="s">
        <v>31</v>
      </c>
      <c r="L41" t="s">
        <v>31</v>
      </c>
      <c r="M41" t="s">
        <v>27</v>
      </c>
      <c r="N41" t="s">
        <v>27</v>
      </c>
      <c r="O41" t="s">
        <v>27</v>
      </c>
      <c r="P41" t="s">
        <v>31</v>
      </c>
      <c r="Q41" t="s">
        <v>31</v>
      </c>
      <c r="R41" t="s">
        <v>31</v>
      </c>
      <c r="S41" t="s">
        <v>31</v>
      </c>
      <c r="T41" t="s">
        <v>31</v>
      </c>
    </row>
    <row r="42" spans="1:20" hidden="1" x14ac:dyDescent="0.3">
      <c r="A42" t="s">
        <v>832</v>
      </c>
      <c r="B42" t="s">
        <v>28</v>
      </c>
      <c r="C42" t="s">
        <v>29</v>
      </c>
      <c r="D42" t="s">
        <v>30</v>
      </c>
      <c r="E42">
        <v>2000</v>
      </c>
      <c r="F42">
        <v>277460</v>
      </c>
      <c r="G42" t="s">
        <v>31</v>
      </c>
      <c r="H42" t="s">
        <v>2706</v>
      </c>
      <c r="I42" t="s">
        <v>32</v>
      </c>
      <c r="J42" t="s">
        <v>2707</v>
      </c>
      <c r="K42" t="s">
        <v>31</v>
      </c>
      <c r="L42" t="s">
        <v>31</v>
      </c>
      <c r="M42" t="s">
        <v>33</v>
      </c>
      <c r="N42" t="s">
        <v>27</v>
      </c>
      <c r="O42" t="s">
        <v>27</v>
      </c>
      <c r="P42">
        <v>2628</v>
      </c>
      <c r="Q42">
        <v>215</v>
      </c>
      <c r="R42" t="s">
        <v>31</v>
      </c>
      <c r="S42" t="s">
        <v>31</v>
      </c>
      <c r="T42" t="s">
        <v>31</v>
      </c>
    </row>
    <row r="43" spans="1:20" hidden="1" x14ac:dyDescent="0.3">
      <c r="A43" t="s">
        <v>833</v>
      </c>
      <c r="B43" t="s">
        <v>28</v>
      </c>
      <c r="C43" t="s">
        <v>29</v>
      </c>
      <c r="D43" t="s">
        <v>30</v>
      </c>
      <c r="E43">
        <v>2000</v>
      </c>
      <c r="F43">
        <v>1000</v>
      </c>
      <c r="G43" t="s">
        <v>31</v>
      </c>
      <c r="H43" t="s">
        <v>2672</v>
      </c>
      <c r="I43" t="s">
        <v>73</v>
      </c>
      <c r="J43" t="s">
        <v>2708</v>
      </c>
      <c r="K43" t="s">
        <v>31</v>
      </c>
      <c r="L43" t="s">
        <v>31</v>
      </c>
      <c r="M43" t="s">
        <v>27</v>
      </c>
      <c r="N43" t="s">
        <v>27</v>
      </c>
      <c r="O43" t="s">
        <v>27</v>
      </c>
      <c r="P43" t="s">
        <v>31</v>
      </c>
      <c r="Q43">
        <v>150</v>
      </c>
      <c r="R43" t="s">
        <v>31</v>
      </c>
      <c r="S43" t="s">
        <v>31</v>
      </c>
      <c r="T43" t="s">
        <v>31</v>
      </c>
    </row>
    <row r="44" spans="1:20" hidden="1" x14ac:dyDescent="0.3">
      <c r="A44" t="s">
        <v>834</v>
      </c>
      <c r="B44" t="s">
        <v>51</v>
      </c>
      <c r="C44" t="s">
        <v>37</v>
      </c>
      <c r="D44" t="s">
        <v>121</v>
      </c>
      <c r="E44">
        <v>2000</v>
      </c>
      <c r="F44" t="s">
        <v>31</v>
      </c>
      <c r="G44" t="s">
        <v>31</v>
      </c>
      <c r="H44" t="s">
        <v>2709</v>
      </c>
      <c r="I44" t="s">
        <v>70</v>
      </c>
      <c r="J44" t="s">
        <v>2710</v>
      </c>
      <c r="K44" t="s">
        <v>2664</v>
      </c>
      <c r="L44" t="s">
        <v>31</v>
      </c>
      <c r="M44" t="s">
        <v>27</v>
      </c>
      <c r="N44" t="s">
        <v>27</v>
      </c>
      <c r="O44" t="s">
        <v>33</v>
      </c>
      <c r="P44" t="s">
        <v>31</v>
      </c>
      <c r="Q44">
        <v>77730</v>
      </c>
      <c r="R44" t="s">
        <v>31</v>
      </c>
      <c r="S44" t="s">
        <v>31</v>
      </c>
      <c r="T44" t="s">
        <v>31</v>
      </c>
    </row>
    <row r="45" spans="1:20" hidden="1" x14ac:dyDescent="0.3">
      <c r="A45" t="s">
        <v>835</v>
      </c>
      <c r="B45" t="s">
        <v>51</v>
      </c>
      <c r="C45" t="s">
        <v>37</v>
      </c>
      <c r="D45" t="s">
        <v>52</v>
      </c>
      <c r="E45">
        <v>2000</v>
      </c>
      <c r="F45" t="s">
        <v>31</v>
      </c>
      <c r="G45" t="s">
        <v>31</v>
      </c>
      <c r="H45" t="s">
        <v>2658</v>
      </c>
      <c r="I45" t="s">
        <v>130</v>
      </c>
      <c r="J45" t="s">
        <v>2711</v>
      </c>
      <c r="K45" t="s">
        <v>31</v>
      </c>
      <c r="L45" t="s">
        <v>31</v>
      </c>
      <c r="M45" t="s">
        <v>27</v>
      </c>
      <c r="N45" t="s">
        <v>27</v>
      </c>
      <c r="O45" t="s">
        <v>27</v>
      </c>
      <c r="P45" t="s">
        <v>31</v>
      </c>
      <c r="Q45" t="s">
        <v>31</v>
      </c>
      <c r="R45" t="s">
        <v>31</v>
      </c>
      <c r="S45" t="s">
        <v>31</v>
      </c>
      <c r="T45" t="s">
        <v>31</v>
      </c>
    </row>
    <row r="46" spans="1:20" hidden="1" x14ac:dyDescent="0.3">
      <c r="A46" t="s">
        <v>836</v>
      </c>
      <c r="B46" t="s">
        <v>91</v>
      </c>
      <c r="C46" t="s">
        <v>2712</v>
      </c>
      <c r="D46" t="s">
        <v>105</v>
      </c>
      <c r="E46">
        <v>2000</v>
      </c>
      <c r="F46" t="s">
        <v>31</v>
      </c>
      <c r="G46" t="s">
        <v>31</v>
      </c>
      <c r="H46" t="s">
        <v>2672</v>
      </c>
      <c r="I46" t="s">
        <v>73</v>
      </c>
      <c r="J46" t="s">
        <v>2713</v>
      </c>
      <c r="K46" t="s">
        <v>31</v>
      </c>
      <c r="L46" t="s">
        <v>31</v>
      </c>
      <c r="M46" t="s">
        <v>27</v>
      </c>
      <c r="N46" t="s">
        <v>27</v>
      </c>
      <c r="O46" t="s">
        <v>27</v>
      </c>
      <c r="P46" t="s">
        <v>31</v>
      </c>
      <c r="Q46" t="s">
        <v>31</v>
      </c>
      <c r="R46">
        <v>19.023</v>
      </c>
      <c r="S46">
        <v>-98.622</v>
      </c>
      <c r="T46" t="s">
        <v>31</v>
      </c>
    </row>
    <row r="47" spans="1:20" hidden="1" x14ac:dyDescent="0.3">
      <c r="A47" t="s">
        <v>837</v>
      </c>
      <c r="B47" t="s">
        <v>28</v>
      </c>
      <c r="C47" t="s">
        <v>29</v>
      </c>
      <c r="D47" t="s">
        <v>67</v>
      </c>
      <c r="E47">
        <v>2000</v>
      </c>
      <c r="F47" t="s">
        <v>31</v>
      </c>
      <c r="G47" t="s">
        <v>31</v>
      </c>
      <c r="H47" t="s">
        <v>2645</v>
      </c>
      <c r="I47" t="s">
        <v>34</v>
      </c>
      <c r="J47" t="s">
        <v>2714</v>
      </c>
      <c r="K47" t="s">
        <v>31</v>
      </c>
      <c r="L47" t="s">
        <v>290</v>
      </c>
      <c r="M47" t="s">
        <v>27</v>
      </c>
      <c r="N47" t="s">
        <v>27</v>
      </c>
      <c r="O47" t="s">
        <v>27</v>
      </c>
      <c r="P47" t="s">
        <v>31</v>
      </c>
      <c r="Q47" t="s">
        <v>31</v>
      </c>
      <c r="R47" t="s">
        <v>31</v>
      </c>
      <c r="S47" t="s">
        <v>31</v>
      </c>
      <c r="T47" t="s">
        <v>31</v>
      </c>
    </row>
    <row r="48" spans="1:20" hidden="1" x14ac:dyDescent="0.3">
      <c r="A48" t="s">
        <v>838</v>
      </c>
      <c r="B48" t="s">
        <v>28</v>
      </c>
      <c r="C48" t="s">
        <v>29</v>
      </c>
      <c r="D48" t="s">
        <v>97</v>
      </c>
      <c r="E48">
        <v>2000</v>
      </c>
      <c r="F48" t="s">
        <v>31</v>
      </c>
      <c r="G48" t="s">
        <v>31</v>
      </c>
      <c r="H48" t="s">
        <v>2675</v>
      </c>
      <c r="I48" t="s">
        <v>81</v>
      </c>
      <c r="J48" t="s">
        <v>2715</v>
      </c>
      <c r="K48" t="s">
        <v>31</v>
      </c>
      <c r="L48" t="s">
        <v>31</v>
      </c>
      <c r="M48" t="s">
        <v>27</v>
      </c>
      <c r="N48" t="s">
        <v>27</v>
      </c>
      <c r="O48" t="s">
        <v>27</v>
      </c>
      <c r="P48" t="s">
        <v>31</v>
      </c>
      <c r="Q48" t="s">
        <v>31</v>
      </c>
      <c r="R48" t="s">
        <v>31</v>
      </c>
      <c r="S48" t="s">
        <v>31</v>
      </c>
      <c r="T48" t="s">
        <v>31</v>
      </c>
    </row>
    <row r="49" spans="1:20" hidden="1" x14ac:dyDescent="0.3">
      <c r="A49" t="s">
        <v>839</v>
      </c>
      <c r="B49" t="s">
        <v>39</v>
      </c>
      <c r="C49" t="s">
        <v>157</v>
      </c>
      <c r="D49" t="s">
        <v>157</v>
      </c>
      <c r="E49">
        <v>2000</v>
      </c>
      <c r="F49" t="s">
        <v>31</v>
      </c>
      <c r="G49" t="s">
        <v>31</v>
      </c>
      <c r="H49" t="s">
        <v>2716</v>
      </c>
      <c r="I49" t="s">
        <v>242</v>
      </c>
      <c r="J49" t="s">
        <v>2717</v>
      </c>
      <c r="K49" t="s">
        <v>31</v>
      </c>
      <c r="L49" t="s">
        <v>31</v>
      </c>
      <c r="M49" t="s">
        <v>27</v>
      </c>
      <c r="N49" t="s">
        <v>27</v>
      </c>
      <c r="O49" t="s">
        <v>33</v>
      </c>
      <c r="P49" t="s">
        <v>31</v>
      </c>
      <c r="Q49" t="s">
        <v>31</v>
      </c>
      <c r="R49" t="s">
        <v>31</v>
      </c>
      <c r="S49" t="s">
        <v>31</v>
      </c>
      <c r="T49" t="s">
        <v>31</v>
      </c>
    </row>
    <row r="50" spans="1:20" hidden="1" x14ac:dyDescent="0.3">
      <c r="A50" t="s">
        <v>840</v>
      </c>
      <c r="B50" t="s">
        <v>39</v>
      </c>
      <c r="C50" t="s">
        <v>157</v>
      </c>
      <c r="D50" t="s">
        <v>157</v>
      </c>
      <c r="E50">
        <v>2000</v>
      </c>
      <c r="F50" t="s">
        <v>31</v>
      </c>
      <c r="G50" t="s">
        <v>31</v>
      </c>
      <c r="H50" t="s">
        <v>2645</v>
      </c>
      <c r="I50" t="s">
        <v>34</v>
      </c>
      <c r="J50" t="s">
        <v>2718</v>
      </c>
      <c r="K50" t="s">
        <v>31</v>
      </c>
      <c r="L50" t="s">
        <v>40</v>
      </c>
      <c r="M50" t="s">
        <v>27</v>
      </c>
      <c r="N50" t="s">
        <v>27</v>
      </c>
      <c r="O50" t="s">
        <v>27</v>
      </c>
      <c r="P50" t="s">
        <v>31</v>
      </c>
      <c r="Q50" t="s">
        <v>31</v>
      </c>
      <c r="R50" t="s">
        <v>31</v>
      </c>
      <c r="S50" t="s">
        <v>31</v>
      </c>
      <c r="T50" t="s">
        <v>31</v>
      </c>
    </row>
    <row r="51" spans="1:20" hidden="1" x14ac:dyDescent="0.3">
      <c r="A51" t="s">
        <v>1401</v>
      </c>
      <c r="B51" t="s">
        <v>91</v>
      </c>
      <c r="C51" t="s">
        <v>2712</v>
      </c>
      <c r="D51" t="s">
        <v>105</v>
      </c>
      <c r="E51">
        <v>2000</v>
      </c>
      <c r="F51" t="s">
        <v>31</v>
      </c>
      <c r="G51" t="s">
        <v>31</v>
      </c>
      <c r="H51" t="s">
        <v>2719</v>
      </c>
      <c r="I51" t="s">
        <v>90</v>
      </c>
      <c r="J51" t="s">
        <v>2720</v>
      </c>
      <c r="K51" t="s">
        <v>31</v>
      </c>
      <c r="L51" t="s">
        <v>31</v>
      </c>
      <c r="M51" t="s">
        <v>27</v>
      </c>
      <c r="N51" t="s">
        <v>27</v>
      </c>
      <c r="O51" t="s">
        <v>27</v>
      </c>
      <c r="P51" t="s">
        <v>31</v>
      </c>
      <c r="Q51" t="s">
        <v>31</v>
      </c>
      <c r="R51">
        <v>14.381</v>
      </c>
      <c r="S51">
        <v>-90.600999999999999</v>
      </c>
      <c r="T51" t="s">
        <v>31</v>
      </c>
    </row>
    <row r="52" spans="1:20" hidden="1" x14ac:dyDescent="0.3">
      <c r="A52" t="s">
        <v>1402</v>
      </c>
      <c r="B52" t="s">
        <v>51</v>
      </c>
      <c r="C52" t="s">
        <v>37</v>
      </c>
      <c r="D52" t="s">
        <v>121</v>
      </c>
      <c r="E52">
        <v>2000</v>
      </c>
      <c r="F52" t="s">
        <v>31</v>
      </c>
      <c r="G52" t="s">
        <v>31</v>
      </c>
      <c r="H52" t="s">
        <v>2656</v>
      </c>
      <c r="I52" t="s">
        <v>119</v>
      </c>
      <c r="J52" t="s">
        <v>2721</v>
      </c>
      <c r="K52" t="s">
        <v>2649</v>
      </c>
      <c r="L52" t="s">
        <v>54</v>
      </c>
      <c r="M52" t="s">
        <v>27</v>
      </c>
      <c r="N52" t="s">
        <v>27</v>
      </c>
      <c r="O52" t="s">
        <v>33</v>
      </c>
      <c r="P52" t="s">
        <v>31</v>
      </c>
      <c r="Q52">
        <v>350000</v>
      </c>
      <c r="R52" t="s">
        <v>31</v>
      </c>
      <c r="S52" t="s">
        <v>31</v>
      </c>
      <c r="T52" t="s">
        <v>2722</v>
      </c>
    </row>
    <row r="53" spans="1:20" hidden="1" x14ac:dyDescent="0.3">
      <c r="A53" t="s">
        <v>1403</v>
      </c>
      <c r="B53" t="s">
        <v>28</v>
      </c>
      <c r="C53" t="s">
        <v>29</v>
      </c>
      <c r="D53" t="s">
        <v>97</v>
      </c>
      <c r="E53">
        <v>2000</v>
      </c>
      <c r="F53">
        <v>210000</v>
      </c>
      <c r="G53" t="s">
        <v>31</v>
      </c>
      <c r="H53" t="s">
        <v>2645</v>
      </c>
      <c r="I53" t="s">
        <v>34</v>
      </c>
      <c r="J53" t="s">
        <v>2723</v>
      </c>
      <c r="K53" t="s">
        <v>31</v>
      </c>
      <c r="L53" t="s">
        <v>31</v>
      </c>
      <c r="M53" t="s">
        <v>27</v>
      </c>
      <c r="N53" t="s">
        <v>27</v>
      </c>
      <c r="O53" t="s">
        <v>27</v>
      </c>
      <c r="P53" t="s">
        <v>31</v>
      </c>
      <c r="Q53" t="s">
        <v>31</v>
      </c>
      <c r="R53" t="s">
        <v>31</v>
      </c>
      <c r="S53" t="s">
        <v>31</v>
      </c>
      <c r="T53" t="s">
        <v>31</v>
      </c>
    </row>
    <row r="54" spans="1:20" hidden="1" x14ac:dyDescent="0.3">
      <c r="A54" t="s">
        <v>1404</v>
      </c>
      <c r="B54" t="s">
        <v>51</v>
      </c>
      <c r="C54" t="s">
        <v>37</v>
      </c>
      <c r="D54" t="s">
        <v>56</v>
      </c>
      <c r="E54">
        <v>2000</v>
      </c>
      <c r="F54" t="s">
        <v>31</v>
      </c>
      <c r="G54" t="s">
        <v>31</v>
      </c>
      <c r="H54" t="s">
        <v>2678</v>
      </c>
      <c r="I54" t="s">
        <v>53</v>
      </c>
      <c r="J54" t="s">
        <v>2724</v>
      </c>
      <c r="K54" t="s">
        <v>2725</v>
      </c>
      <c r="L54" t="s">
        <v>54</v>
      </c>
      <c r="M54" t="s">
        <v>27</v>
      </c>
      <c r="N54" t="s">
        <v>27</v>
      </c>
      <c r="O54" t="s">
        <v>27</v>
      </c>
      <c r="P54" t="s">
        <v>31</v>
      </c>
      <c r="Q54" t="s">
        <v>31</v>
      </c>
      <c r="R54" t="s">
        <v>31</v>
      </c>
      <c r="S54" t="s">
        <v>31</v>
      </c>
      <c r="T54" t="s">
        <v>31</v>
      </c>
    </row>
    <row r="55" spans="1:20" hidden="1" x14ac:dyDescent="0.3">
      <c r="A55" t="s">
        <v>1405</v>
      </c>
      <c r="B55" t="s">
        <v>43</v>
      </c>
      <c r="C55" t="s">
        <v>2665</v>
      </c>
      <c r="D55" t="s">
        <v>114</v>
      </c>
      <c r="E55">
        <v>2000</v>
      </c>
      <c r="F55" t="s">
        <v>31</v>
      </c>
      <c r="G55" t="s">
        <v>31</v>
      </c>
      <c r="H55" t="s">
        <v>2666</v>
      </c>
      <c r="I55" t="s">
        <v>109</v>
      </c>
      <c r="J55" t="s">
        <v>31</v>
      </c>
      <c r="K55" t="s">
        <v>31</v>
      </c>
      <c r="L55" t="s">
        <v>31</v>
      </c>
      <c r="M55" t="s">
        <v>27</v>
      </c>
      <c r="N55" t="s">
        <v>27</v>
      </c>
      <c r="O55" t="s">
        <v>27</v>
      </c>
      <c r="P55" t="s">
        <v>31</v>
      </c>
      <c r="Q55" t="s">
        <v>31</v>
      </c>
      <c r="R55" t="s">
        <v>31</v>
      </c>
      <c r="S55" t="s">
        <v>31</v>
      </c>
      <c r="T55" t="s">
        <v>31</v>
      </c>
    </row>
    <row r="56" spans="1:20" hidden="1" x14ac:dyDescent="0.3">
      <c r="A56" t="s">
        <v>1406</v>
      </c>
      <c r="B56" t="s">
        <v>51</v>
      </c>
      <c r="C56" t="s">
        <v>2655</v>
      </c>
      <c r="D56" t="s">
        <v>134</v>
      </c>
      <c r="E56">
        <v>2000</v>
      </c>
      <c r="F56" t="s">
        <v>31</v>
      </c>
      <c r="G56" t="s">
        <v>31</v>
      </c>
      <c r="H56" t="s">
        <v>2726</v>
      </c>
      <c r="I56" t="s">
        <v>1273</v>
      </c>
      <c r="J56" t="s">
        <v>2727</v>
      </c>
      <c r="K56" t="s">
        <v>2649</v>
      </c>
      <c r="L56" t="s">
        <v>31</v>
      </c>
      <c r="M56" t="s">
        <v>27</v>
      </c>
      <c r="N56" t="s">
        <v>27</v>
      </c>
      <c r="O56" t="s">
        <v>27</v>
      </c>
      <c r="P56" t="s">
        <v>31</v>
      </c>
      <c r="Q56" t="s">
        <v>31</v>
      </c>
      <c r="R56" t="s">
        <v>31</v>
      </c>
      <c r="S56" t="s">
        <v>31</v>
      </c>
      <c r="T56" t="s">
        <v>31</v>
      </c>
    </row>
    <row r="57" spans="1:20" hidden="1" x14ac:dyDescent="0.3">
      <c r="A57" t="s">
        <v>1407</v>
      </c>
      <c r="B57" t="s">
        <v>51</v>
      </c>
      <c r="C57" t="s">
        <v>37</v>
      </c>
      <c r="D57" t="s">
        <v>56</v>
      </c>
      <c r="E57">
        <v>2000</v>
      </c>
      <c r="F57" t="s">
        <v>31</v>
      </c>
      <c r="G57" t="s">
        <v>31</v>
      </c>
      <c r="H57" t="s">
        <v>2645</v>
      </c>
      <c r="I57" t="s">
        <v>34</v>
      </c>
      <c r="J57" t="s">
        <v>2728</v>
      </c>
      <c r="K57" t="s">
        <v>2652</v>
      </c>
      <c r="L57" t="s">
        <v>31</v>
      </c>
      <c r="M57" t="s">
        <v>27</v>
      </c>
      <c r="N57" t="s">
        <v>27</v>
      </c>
      <c r="O57" t="s">
        <v>27</v>
      </c>
      <c r="P57" t="s">
        <v>31</v>
      </c>
      <c r="Q57" t="s">
        <v>31</v>
      </c>
      <c r="R57" t="s">
        <v>31</v>
      </c>
      <c r="S57" t="s">
        <v>31</v>
      </c>
      <c r="T57" t="s">
        <v>2729</v>
      </c>
    </row>
    <row r="58" spans="1:20" hidden="1" x14ac:dyDescent="0.3">
      <c r="A58" t="s">
        <v>1408</v>
      </c>
      <c r="B58" t="s">
        <v>51</v>
      </c>
      <c r="C58" t="s">
        <v>37</v>
      </c>
      <c r="D58" t="s">
        <v>52</v>
      </c>
      <c r="E58">
        <v>2000</v>
      </c>
      <c r="F58" t="s">
        <v>31</v>
      </c>
      <c r="G58" t="s">
        <v>31</v>
      </c>
      <c r="H58" t="s">
        <v>2730</v>
      </c>
      <c r="I58" t="s">
        <v>57</v>
      </c>
      <c r="J58" t="s">
        <v>2731</v>
      </c>
      <c r="K58" t="s">
        <v>31</v>
      </c>
      <c r="L58" t="s">
        <v>31</v>
      </c>
      <c r="M58" t="s">
        <v>27</v>
      </c>
      <c r="N58" t="s">
        <v>27</v>
      </c>
      <c r="O58" t="s">
        <v>27</v>
      </c>
      <c r="P58" t="s">
        <v>31</v>
      </c>
      <c r="Q58" t="s">
        <v>31</v>
      </c>
      <c r="R58" t="s">
        <v>31</v>
      </c>
      <c r="S58" t="s">
        <v>31</v>
      </c>
      <c r="T58" t="s">
        <v>31</v>
      </c>
    </row>
    <row r="59" spans="1:20" hidden="1" x14ac:dyDescent="0.3">
      <c r="A59" t="s">
        <v>1409</v>
      </c>
      <c r="B59" t="s">
        <v>39</v>
      </c>
      <c r="C59" t="s">
        <v>40</v>
      </c>
      <c r="D59" t="s">
        <v>41</v>
      </c>
      <c r="E59">
        <v>2000</v>
      </c>
      <c r="F59" t="s">
        <v>31</v>
      </c>
      <c r="G59" t="s">
        <v>31</v>
      </c>
      <c r="H59" t="s">
        <v>2645</v>
      </c>
      <c r="I59" t="s">
        <v>34</v>
      </c>
      <c r="J59" t="s">
        <v>2732</v>
      </c>
      <c r="K59" t="s">
        <v>31</v>
      </c>
      <c r="L59" t="s">
        <v>31</v>
      </c>
      <c r="M59" t="s">
        <v>27</v>
      </c>
      <c r="N59" t="s">
        <v>27</v>
      </c>
      <c r="O59" t="s">
        <v>27</v>
      </c>
      <c r="P59" t="s">
        <v>31</v>
      </c>
      <c r="Q59">
        <v>16</v>
      </c>
      <c r="R59" t="s">
        <v>31</v>
      </c>
      <c r="S59" t="s">
        <v>31</v>
      </c>
      <c r="T59" t="s">
        <v>31</v>
      </c>
    </row>
    <row r="60" spans="1:20" hidden="1" x14ac:dyDescent="0.3">
      <c r="A60" t="s">
        <v>1410</v>
      </c>
      <c r="B60" t="s">
        <v>51</v>
      </c>
      <c r="C60" t="s">
        <v>37</v>
      </c>
      <c r="D60" t="s">
        <v>52</v>
      </c>
      <c r="E60">
        <v>2000</v>
      </c>
      <c r="F60" t="s">
        <v>31</v>
      </c>
      <c r="G60" t="s">
        <v>31</v>
      </c>
      <c r="H60" t="s">
        <v>2645</v>
      </c>
      <c r="I60" t="s">
        <v>34</v>
      </c>
      <c r="J60" t="s">
        <v>2733</v>
      </c>
      <c r="K60" t="s">
        <v>31</v>
      </c>
      <c r="L60" t="s">
        <v>31</v>
      </c>
      <c r="M60" t="s">
        <v>27</v>
      </c>
      <c r="N60" t="s">
        <v>27</v>
      </c>
      <c r="O60" t="s">
        <v>27</v>
      </c>
      <c r="P60" t="s">
        <v>31</v>
      </c>
      <c r="Q60" t="s">
        <v>31</v>
      </c>
      <c r="R60" t="s">
        <v>31</v>
      </c>
      <c r="S60" t="s">
        <v>31</v>
      </c>
      <c r="T60" t="s">
        <v>31</v>
      </c>
    </row>
    <row r="61" spans="1:20" hidden="1" x14ac:dyDescent="0.3">
      <c r="A61" t="s">
        <v>1411</v>
      </c>
      <c r="B61" t="s">
        <v>51</v>
      </c>
      <c r="C61" t="s">
        <v>37</v>
      </c>
      <c r="D61" t="s">
        <v>121</v>
      </c>
      <c r="E61">
        <v>2000</v>
      </c>
      <c r="F61" t="s">
        <v>31</v>
      </c>
      <c r="G61" t="s">
        <v>31</v>
      </c>
      <c r="H61" t="s">
        <v>2701</v>
      </c>
      <c r="I61" t="s">
        <v>60</v>
      </c>
      <c r="J61" t="s">
        <v>2734</v>
      </c>
      <c r="K61" t="s">
        <v>2664</v>
      </c>
      <c r="L61" t="s">
        <v>31</v>
      </c>
      <c r="M61" t="s">
        <v>27</v>
      </c>
      <c r="N61" t="s">
        <v>27</v>
      </c>
      <c r="O61" t="s">
        <v>27</v>
      </c>
      <c r="P61" t="s">
        <v>31</v>
      </c>
      <c r="Q61">
        <v>84000</v>
      </c>
      <c r="R61" t="s">
        <v>31</v>
      </c>
      <c r="S61" t="s">
        <v>31</v>
      </c>
      <c r="T61" t="s">
        <v>31</v>
      </c>
    </row>
    <row r="62" spans="1:20" hidden="1" x14ac:dyDescent="0.3">
      <c r="A62" t="s">
        <v>1412</v>
      </c>
      <c r="B62" t="s">
        <v>28</v>
      </c>
      <c r="C62" t="s">
        <v>29</v>
      </c>
      <c r="D62" t="s">
        <v>64</v>
      </c>
      <c r="E62">
        <v>2000</v>
      </c>
      <c r="F62" t="s">
        <v>31</v>
      </c>
      <c r="G62" t="s">
        <v>31</v>
      </c>
      <c r="H62" t="s">
        <v>2645</v>
      </c>
      <c r="I62" t="s">
        <v>34</v>
      </c>
      <c r="J62" t="s">
        <v>2735</v>
      </c>
      <c r="K62" t="s">
        <v>31</v>
      </c>
      <c r="L62" t="s">
        <v>31</v>
      </c>
      <c r="M62" t="s">
        <v>27</v>
      </c>
      <c r="N62" t="s">
        <v>27</v>
      </c>
      <c r="O62" t="s">
        <v>27</v>
      </c>
      <c r="P62" t="s">
        <v>31</v>
      </c>
      <c r="Q62" t="s">
        <v>31</v>
      </c>
      <c r="R62" t="s">
        <v>31</v>
      </c>
      <c r="S62" t="s">
        <v>31</v>
      </c>
      <c r="T62" t="s">
        <v>31</v>
      </c>
    </row>
    <row r="63" spans="1:20" hidden="1" x14ac:dyDescent="0.3">
      <c r="A63" t="s">
        <v>1413</v>
      </c>
      <c r="B63" t="s">
        <v>28</v>
      </c>
      <c r="C63" t="s">
        <v>2685</v>
      </c>
      <c r="D63" t="s">
        <v>68</v>
      </c>
      <c r="E63">
        <v>2000</v>
      </c>
      <c r="F63" t="s">
        <v>31</v>
      </c>
      <c r="G63" t="s">
        <v>31</v>
      </c>
      <c r="H63" t="s">
        <v>2730</v>
      </c>
      <c r="I63" t="s">
        <v>57</v>
      </c>
      <c r="J63" t="s">
        <v>2736</v>
      </c>
      <c r="K63" t="s">
        <v>31</v>
      </c>
      <c r="L63" t="s">
        <v>31</v>
      </c>
      <c r="M63" t="s">
        <v>27</v>
      </c>
      <c r="N63" t="s">
        <v>27</v>
      </c>
      <c r="O63" t="s">
        <v>27</v>
      </c>
      <c r="P63" t="s">
        <v>31</v>
      </c>
      <c r="Q63">
        <v>-7.5</v>
      </c>
      <c r="R63" t="s">
        <v>31</v>
      </c>
      <c r="S63" t="s">
        <v>31</v>
      </c>
      <c r="T63" t="s">
        <v>31</v>
      </c>
    </row>
    <row r="64" spans="1:20" hidden="1" x14ac:dyDescent="0.3">
      <c r="A64" t="s">
        <v>1414</v>
      </c>
      <c r="B64" t="s">
        <v>51</v>
      </c>
      <c r="C64" t="s">
        <v>37</v>
      </c>
      <c r="D64" t="s">
        <v>56</v>
      </c>
      <c r="E64">
        <v>2000</v>
      </c>
      <c r="F64">
        <v>30000</v>
      </c>
      <c r="G64" t="s">
        <v>31</v>
      </c>
      <c r="H64" t="s">
        <v>2701</v>
      </c>
      <c r="I64" t="s">
        <v>60</v>
      </c>
      <c r="J64" t="s">
        <v>2737</v>
      </c>
      <c r="K64" t="s">
        <v>31</v>
      </c>
      <c r="L64" t="s">
        <v>181</v>
      </c>
      <c r="M64" t="s">
        <v>33</v>
      </c>
      <c r="N64" t="s">
        <v>27</v>
      </c>
      <c r="O64" t="s">
        <v>27</v>
      </c>
      <c r="P64">
        <v>1175</v>
      </c>
      <c r="Q64" t="s">
        <v>31</v>
      </c>
      <c r="R64" t="s">
        <v>31</v>
      </c>
      <c r="S64" t="s">
        <v>31</v>
      </c>
      <c r="T64" t="s">
        <v>31</v>
      </c>
    </row>
    <row r="65" spans="1:20" hidden="1" x14ac:dyDescent="0.3">
      <c r="A65" t="s">
        <v>1415</v>
      </c>
      <c r="B65" t="s">
        <v>28</v>
      </c>
      <c r="C65" t="s">
        <v>2685</v>
      </c>
      <c r="D65" t="s">
        <v>68</v>
      </c>
      <c r="E65">
        <v>2000</v>
      </c>
      <c r="F65" t="s">
        <v>31</v>
      </c>
      <c r="G65" t="s">
        <v>31</v>
      </c>
      <c r="H65" t="s">
        <v>2669</v>
      </c>
      <c r="I65" t="s">
        <v>111</v>
      </c>
      <c r="J65" t="s">
        <v>2738</v>
      </c>
      <c r="K65" t="s">
        <v>31</v>
      </c>
      <c r="L65" t="s">
        <v>31</v>
      </c>
      <c r="M65" t="s">
        <v>27</v>
      </c>
      <c r="N65" t="s">
        <v>27</v>
      </c>
      <c r="O65" t="s">
        <v>27</v>
      </c>
      <c r="P65" t="s">
        <v>31</v>
      </c>
      <c r="Q65">
        <v>-9</v>
      </c>
      <c r="R65" t="s">
        <v>31</v>
      </c>
      <c r="S65" t="s">
        <v>31</v>
      </c>
      <c r="T65" t="s">
        <v>31</v>
      </c>
    </row>
    <row r="66" spans="1:20" hidden="1" x14ac:dyDescent="0.3">
      <c r="A66" t="s">
        <v>1416</v>
      </c>
      <c r="B66" t="s">
        <v>28</v>
      </c>
      <c r="C66" t="s">
        <v>29</v>
      </c>
      <c r="D66" t="s">
        <v>97</v>
      </c>
      <c r="E66">
        <v>2000</v>
      </c>
      <c r="F66">
        <v>13000</v>
      </c>
      <c r="G66" t="s">
        <v>31</v>
      </c>
      <c r="H66" t="s">
        <v>2739</v>
      </c>
      <c r="I66" t="s">
        <v>77</v>
      </c>
      <c r="J66" t="s">
        <v>2740</v>
      </c>
      <c r="K66" t="s">
        <v>31</v>
      </c>
      <c r="L66" t="s">
        <v>31</v>
      </c>
      <c r="M66" t="s">
        <v>27</v>
      </c>
      <c r="N66" t="s">
        <v>27</v>
      </c>
      <c r="O66" t="s">
        <v>27</v>
      </c>
      <c r="P66" t="s">
        <v>31</v>
      </c>
      <c r="Q66">
        <v>300</v>
      </c>
      <c r="R66" t="s">
        <v>31</v>
      </c>
      <c r="S66" t="s">
        <v>31</v>
      </c>
      <c r="T66" t="s">
        <v>31</v>
      </c>
    </row>
    <row r="67" spans="1:20" hidden="1" x14ac:dyDescent="0.3">
      <c r="A67" t="s">
        <v>1417</v>
      </c>
      <c r="B67" t="s">
        <v>28</v>
      </c>
      <c r="C67" t="s">
        <v>29</v>
      </c>
      <c r="D67" t="s">
        <v>97</v>
      </c>
      <c r="E67">
        <v>2000</v>
      </c>
      <c r="F67">
        <v>8100</v>
      </c>
      <c r="G67" t="s">
        <v>31</v>
      </c>
      <c r="H67" t="s">
        <v>2645</v>
      </c>
      <c r="I67" t="s">
        <v>34</v>
      </c>
      <c r="J67" t="s">
        <v>2741</v>
      </c>
      <c r="K67" t="s">
        <v>31</v>
      </c>
      <c r="L67" t="s">
        <v>31</v>
      </c>
      <c r="M67" t="s">
        <v>27</v>
      </c>
      <c r="N67" t="s">
        <v>27</v>
      </c>
      <c r="O67" t="s">
        <v>27</v>
      </c>
      <c r="P67" t="s">
        <v>31</v>
      </c>
      <c r="Q67" t="s">
        <v>31</v>
      </c>
      <c r="R67" t="s">
        <v>31</v>
      </c>
      <c r="S67" t="s">
        <v>31</v>
      </c>
      <c r="T67" t="s">
        <v>31</v>
      </c>
    </row>
    <row r="68" spans="1:20" hidden="1" x14ac:dyDescent="0.3">
      <c r="A68" t="s">
        <v>1418</v>
      </c>
      <c r="B68" t="s">
        <v>51</v>
      </c>
      <c r="C68" t="s">
        <v>37</v>
      </c>
      <c r="D68" t="s">
        <v>121</v>
      </c>
      <c r="E68">
        <v>2000</v>
      </c>
      <c r="F68">
        <v>166000</v>
      </c>
      <c r="G68" t="s">
        <v>31</v>
      </c>
      <c r="H68" t="s">
        <v>2645</v>
      </c>
      <c r="I68" t="s">
        <v>34</v>
      </c>
      <c r="J68" t="s">
        <v>2742</v>
      </c>
      <c r="K68" t="s">
        <v>2664</v>
      </c>
      <c r="L68" t="s">
        <v>54</v>
      </c>
      <c r="M68" t="s">
        <v>27</v>
      </c>
      <c r="N68" t="s">
        <v>27</v>
      </c>
      <c r="O68" t="s">
        <v>27</v>
      </c>
      <c r="P68" t="s">
        <v>31</v>
      </c>
      <c r="Q68" t="s">
        <v>31</v>
      </c>
      <c r="R68" t="s">
        <v>31</v>
      </c>
      <c r="S68" t="s">
        <v>31</v>
      </c>
      <c r="T68" t="s">
        <v>31</v>
      </c>
    </row>
    <row r="69" spans="1:20" hidden="1" x14ac:dyDescent="0.3">
      <c r="A69" t="s">
        <v>1419</v>
      </c>
      <c r="B69" t="s">
        <v>51</v>
      </c>
      <c r="C69" t="s">
        <v>37</v>
      </c>
      <c r="D69" t="s">
        <v>121</v>
      </c>
      <c r="E69">
        <v>2000</v>
      </c>
      <c r="F69" t="s">
        <v>31</v>
      </c>
      <c r="G69" t="s">
        <v>31</v>
      </c>
      <c r="H69" t="s">
        <v>2656</v>
      </c>
      <c r="I69" t="s">
        <v>119</v>
      </c>
      <c r="J69" t="s">
        <v>2743</v>
      </c>
      <c r="K69" t="s">
        <v>2664</v>
      </c>
      <c r="L69" t="s">
        <v>31</v>
      </c>
      <c r="M69" t="s">
        <v>27</v>
      </c>
      <c r="N69" t="s">
        <v>27</v>
      </c>
      <c r="O69" t="s">
        <v>27</v>
      </c>
      <c r="P69" t="s">
        <v>31</v>
      </c>
      <c r="Q69">
        <v>3000</v>
      </c>
      <c r="R69" t="s">
        <v>31</v>
      </c>
      <c r="S69" t="s">
        <v>31</v>
      </c>
      <c r="T69" t="s">
        <v>31</v>
      </c>
    </row>
    <row r="70" spans="1:20" hidden="1" x14ac:dyDescent="0.3">
      <c r="A70" t="s">
        <v>1420</v>
      </c>
      <c r="B70" t="s">
        <v>91</v>
      </c>
      <c r="C70" t="s">
        <v>92</v>
      </c>
      <c r="D70" t="s">
        <v>93</v>
      </c>
      <c r="E70">
        <v>2000</v>
      </c>
      <c r="F70">
        <v>50000</v>
      </c>
      <c r="G70" t="s">
        <v>2744</v>
      </c>
      <c r="H70" t="s">
        <v>2645</v>
      </c>
      <c r="I70" t="s">
        <v>34</v>
      </c>
      <c r="J70" t="s">
        <v>2745</v>
      </c>
      <c r="K70" t="s">
        <v>31</v>
      </c>
      <c r="L70" t="s">
        <v>31</v>
      </c>
      <c r="M70" t="s">
        <v>27</v>
      </c>
      <c r="N70" t="s">
        <v>27</v>
      </c>
      <c r="O70" t="s">
        <v>27</v>
      </c>
      <c r="P70" t="s">
        <v>31</v>
      </c>
      <c r="Q70">
        <v>4.9000000000000004</v>
      </c>
      <c r="R70">
        <v>38.378833299999997</v>
      </c>
      <c r="S70">
        <v>-122.41333330000001</v>
      </c>
      <c r="T70" t="s">
        <v>31</v>
      </c>
    </row>
    <row r="71" spans="1:20" hidden="1" x14ac:dyDescent="0.3">
      <c r="A71" t="s">
        <v>1421</v>
      </c>
      <c r="B71" t="s">
        <v>28</v>
      </c>
      <c r="C71" t="s">
        <v>29</v>
      </c>
      <c r="D71" t="s">
        <v>64</v>
      </c>
      <c r="E71">
        <v>2000</v>
      </c>
      <c r="F71" t="s">
        <v>31</v>
      </c>
      <c r="G71" t="s">
        <v>31</v>
      </c>
      <c r="H71" t="s">
        <v>2672</v>
      </c>
      <c r="I71" t="s">
        <v>73</v>
      </c>
      <c r="J71" t="s">
        <v>2746</v>
      </c>
      <c r="K71" t="s">
        <v>31</v>
      </c>
      <c r="L71" t="s">
        <v>31</v>
      </c>
      <c r="M71" t="s">
        <v>27</v>
      </c>
      <c r="N71" t="s">
        <v>27</v>
      </c>
      <c r="O71" t="s">
        <v>27</v>
      </c>
      <c r="P71" t="s">
        <v>31</v>
      </c>
      <c r="Q71">
        <v>88</v>
      </c>
      <c r="R71" t="s">
        <v>31</v>
      </c>
      <c r="S71" t="s">
        <v>31</v>
      </c>
      <c r="T71" t="s">
        <v>31</v>
      </c>
    </row>
    <row r="72" spans="1:20" hidden="1" x14ac:dyDescent="0.3">
      <c r="A72" t="s">
        <v>1422</v>
      </c>
      <c r="B72" t="s">
        <v>28</v>
      </c>
      <c r="C72" t="s">
        <v>29</v>
      </c>
      <c r="D72" t="s">
        <v>97</v>
      </c>
      <c r="E72">
        <v>2000</v>
      </c>
      <c r="F72">
        <v>90000</v>
      </c>
      <c r="G72" t="s">
        <v>31</v>
      </c>
      <c r="H72" t="s">
        <v>2645</v>
      </c>
      <c r="I72" t="s">
        <v>34</v>
      </c>
      <c r="J72" t="s">
        <v>2747</v>
      </c>
      <c r="K72" t="s">
        <v>31</v>
      </c>
      <c r="L72" t="s">
        <v>31</v>
      </c>
      <c r="M72" t="s">
        <v>27</v>
      </c>
      <c r="N72" t="s">
        <v>27</v>
      </c>
      <c r="O72" t="s">
        <v>27</v>
      </c>
      <c r="P72" t="s">
        <v>31</v>
      </c>
      <c r="Q72" t="s">
        <v>31</v>
      </c>
      <c r="R72" t="s">
        <v>31</v>
      </c>
      <c r="S72" t="s">
        <v>31</v>
      </c>
      <c r="T72" t="s">
        <v>31</v>
      </c>
    </row>
    <row r="73" spans="1:20" hidden="1" x14ac:dyDescent="0.3">
      <c r="A73" t="s">
        <v>1423</v>
      </c>
      <c r="B73" t="s">
        <v>28</v>
      </c>
      <c r="C73" t="s">
        <v>29</v>
      </c>
      <c r="D73" t="s">
        <v>67</v>
      </c>
      <c r="E73">
        <v>2000</v>
      </c>
      <c r="F73" t="s">
        <v>31</v>
      </c>
      <c r="G73" t="s">
        <v>31</v>
      </c>
      <c r="H73" t="s">
        <v>2645</v>
      </c>
      <c r="I73" t="s">
        <v>34</v>
      </c>
      <c r="J73" t="s">
        <v>2748</v>
      </c>
      <c r="K73" t="s">
        <v>31</v>
      </c>
      <c r="L73" t="s">
        <v>31</v>
      </c>
      <c r="M73" t="s">
        <v>27</v>
      </c>
      <c r="N73" t="s">
        <v>27</v>
      </c>
      <c r="O73" t="s">
        <v>27</v>
      </c>
      <c r="P73" t="s">
        <v>31</v>
      </c>
      <c r="Q73" t="s">
        <v>31</v>
      </c>
      <c r="R73" t="s">
        <v>31</v>
      </c>
      <c r="S73" t="s">
        <v>31</v>
      </c>
      <c r="T73" t="s">
        <v>31</v>
      </c>
    </row>
    <row r="74" spans="1:20" hidden="1" x14ac:dyDescent="0.3">
      <c r="A74" t="s">
        <v>1424</v>
      </c>
      <c r="B74" t="s">
        <v>51</v>
      </c>
      <c r="C74" t="s">
        <v>37</v>
      </c>
      <c r="D74" t="s">
        <v>52</v>
      </c>
      <c r="E74">
        <v>2000</v>
      </c>
      <c r="F74" t="s">
        <v>31</v>
      </c>
      <c r="G74" t="s">
        <v>31</v>
      </c>
      <c r="H74" t="s">
        <v>2749</v>
      </c>
      <c r="I74" t="s">
        <v>45</v>
      </c>
      <c r="J74" t="s">
        <v>2750</v>
      </c>
      <c r="K74" t="s">
        <v>31</v>
      </c>
      <c r="L74" t="s">
        <v>31</v>
      </c>
      <c r="M74" t="s">
        <v>27</v>
      </c>
      <c r="N74" t="s">
        <v>27</v>
      </c>
      <c r="O74" t="s">
        <v>27</v>
      </c>
      <c r="P74" t="s">
        <v>31</v>
      </c>
      <c r="Q74" t="s">
        <v>31</v>
      </c>
      <c r="R74" t="s">
        <v>31</v>
      </c>
      <c r="S74" t="s">
        <v>31</v>
      </c>
      <c r="T74" t="s">
        <v>31</v>
      </c>
    </row>
    <row r="75" spans="1:20" hidden="1" x14ac:dyDescent="0.3">
      <c r="A75" t="s">
        <v>1425</v>
      </c>
      <c r="B75" t="s">
        <v>43</v>
      </c>
      <c r="C75" t="s">
        <v>2665</v>
      </c>
      <c r="D75" t="s">
        <v>114</v>
      </c>
      <c r="E75">
        <v>2000</v>
      </c>
      <c r="F75" t="s">
        <v>31</v>
      </c>
      <c r="G75" t="s">
        <v>31</v>
      </c>
      <c r="H75" t="s">
        <v>2680</v>
      </c>
      <c r="I75" t="s">
        <v>115</v>
      </c>
      <c r="J75" t="s">
        <v>31</v>
      </c>
      <c r="K75" t="s">
        <v>31</v>
      </c>
      <c r="L75" t="s">
        <v>31</v>
      </c>
      <c r="M75" t="s">
        <v>33</v>
      </c>
      <c r="N75" t="s">
        <v>27</v>
      </c>
      <c r="O75" t="s">
        <v>27</v>
      </c>
      <c r="P75" t="s">
        <v>31</v>
      </c>
      <c r="Q75" t="s">
        <v>31</v>
      </c>
      <c r="R75" t="s">
        <v>31</v>
      </c>
      <c r="S75" t="s">
        <v>31</v>
      </c>
      <c r="T75" t="s">
        <v>31</v>
      </c>
    </row>
    <row r="76" spans="1:20" hidden="1" x14ac:dyDescent="0.3">
      <c r="A76" t="s">
        <v>1426</v>
      </c>
      <c r="B76" t="s">
        <v>39</v>
      </c>
      <c r="C76" t="s">
        <v>157</v>
      </c>
      <c r="D76" t="s">
        <v>157</v>
      </c>
      <c r="E76">
        <v>2000</v>
      </c>
      <c r="F76">
        <v>6000</v>
      </c>
      <c r="G76" t="s">
        <v>31</v>
      </c>
      <c r="H76" t="s">
        <v>2751</v>
      </c>
      <c r="I76" t="s">
        <v>234</v>
      </c>
      <c r="J76" t="s">
        <v>2752</v>
      </c>
      <c r="K76" t="s">
        <v>31</v>
      </c>
      <c r="L76" t="s">
        <v>31</v>
      </c>
      <c r="M76" t="s">
        <v>27</v>
      </c>
      <c r="N76" t="s">
        <v>27</v>
      </c>
      <c r="O76" t="s">
        <v>27</v>
      </c>
      <c r="P76" t="s">
        <v>31</v>
      </c>
      <c r="Q76" t="s">
        <v>31</v>
      </c>
      <c r="R76" t="s">
        <v>31</v>
      </c>
      <c r="S76" t="s">
        <v>31</v>
      </c>
      <c r="T76" t="s">
        <v>31</v>
      </c>
    </row>
    <row r="77" spans="1:20" hidden="1" x14ac:dyDescent="0.3">
      <c r="A77" t="s">
        <v>1427</v>
      </c>
      <c r="B77" t="s">
        <v>39</v>
      </c>
      <c r="C77" t="s">
        <v>157</v>
      </c>
      <c r="D77" t="s">
        <v>157</v>
      </c>
      <c r="E77">
        <v>2000</v>
      </c>
      <c r="F77" t="s">
        <v>31</v>
      </c>
      <c r="G77" t="s">
        <v>31</v>
      </c>
      <c r="H77" t="s">
        <v>2753</v>
      </c>
      <c r="I77" t="s">
        <v>49</v>
      </c>
      <c r="J77" t="s">
        <v>2754</v>
      </c>
      <c r="K77" t="s">
        <v>31</v>
      </c>
      <c r="L77" t="s">
        <v>792</v>
      </c>
      <c r="M77" t="s">
        <v>27</v>
      </c>
      <c r="N77" t="s">
        <v>27</v>
      </c>
      <c r="O77" t="s">
        <v>27</v>
      </c>
      <c r="P77" t="s">
        <v>31</v>
      </c>
      <c r="Q77" t="s">
        <v>31</v>
      </c>
      <c r="R77" t="s">
        <v>31</v>
      </c>
      <c r="S77" t="s">
        <v>31</v>
      </c>
      <c r="T77" t="s">
        <v>31</v>
      </c>
    </row>
    <row r="78" spans="1:20" hidden="1" x14ac:dyDescent="0.3">
      <c r="A78" t="s">
        <v>2121</v>
      </c>
      <c r="B78" t="s">
        <v>51</v>
      </c>
      <c r="C78" t="s">
        <v>37</v>
      </c>
      <c r="D78" t="s">
        <v>121</v>
      </c>
      <c r="E78">
        <v>2000</v>
      </c>
      <c r="F78" t="s">
        <v>31</v>
      </c>
      <c r="G78" t="s">
        <v>31</v>
      </c>
      <c r="H78" t="s">
        <v>2645</v>
      </c>
      <c r="I78" t="s">
        <v>34</v>
      </c>
      <c r="J78" t="s">
        <v>2755</v>
      </c>
      <c r="K78" t="s">
        <v>2664</v>
      </c>
      <c r="L78" t="s">
        <v>54</v>
      </c>
      <c r="M78" t="s">
        <v>27</v>
      </c>
      <c r="N78" t="s">
        <v>27</v>
      </c>
      <c r="O78" t="s">
        <v>27</v>
      </c>
      <c r="P78" t="s">
        <v>31</v>
      </c>
      <c r="Q78">
        <v>55000</v>
      </c>
      <c r="R78" t="s">
        <v>31</v>
      </c>
      <c r="S78" t="s">
        <v>31</v>
      </c>
      <c r="T78" t="s">
        <v>2756</v>
      </c>
    </row>
    <row r="79" spans="1:20" hidden="1" x14ac:dyDescent="0.3">
      <c r="A79" t="s">
        <v>2122</v>
      </c>
      <c r="B79" t="s">
        <v>91</v>
      </c>
      <c r="C79" t="s">
        <v>92</v>
      </c>
      <c r="D79" t="s">
        <v>93</v>
      </c>
      <c r="E79">
        <v>2000</v>
      </c>
      <c r="F79" t="s">
        <v>31</v>
      </c>
      <c r="G79" t="s">
        <v>2757</v>
      </c>
      <c r="H79" t="s">
        <v>2647</v>
      </c>
      <c r="I79" t="s">
        <v>47</v>
      </c>
      <c r="J79" t="s">
        <v>2758</v>
      </c>
      <c r="K79" t="s">
        <v>31</v>
      </c>
      <c r="L79" t="s">
        <v>31</v>
      </c>
      <c r="M79" t="s">
        <v>27</v>
      </c>
      <c r="N79" t="s">
        <v>27</v>
      </c>
      <c r="O79" t="s">
        <v>27</v>
      </c>
      <c r="P79" t="s">
        <v>31</v>
      </c>
      <c r="Q79">
        <v>6.5</v>
      </c>
      <c r="R79">
        <v>7.0419999999999998</v>
      </c>
      <c r="S79">
        <v>-77.828999999999994</v>
      </c>
      <c r="T79" t="s">
        <v>31</v>
      </c>
    </row>
    <row r="80" spans="1:20" hidden="1" x14ac:dyDescent="0.3">
      <c r="A80" t="s">
        <v>2123</v>
      </c>
      <c r="B80" t="s">
        <v>28</v>
      </c>
      <c r="C80" t="s">
        <v>29</v>
      </c>
      <c r="D80" t="s">
        <v>97</v>
      </c>
      <c r="E80">
        <v>2000</v>
      </c>
      <c r="F80">
        <v>450000</v>
      </c>
      <c r="G80" t="s">
        <v>31</v>
      </c>
      <c r="H80" t="s">
        <v>2645</v>
      </c>
      <c r="I80" t="s">
        <v>34</v>
      </c>
      <c r="J80" t="s">
        <v>2759</v>
      </c>
      <c r="K80" t="s">
        <v>31</v>
      </c>
      <c r="L80" t="s">
        <v>31</v>
      </c>
      <c r="M80" t="s">
        <v>27</v>
      </c>
      <c r="N80" t="s">
        <v>27</v>
      </c>
      <c r="O80" t="s">
        <v>27</v>
      </c>
      <c r="P80" t="s">
        <v>31</v>
      </c>
      <c r="Q80" t="s">
        <v>31</v>
      </c>
      <c r="R80" t="s">
        <v>31</v>
      </c>
      <c r="S80" t="s">
        <v>31</v>
      </c>
      <c r="T80" t="s">
        <v>31</v>
      </c>
    </row>
    <row r="81" spans="1:20" hidden="1" x14ac:dyDescent="0.3">
      <c r="A81" t="s">
        <v>2124</v>
      </c>
      <c r="B81" t="s">
        <v>39</v>
      </c>
      <c r="C81" t="s">
        <v>40</v>
      </c>
      <c r="D81" t="s">
        <v>41</v>
      </c>
      <c r="E81">
        <v>2000</v>
      </c>
      <c r="F81" t="s">
        <v>31</v>
      </c>
      <c r="G81" t="s">
        <v>31</v>
      </c>
      <c r="H81" t="s">
        <v>2753</v>
      </c>
      <c r="I81" t="s">
        <v>49</v>
      </c>
      <c r="J81" t="s">
        <v>2760</v>
      </c>
      <c r="K81" t="s">
        <v>31</v>
      </c>
      <c r="L81" t="s">
        <v>31</v>
      </c>
      <c r="M81" t="s">
        <v>27</v>
      </c>
      <c r="N81" t="s">
        <v>27</v>
      </c>
      <c r="O81" t="s">
        <v>27</v>
      </c>
      <c r="P81" t="s">
        <v>31</v>
      </c>
      <c r="Q81">
        <v>125</v>
      </c>
      <c r="R81" t="s">
        <v>31</v>
      </c>
      <c r="S81" t="s">
        <v>31</v>
      </c>
      <c r="T81" t="s">
        <v>31</v>
      </c>
    </row>
    <row r="82" spans="1:20" hidden="1" x14ac:dyDescent="0.3">
      <c r="A82" t="s">
        <v>2125</v>
      </c>
      <c r="B82" t="s">
        <v>39</v>
      </c>
      <c r="C82" t="s">
        <v>40</v>
      </c>
      <c r="D82" t="s">
        <v>41</v>
      </c>
      <c r="E82">
        <v>2000</v>
      </c>
      <c r="F82">
        <v>1500000</v>
      </c>
      <c r="G82" t="s">
        <v>31</v>
      </c>
      <c r="H82" t="s">
        <v>2645</v>
      </c>
      <c r="I82" t="s">
        <v>34</v>
      </c>
      <c r="J82" t="s">
        <v>2761</v>
      </c>
      <c r="K82" t="s">
        <v>31</v>
      </c>
      <c r="L82" t="s">
        <v>31</v>
      </c>
      <c r="M82" t="s">
        <v>27</v>
      </c>
      <c r="N82" t="s">
        <v>27</v>
      </c>
      <c r="O82" t="s">
        <v>27</v>
      </c>
      <c r="P82" t="s">
        <v>31</v>
      </c>
      <c r="Q82">
        <v>194</v>
      </c>
      <c r="R82" t="s">
        <v>31</v>
      </c>
      <c r="S82" t="s">
        <v>31</v>
      </c>
      <c r="T82" t="s">
        <v>31</v>
      </c>
    </row>
    <row r="83" spans="1:20" hidden="1" x14ac:dyDescent="0.3">
      <c r="A83" t="s">
        <v>2126</v>
      </c>
      <c r="B83" t="s">
        <v>51</v>
      </c>
      <c r="C83" t="s">
        <v>37</v>
      </c>
      <c r="D83" t="s">
        <v>52</v>
      </c>
      <c r="E83">
        <v>2000</v>
      </c>
      <c r="F83" t="s">
        <v>31</v>
      </c>
      <c r="G83" t="s">
        <v>31</v>
      </c>
      <c r="H83" t="s">
        <v>2658</v>
      </c>
      <c r="I83" t="s">
        <v>130</v>
      </c>
      <c r="J83" t="s">
        <v>2762</v>
      </c>
      <c r="K83" t="s">
        <v>31</v>
      </c>
      <c r="L83" t="s">
        <v>31</v>
      </c>
      <c r="M83" t="s">
        <v>27</v>
      </c>
      <c r="N83" t="s">
        <v>27</v>
      </c>
      <c r="O83" t="s">
        <v>27</v>
      </c>
      <c r="P83" t="s">
        <v>31</v>
      </c>
      <c r="Q83" t="s">
        <v>31</v>
      </c>
      <c r="R83" t="s">
        <v>31</v>
      </c>
      <c r="S83" t="s">
        <v>31</v>
      </c>
      <c r="T83" t="s">
        <v>31</v>
      </c>
    </row>
    <row r="84" spans="1:20" hidden="1" x14ac:dyDescent="0.3">
      <c r="A84" t="s">
        <v>2127</v>
      </c>
      <c r="B84" t="s">
        <v>51</v>
      </c>
      <c r="C84" t="s">
        <v>37</v>
      </c>
      <c r="D84" t="s">
        <v>56</v>
      </c>
      <c r="E84">
        <v>2000</v>
      </c>
      <c r="F84" t="s">
        <v>31</v>
      </c>
      <c r="G84" t="s">
        <v>31</v>
      </c>
      <c r="H84" t="s">
        <v>2672</v>
      </c>
      <c r="I84" t="s">
        <v>73</v>
      </c>
      <c r="J84" t="s">
        <v>2763</v>
      </c>
      <c r="K84" t="s">
        <v>31</v>
      </c>
      <c r="L84" t="s">
        <v>31</v>
      </c>
      <c r="M84" t="s">
        <v>27</v>
      </c>
      <c r="N84" t="s">
        <v>27</v>
      </c>
      <c r="O84" t="s">
        <v>27</v>
      </c>
      <c r="P84" t="s">
        <v>31</v>
      </c>
      <c r="Q84" t="s">
        <v>31</v>
      </c>
      <c r="R84" t="s">
        <v>31</v>
      </c>
      <c r="S84" t="s">
        <v>31</v>
      </c>
      <c r="T84" t="s">
        <v>31</v>
      </c>
    </row>
    <row r="85" spans="1:20" hidden="1" x14ac:dyDescent="0.3">
      <c r="A85" t="s">
        <v>2128</v>
      </c>
      <c r="B85" t="s">
        <v>51</v>
      </c>
      <c r="C85" t="s">
        <v>37</v>
      </c>
      <c r="D85" t="s">
        <v>52</v>
      </c>
      <c r="E85">
        <v>2000</v>
      </c>
      <c r="F85">
        <v>100000</v>
      </c>
      <c r="G85" t="s">
        <v>31</v>
      </c>
      <c r="H85" t="s">
        <v>2645</v>
      </c>
      <c r="I85" t="s">
        <v>34</v>
      </c>
      <c r="J85" t="s">
        <v>2764</v>
      </c>
      <c r="K85" t="s">
        <v>31</v>
      </c>
      <c r="L85" t="s">
        <v>31</v>
      </c>
      <c r="M85" t="s">
        <v>27</v>
      </c>
      <c r="N85" t="s">
        <v>27</v>
      </c>
      <c r="O85" t="s">
        <v>27</v>
      </c>
      <c r="P85" t="s">
        <v>31</v>
      </c>
      <c r="Q85" t="s">
        <v>31</v>
      </c>
      <c r="R85" t="s">
        <v>31</v>
      </c>
      <c r="S85" t="s">
        <v>31</v>
      </c>
      <c r="T85" t="s">
        <v>31</v>
      </c>
    </row>
    <row r="86" spans="1:20" hidden="1" x14ac:dyDescent="0.3">
      <c r="A86" t="s">
        <v>2129</v>
      </c>
      <c r="B86" t="s">
        <v>51</v>
      </c>
      <c r="C86" t="s">
        <v>37</v>
      </c>
      <c r="D86" t="s">
        <v>121</v>
      </c>
      <c r="E86">
        <v>2000</v>
      </c>
      <c r="F86" t="s">
        <v>31</v>
      </c>
      <c r="G86" t="s">
        <v>31</v>
      </c>
      <c r="H86" t="s">
        <v>2719</v>
      </c>
      <c r="I86" t="s">
        <v>90</v>
      </c>
      <c r="J86" t="s">
        <v>2765</v>
      </c>
      <c r="K86" t="s">
        <v>2664</v>
      </c>
      <c r="L86" t="s">
        <v>31</v>
      </c>
      <c r="M86" t="s">
        <v>27</v>
      </c>
      <c r="N86" t="s">
        <v>27</v>
      </c>
      <c r="O86" t="s">
        <v>33</v>
      </c>
      <c r="P86" t="s">
        <v>31</v>
      </c>
      <c r="Q86">
        <v>11600</v>
      </c>
      <c r="R86" t="s">
        <v>31</v>
      </c>
      <c r="S86" t="s">
        <v>31</v>
      </c>
      <c r="T86" t="s">
        <v>2766</v>
      </c>
    </row>
    <row r="87" spans="1:20" hidden="1" x14ac:dyDescent="0.3">
      <c r="A87" t="s">
        <v>2130</v>
      </c>
      <c r="B87" t="s">
        <v>43</v>
      </c>
      <c r="C87" t="s">
        <v>2767</v>
      </c>
      <c r="D87" t="s">
        <v>2131</v>
      </c>
      <c r="E87">
        <v>2000</v>
      </c>
      <c r="F87" t="s">
        <v>31</v>
      </c>
      <c r="G87" t="s">
        <v>31</v>
      </c>
      <c r="H87" t="s">
        <v>2678</v>
      </c>
      <c r="I87" t="s">
        <v>53</v>
      </c>
      <c r="J87" t="s">
        <v>2768</v>
      </c>
      <c r="K87" t="s">
        <v>31</v>
      </c>
      <c r="L87" t="s">
        <v>31</v>
      </c>
      <c r="M87" t="s">
        <v>27</v>
      </c>
      <c r="N87" t="s">
        <v>27</v>
      </c>
      <c r="O87" t="s">
        <v>27</v>
      </c>
      <c r="P87" t="s">
        <v>31</v>
      </c>
      <c r="Q87" t="s">
        <v>31</v>
      </c>
      <c r="R87" t="s">
        <v>31</v>
      </c>
      <c r="S87" t="s">
        <v>31</v>
      </c>
      <c r="T87" t="s">
        <v>31</v>
      </c>
    </row>
    <row r="88" spans="1:20" hidden="1" x14ac:dyDescent="0.3">
      <c r="A88" t="s">
        <v>2132</v>
      </c>
      <c r="B88" t="s">
        <v>28</v>
      </c>
      <c r="C88" t="s">
        <v>2685</v>
      </c>
      <c r="D88" t="s">
        <v>68</v>
      </c>
      <c r="E88">
        <v>2000</v>
      </c>
      <c r="F88" t="s">
        <v>31</v>
      </c>
      <c r="G88" t="s">
        <v>31</v>
      </c>
      <c r="H88" t="s">
        <v>2769</v>
      </c>
      <c r="I88" t="s">
        <v>117</v>
      </c>
      <c r="J88" t="s">
        <v>2770</v>
      </c>
      <c r="K88" t="s">
        <v>31</v>
      </c>
      <c r="L88" t="s">
        <v>31</v>
      </c>
      <c r="M88" t="s">
        <v>27</v>
      </c>
      <c r="N88" t="s">
        <v>27</v>
      </c>
      <c r="O88" t="s">
        <v>27</v>
      </c>
      <c r="P88" t="s">
        <v>31</v>
      </c>
      <c r="Q88">
        <v>-5</v>
      </c>
      <c r="R88" t="s">
        <v>31</v>
      </c>
      <c r="S88" t="s">
        <v>31</v>
      </c>
      <c r="T88" t="s">
        <v>31</v>
      </c>
    </row>
    <row r="89" spans="1:20" hidden="1" x14ac:dyDescent="0.3">
      <c r="A89" t="s">
        <v>2133</v>
      </c>
      <c r="B89" t="s">
        <v>51</v>
      </c>
      <c r="C89" t="s">
        <v>37</v>
      </c>
      <c r="D89" t="s">
        <v>121</v>
      </c>
      <c r="E89">
        <v>2000</v>
      </c>
      <c r="F89" t="s">
        <v>31</v>
      </c>
      <c r="G89" t="s">
        <v>31</v>
      </c>
      <c r="H89" t="s">
        <v>2719</v>
      </c>
      <c r="I89" t="s">
        <v>90</v>
      </c>
      <c r="J89" t="s">
        <v>2771</v>
      </c>
      <c r="K89" t="s">
        <v>2664</v>
      </c>
      <c r="L89" t="s">
        <v>54</v>
      </c>
      <c r="M89" t="s">
        <v>27</v>
      </c>
      <c r="N89" t="s">
        <v>27</v>
      </c>
      <c r="O89" t="s">
        <v>27</v>
      </c>
      <c r="P89" t="s">
        <v>31</v>
      </c>
      <c r="Q89">
        <v>13970</v>
      </c>
      <c r="R89" t="s">
        <v>31</v>
      </c>
      <c r="S89" t="s">
        <v>31</v>
      </c>
      <c r="T89" t="s">
        <v>2772</v>
      </c>
    </row>
    <row r="90" spans="1:20" hidden="1" x14ac:dyDescent="0.3">
      <c r="A90" t="s">
        <v>2134</v>
      </c>
      <c r="B90" t="s">
        <v>51</v>
      </c>
      <c r="C90" t="s">
        <v>37</v>
      </c>
      <c r="D90" t="s">
        <v>52</v>
      </c>
      <c r="E90">
        <v>2000</v>
      </c>
      <c r="F90" t="s">
        <v>31</v>
      </c>
      <c r="G90" t="s">
        <v>31</v>
      </c>
      <c r="H90" t="s">
        <v>2709</v>
      </c>
      <c r="I90" t="s">
        <v>70</v>
      </c>
      <c r="J90" t="s">
        <v>2773</v>
      </c>
      <c r="K90" t="s">
        <v>31</v>
      </c>
      <c r="L90" t="s">
        <v>31</v>
      </c>
      <c r="M90" t="s">
        <v>27</v>
      </c>
      <c r="N90" t="s">
        <v>27</v>
      </c>
      <c r="O90" t="s">
        <v>27</v>
      </c>
      <c r="P90" t="s">
        <v>31</v>
      </c>
      <c r="Q90" t="s">
        <v>31</v>
      </c>
      <c r="R90" t="s">
        <v>31</v>
      </c>
      <c r="S90" t="s">
        <v>31</v>
      </c>
      <c r="T90" t="s">
        <v>31</v>
      </c>
    </row>
    <row r="91" spans="1:20" hidden="1" x14ac:dyDescent="0.3">
      <c r="A91" t="s">
        <v>2135</v>
      </c>
      <c r="B91" t="s">
        <v>51</v>
      </c>
      <c r="C91" t="s">
        <v>37</v>
      </c>
      <c r="D91" t="s">
        <v>52</v>
      </c>
      <c r="E91">
        <v>2000</v>
      </c>
      <c r="F91">
        <v>1300</v>
      </c>
      <c r="G91" t="s">
        <v>31</v>
      </c>
      <c r="H91" t="s">
        <v>2774</v>
      </c>
      <c r="I91" t="s">
        <v>166</v>
      </c>
      <c r="J91" t="s">
        <v>2775</v>
      </c>
      <c r="K91" t="s">
        <v>31</v>
      </c>
      <c r="L91" t="s">
        <v>31</v>
      </c>
      <c r="M91" t="s">
        <v>27</v>
      </c>
      <c r="N91" t="s">
        <v>27</v>
      </c>
      <c r="O91" t="s">
        <v>27</v>
      </c>
      <c r="P91" t="s">
        <v>31</v>
      </c>
      <c r="Q91" t="s">
        <v>31</v>
      </c>
      <c r="R91" t="s">
        <v>31</v>
      </c>
      <c r="S91" t="s">
        <v>31</v>
      </c>
      <c r="T91" t="s">
        <v>31</v>
      </c>
    </row>
    <row r="92" spans="1:20" hidden="1" x14ac:dyDescent="0.3">
      <c r="A92" t="s">
        <v>2136</v>
      </c>
      <c r="B92" t="s">
        <v>28</v>
      </c>
      <c r="C92" t="s">
        <v>29</v>
      </c>
      <c r="D92" t="s">
        <v>30</v>
      </c>
      <c r="E92">
        <v>2000</v>
      </c>
      <c r="F92">
        <v>1000</v>
      </c>
      <c r="G92" t="s">
        <v>31</v>
      </c>
      <c r="H92" t="s">
        <v>2675</v>
      </c>
      <c r="I92" t="s">
        <v>81</v>
      </c>
      <c r="J92" t="s">
        <v>2776</v>
      </c>
      <c r="K92" t="s">
        <v>31</v>
      </c>
      <c r="L92" t="s">
        <v>31</v>
      </c>
      <c r="M92" t="s">
        <v>27</v>
      </c>
      <c r="N92" t="s">
        <v>27</v>
      </c>
      <c r="O92" t="s">
        <v>27</v>
      </c>
      <c r="P92" t="s">
        <v>31</v>
      </c>
      <c r="Q92" t="s">
        <v>31</v>
      </c>
      <c r="R92" t="s">
        <v>31</v>
      </c>
      <c r="S92" t="s">
        <v>31</v>
      </c>
      <c r="T92" t="s">
        <v>31</v>
      </c>
    </row>
    <row r="93" spans="1:20" hidden="1" x14ac:dyDescent="0.3">
      <c r="A93" t="s">
        <v>2137</v>
      </c>
      <c r="B93" t="s">
        <v>51</v>
      </c>
      <c r="C93" t="s">
        <v>37</v>
      </c>
      <c r="D93" t="s">
        <v>121</v>
      </c>
      <c r="E93">
        <v>2000</v>
      </c>
      <c r="F93" t="s">
        <v>31</v>
      </c>
      <c r="G93" t="s">
        <v>31</v>
      </c>
      <c r="H93" t="s">
        <v>2647</v>
      </c>
      <c r="I93" t="s">
        <v>47</v>
      </c>
      <c r="J93" t="s">
        <v>2777</v>
      </c>
      <c r="K93" t="s">
        <v>2649</v>
      </c>
      <c r="L93" t="s">
        <v>31</v>
      </c>
      <c r="M93" t="s">
        <v>27</v>
      </c>
      <c r="N93" t="s">
        <v>27</v>
      </c>
      <c r="O93" t="s">
        <v>27</v>
      </c>
      <c r="P93" t="s">
        <v>31</v>
      </c>
      <c r="Q93" t="s">
        <v>31</v>
      </c>
      <c r="R93" t="s">
        <v>31</v>
      </c>
      <c r="S93" t="s">
        <v>31</v>
      </c>
      <c r="T93" t="s">
        <v>2778</v>
      </c>
    </row>
    <row r="94" spans="1:20" hidden="1" x14ac:dyDescent="0.3">
      <c r="A94" t="s">
        <v>2138</v>
      </c>
      <c r="B94" t="s">
        <v>51</v>
      </c>
      <c r="C94" t="s">
        <v>37</v>
      </c>
      <c r="D94" t="s">
        <v>121</v>
      </c>
      <c r="E94">
        <v>2000</v>
      </c>
      <c r="F94" t="s">
        <v>31</v>
      </c>
      <c r="G94" t="s">
        <v>31</v>
      </c>
      <c r="H94" t="s">
        <v>2656</v>
      </c>
      <c r="I94" t="s">
        <v>119</v>
      </c>
      <c r="J94" t="s">
        <v>2779</v>
      </c>
      <c r="K94" t="s">
        <v>2664</v>
      </c>
      <c r="L94" t="s">
        <v>31</v>
      </c>
      <c r="M94" t="s">
        <v>27</v>
      </c>
      <c r="N94" t="s">
        <v>27</v>
      </c>
      <c r="O94" t="s">
        <v>27</v>
      </c>
      <c r="P94" t="s">
        <v>31</v>
      </c>
      <c r="Q94">
        <v>10250</v>
      </c>
      <c r="R94" t="s">
        <v>31</v>
      </c>
      <c r="S94" t="s">
        <v>31</v>
      </c>
      <c r="T94" t="s">
        <v>31</v>
      </c>
    </row>
    <row r="95" spans="1:20" hidden="1" x14ac:dyDescent="0.3">
      <c r="A95" t="s">
        <v>2139</v>
      </c>
      <c r="B95" t="s">
        <v>51</v>
      </c>
      <c r="C95" t="s">
        <v>37</v>
      </c>
      <c r="D95" t="s">
        <v>52</v>
      </c>
      <c r="E95">
        <v>2000</v>
      </c>
      <c r="F95">
        <v>300000</v>
      </c>
      <c r="G95" t="s">
        <v>31</v>
      </c>
      <c r="H95" t="s">
        <v>2658</v>
      </c>
      <c r="I95" t="s">
        <v>130</v>
      </c>
      <c r="J95" t="s">
        <v>2780</v>
      </c>
      <c r="K95" t="s">
        <v>31</v>
      </c>
      <c r="L95" t="s">
        <v>31</v>
      </c>
      <c r="M95" t="s">
        <v>27</v>
      </c>
      <c r="N95" t="s">
        <v>27</v>
      </c>
      <c r="O95" t="s">
        <v>27</v>
      </c>
      <c r="P95" t="s">
        <v>31</v>
      </c>
      <c r="Q95" t="s">
        <v>31</v>
      </c>
      <c r="R95" t="s">
        <v>31</v>
      </c>
      <c r="S95" t="s">
        <v>31</v>
      </c>
      <c r="T95" t="s">
        <v>31</v>
      </c>
    </row>
    <row r="96" spans="1:20" hidden="1" x14ac:dyDescent="0.3">
      <c r="A96" t="s">
        <v>2140</v>
      </c>
      <c r="B96" t="s">
        <v>51</v>
      </c>
      <c r="C96" t="s">
        <v>37</v>
      </c>
      <c r="D96" t="s">
        <v>121</v>
      </c>
      <c r="E96">
        <v>2000</v>
      </c>
      <c r="F96" t="s">
        <v>31</v>
      </c>
      <c r="G96" t="s">
        <v>31</v>
      </c>
      <c r="H96" t="s">
        <v>2656</v>
      </c>
      <c r="I96" t="s">
        <v>119</v>
      </c>
      <c r="J96" t="s">
        <v>2781</v>
      </c>
      <c r="K96" t="s">
        <v>2649</v>
      </c>
      <c r="L96" t="s">
        <v>54</v>
      </c>
      <c r="M96" t="s">
        <v>27</v>
      </c>
      <c r="N96" t="s">
        <v>27</v>
      </c>
      <c r="O96" t="s">
        <v>27</v>
      </c>
      <c r="P96" t="s">
        <v>31</v>
      </c>
      <c r="Q96">
        <v>578300</v>
      </c>
      <c r="R96" t="s">
        <v>31</v>
      </c>
      <c r="S96" t="s">
        <v>31</v>
      </c>
      <c r="T96" t="s">
        <v>31</v>
      </c>
    </row>
    <row r="97" spans="1:20" hidden="1" x14ac:dyDescent="0.3">
      <c r="A97" t="s">
        <v>2141</v>
      </c>
      <c r="B97" t="s">
        <v>28</v>
      </c>
      <c r="C97" t="s">
        <v>29</v>
      </c>
      <c r="D97" t="s">
        <v>189</v>
      </c>
      <c r="E97">
        <v>2000</v>
      </c>
      <c r="F97" t="s">
        <v>31</v>
      </c>
      <c r="G97" t="s">
        <v>31</v>
      </c>
      <c r="H97" t="s">
        <v>2730</v>
      </c>
      <c r="I97" t="s">
        <v>57</v>
      </c>
      <c r="J97" t="s">
        <v>2782</v>
      </c>
      <c r="K97" t="s">
        <v>31</v>
      </c>
      <c r="L97" t="s">
        <v>31</v>
      </c>
      <c r="M97" t="s">
        <v>27</v>
      </c>
      <c r="N97" t="s">
        <v>27</v>
      </c>
      <c r="O97" t="s">
        <v>27</v>
      </c>
      <c r="P97" t="s">
        <v>31</v>
      </c>
      <c r="Q97">
        <v>96</v>
      </c>
      <c r="R97" t="s">
        <v>31</v>
      </c>
      <c r="S97" t="s">
        <v>31</v>
      </c>
      <c r="T97" t="s">
        <v>31</v>
      </c>
    </row>
    <row r="98" spans="1:20" hidden="1" x14ac:dyDescent="0.3">
      <c r="A98" t="s">
        <v>2142</v>
      </c>
      <c r="B98" t="s">
        <v>51</v>
      </c>
      <c r="C98" t="s">
        <v>37</v>
      </c>
      <c r="D98" t="s">
        <v>52</v>
      </c>
      <c r="E98">
        <v>2000</v>
      </c>
      <c r="F98" t="s">
        <v>31</v>
      </c>
      <c r="G98" t="s">
        <v>31</v>
      </c>
      <c r="H98" t="s">
        <v>2716</v>
      </c>
      <c r="I98" t="s">
        <v>242</v>
      </c>
      <c r="J98" t="s">
        <v>2783</v>
      </c>
      <c r="K98" t="s">
        <v>31</v>
      </c>
      <c r="L98" t="s">
        <v>31</v>
      </c>
      <c r="M98" t="s">
        <v>27</v>
      </c>
      <c r="N98" t="s">
        <v>27</v>
      </c>
      <c r="O98" t="s">
        <v>27</v>
      </c>
      <c r="P98" t="s">
        <v>31</v>
      </c>
      <c r="Q98" t="s">
        <v>31</v>
      </c>
      <c r="R98" t="s">
        <v>31</v>
      </c>
      <c r="S98" t="s">
        <v>31</v>
      </c>
      <c r="T98" t="s">
        <v>31</v>
      </c>
    </row>
    <row r="99" spans="1:20" hidden="1" x14ac:dyDescent="0.3">
      <c r="A99" t="s">
        <v>2143</v>
      </c>
      <c r="B99" t="s">
        <v>39</v>
      </c>
      <c r="C99" t="s">
        <v>157</v>
      </c>
      <c r="D99" t="s">
        <v>157</v>
      </c>
      <c r="E99">
        <v>2000</v>
      </c>
      <c r="F99" t="s">
        <v>31</v>
      </c>
      <c r="G99" t="s">
        <v>31</v>
      </c>
      <c r="H99" t="s">
        <v>2669</v>
      </c>
      <c r="I99" t="s">
        <v>111</v>
      </c>
      <c r="J99" t="s">
        <v>2784</v>
      </c>
      <c r="K99" t="s">
        <v>31</v>
      </c>
      <c r="L99" t="s">
        <v>31</v>
      </c>
      <c r="M99" t="s">
        <v>33</v>
      </c>
      <c r="N99" t="s">
        <v>27</v>
      </c>
      <c r="O99" t="s">
        <v>27</v>
      </c>
      <c r="P99" t="s">
        <v>31</v>
      </c>
      <c r="Q99" t="s">
        <v>31</v>
      </c>
      <c r="R99" t="s">
        <v>31</v>
      </c>
      <c r="S99" t="s">
        <v>31</v>
      </c>
      <c r="T99" t="s">
        <v>31</v>
      </c>
    </row>
    <row r="100" spans="1:20" hidden="1" x14ac:dyDescent="0.3">
      <c r="A100" t="s">
        <v>26</v>
      </c>
      <c r="B100" t="s">
        <v>28</v>
      </c>
      <c r="C100" t="s">
        <v>29</v>
      </c>
      <c r="D100" t="s">
        <v>30</v>
      </c>
      <c r="E100">
        <v>2001</v>
      </c>
      <c r="F100">
        <v>250000</v>
      </c>
      <c r="G100" t="s">
        <v>31</v>
      </c>
      <c r="H100" t="s">
        <v>2706</v>
      </c>
      <c r="I100" t="s">
        <v>32</v>
      </c>
      <c r="J100" t="s">
        <v>2785</v>
      </c>
      <c r="K100" t="s">
        <v>31</v>
      </c>
      <c r="L100" t="s">
        <v>31</v>
      </c>
      <c r="M100" t="s">
        <v>27</v>
      </c>
      <c r="N100" t="s">
        <v>27</v>
      </c>
      <c r="O100" t="s">
        <v>27</v>
      </c>
      <c r="P100" t="s">
        <v>31</v>
      </c>
      <c r="Q100">
        <v>233</v>
      </c>
      <c r="R100" t="s">
        <v>31</v>
      </c>
      <c r="S100" t="s">
        <v>31</v>
      </c>
      <c r="T100" t="s">
        <v>31</v>
      </c>
    </row>
    <row r="101" spans="1:20" hidden="1" x14ac:dyDescent="0.3">
      <c r="A101" t="s">
        <v>367</v>
      </c>
      <c r="B101" t="s">
        <v>51</v>
      </c>
      <c r="C101" t="s">
        <v>37</v>
      </c>
      <c r="D101" t="s">
        <v>121</v>
      </c>
      <c r="E101">
        <v>2001</v>
      </c>
      <c r="F101" t="s">
        <v>31</v>
      </c>
      <c r="G101" t="s">
        <v>31</v>
      </c>
      <c r="H101" t="s">
        <v>2678</v>
      </c>
      <c r="I101" t="s">
        <v>53</v>
      </c>
      <c r="J101" t="s">
        <v>2786</v>
      </c>
      <c r="K101" t="s">
        <v>2649</v>
      </c>
      <c r="L101" t="s">
        <v>31</v>
      </c>
      <c r="M101" t="s">
        <v>27</v>
      </c>
      <c r="N101" t="s">
        <v>27</v>
      </c>
      <c r="O101" t="s">
        <v>27</v>
      </c>
      <c r="P101" t="s">
        <v>31</v>
      </c>
      <c r="Q101">
        <v>272800</v>
      </c>
      <c r="R101" t="s">
        <v>31</v>
      </c>
      <c r="S101" t="s">
        <v>31</v>
      </c>
      <c r="T101" t="s">
        <v>2787</v>
      </c>
    </row>
    <row r="102" spans="1:20" hidden="1" x14ac:dyDescent="0.3">
      <c r="A102" t="s">
        <v>370</v>
      </c>
      <c r="B102" t="s">
        <v>51</v>
      </c>
      <c r="C102" t="s">
        <v>37</v>
      </c>
      <c r="D102" t="s">
        <v>121</v>
      </c>
      <c r="E102">
        <v>2001</v>
      </c>
      <c r="F102" t="s">
        <v>31</v>
      </c>
      <c r="G102" t="s">
        <v>31</v>
      </c>
      <c r="H102" t="s">
        <v>2645</v>
      </c>
      <c r="I102" t="s">
        <v>34</v>
      </c>
      <c r="J102" t="s">
        <v>2788</v>
      </c>
      <c r="K102" t="s">
        <v>2664</v>
      </c>
      <c r="L102" t="s">
        <v>31</v>
      </c>
      <c r="M102" t="s">
        <v>27</v>
      </c>
      <c r="N102" t="s">
        <v>27</v>
      </c>
      <c r="O102" t="s">
        <v>27</v>
      </c>
      <c r="P102" t="s">
        <v>31</v>
      </c>
      <c r="Q102">
        <v>7730</v>
      </c>
      <c r="R102" t="s">
        <v>31</v>
      </c>
      <c r="S102" t="s">
        <v>31</v>
      </c>
      <c r="T102" t="s">
        <v>2789</v>
      </c>
    </row>
    <row r="103" spans="1:20" hidden="1" x14ac:dyDescent="0.3">
      <c r="A103" t="s">
        <v>413</v>
      </c>
      <c r="B103" t="s">
        <v>51</v>
      </c>
      <c r="C103" t="s">
        <v>37</v>
      </c>
      <c r="D103" t="s">
        <v>52</v>
      </c>
      <c r="E103">
        <v>2001</v>
      </c>
      <c r="F103" t="s">
        <v>31</v>
      </c>
      <c r="G103" t="s">
        <v>31</v>
      </c>
      <c r="H103" t="s">
        <v>2645</v>
      </c>
      <c r="I103" t="s">
        <v>34</v>
      </c>
      <c r="J103" t="s">
        <v>2790</v>
      </c>
      <c r="K103" t="s">
        <v>31</v>
      </c>
      <c r="L103" t="s">
        <v>31</v>
      </c>
      <c r="M103" t="s">
        <v>27</v>
      </c>
      <c r="N103" t="s">
        <v>27</v>
      </c>
      <c r="O103" t="s">
        <v>27</v>
      </c>
      <c r="P103" t="s">
        <v>31</v>
      </c>
      <c r="Q103" t="s">
        <v>31</v>
      </c>
      <c r="R103" t="s">
        <v>31</v>
      </c>
      <c r="S103" t="s">
        <v>31</v>
      </c>
      <c r="T103" t="s">
        <v>31</v>
      </c>
    </row>
    <row r="104" spans="1:20" hidden="1" x14ac:dyDescent="0.3">
      <c r="A104" t="s">
        <v>774</v>
      </c>
      <c r="B104" t="s">
        <v>28</v>
      </c>
      <c r="C104" t="s">
        <v>29</v>
      </c>
      <c r="D104" t="s">
        <v>189</v>
      </c>
      <c r="E104">
        <v>2001</v>
      </c>
      <c r="F104">
        <v>15000</v>
      </c>
      <c r="G104" t="s">
        <v>31</v>
      </c>
      <c r="H104" t="s">
        <v>2658</v>
      </c>
      <c r="I104" t="s">
        <v>130</v>
      </c>
      <c r="J104" t="s">
        <v>2791</v>
      </c>
      <c r="K104" t="s">
        <v>31</v>
      </c>
      <c r="L104" t="s">
        <v>31</v>
      </c>
      <c r="M104" t="s">
        <v>27</v>
      </c>
      <c r="N104" t="s">
        <v>27</v>
      </c>
      <c r="O104" t="s">
        <v>27</v>
      </c>
      <c r="P104" t="s">
        <v>31</v>
      </c>
      <c r="Q104" t="s">
        <v>31</v>
      </c>
      <c r="R104" t="s">
        <v>31</v>
      </c>
      <c r="S104" t="s">
        <v>31</v>
      </c>
      <c r="T104" t="s">
        <v>31</v>
      </c>
    </row>
    <row r="105" spans="1:20" hidden="1" x14ac:dyDescent="0.3">
      <c r="A105" t="s">
        <v>776</v>
      </c>
      <c r="B105" t="s">
        <v>51</v>
      </c>
      <c r="C105" t="s">
        <v>37</v>
      </c>
      <c r="D105" t="s">
        <v>121</v>
      </c>
      <c r="E105">
        <v>2001</v>
      </c>
      <c r="F105" t="s">
        <v>31</v>
      </c>
      <c r="G105" t="s">
        <v>31</v>
      </c>
      <c r="H105" t="s">
        <v>2647</v>
      </c>
      <c r="I105" t="s">
        <v>47</v>
      </c>
      <c r="J105" t="s">
        <v>2792</v>
      </c>
      <c r="K105" t="s">
        <v>31</v>
      </c>
      <c r="L105" t="s">
        <v>31</v>
      </c>
      <c r="M105" t="s">
        <v>27</v>
      </c>
      <c r="N105" t="s">
        <v>27</v>
      </c>
      <c r="O105" t="s">
        <v>27</v>
      </c>
      <c r="P105" t="s">
        <v>31</v>
      </c>
      <c r="Q105" t="s">
        <v>31</v>
      </c>
      <c r="R105" t="s">
        <v>31</v>
      </c>
      <c r="S105" t="s">
        <v>31</v>
      </c>
      <c r="T105" t="s">
        <v>31</v>
      </c>
    </row>
    <row r="106" spans="1:20" hidden="1" x14ac:dyDescent="0.3">
      <c r="A106" t="s">
        <v>793</v>
      </c>
      <c r="B106" t="s">
        <v>91</v>
      </c>
      <c r="C106" t="s">
        <v>92</v>
      </c>
      <c r="D106" t="s">
        <v>93</v>
      </c>
      <c r="E106">
        <v>2001</v>
      </c>
      <c r="F106">
        <v>50</v>
      </c>
      <c r="G106" t="s">
        <v>2793</v>
      </c>
      <c r="H106" t="s">
        <v>2719</v>
      </c>
      <c r="I106" t="s">
        <v>90</v>
      </c>
      <c r="J106" t="s">
        <v>2794</v>
      </c>
      <c r="K106" t="s">
        <v>31</v>
      </c>
      <c r="L106" t="s">
        <v>31</v>
      </c>
      <c r="M106" t="s">
        <v>27</v>
      </c>
      <c r="N106" t="s">
        <v>27</v>
      </c>
      <c r="O106" t="s">
        <v>27</v>
      </c>
      <c r="P106" t="s">
        <v>31</v>
      </c>
      <c r="Q106">
        <v>7.7</v>
      </c>
      <c r="R106">
        <v>13.048999999999999</v>
      </c>
      <c r="S106">
        <v>-88.66</v>
      </c>
      <c r="T106" t="s">
        <v>31</v>
      </c>
    </row>
    <row r="107" spans="1:20" hidden="1" x14ac:dyDescent="0.3">
      <c r="A107" t="s">
        <v>794</v>
      </c>
      <c r="B107" t="s">
        <v>28</v>
      </c>
      <c r="C107" t="s">
        <v>29</v>
      </c>
      <c r="D107" t="s">
        <v>97</v>
      </c>
      <c r="E107">
        <v>2001</v>
      </c>
      <c r="F107" t="s">
        <v>31</v>
      </c>
      <c r="G107" t="s">
        <v>31</v>
      </c>
      <c r="H107" t="s">
        <v>2645</v>
      </c>
      <c r="I107" t="s">
        <v>34</v>
      </c>
      <c r="J107" t="s">
        <v>2795</v>
      </c>
      <c r="K107" t="s">
        <v>31</v>
      </c>
      <c r="L107" t="s">
        <v>31</v>
      </c>
      <c r="M107" t="s">
        <v>27</v>
      </c>
      <c r="N107" t="s">
        <v>27</v>
      </c>
      <c r="O107" t="s">
        <v>27</v>
      </c>
      <c r="P107" t="s">
        <v>31</v>
      </c>
      <c r="Q107" t="s">
        <v>31</v>
      </c>
      <c r="R107" t="s">
        <v>31</v>
      </c>
      <c r="S107" t="s">
        <v>31</v>
      </c>
      <c r="T107" t="s">
        <v>31</v>
      </c>
    </row>
    <row r="108" spans="1:20" hidden="1" x14ac:dyDescent="0.3">
      <c r="A108" t="s">
        <v>795</v>
      </c>
      <c r="B108" t="s">
        <v>51</v>
      </c>
      <c r="C108" t="s">
        <v>37</v>
      </c>
      <c r="D108" t="s">
        <v>56</v>
      </c>
      <c r="E108">
        <v>2001</v>
      </c>
      <c r="F108" t="s">
        <v>31</v>
      </c>
      <c r="G108" t="s">
        <v>31</v>
      </c>
      <c r="H108" t="s">
        <v>2678</v>
      </c>
      <c r="I108" t="s">
        <v>53</v>
      </c>
      <c r="J108" t="s">
        <v>2796</v>
      </c>
      <c r="K108" t="s">
        <v>2652</v>
      </c>
      <c r="L108" t="s">
        <v>31</v>
      </c>
      <c r="M108" t="s">
        <v>27</v>
      </c>
      <c r="N108" t="s">
        <v>27</v>
      </c>
      <c r="O108" t="s">
        <v>27</v>
      </c>
      <c r="P108" t="s">
        <v>31</v>
      </c>
      <c r="Q108">
        <v>14800</v>
      </c>
      <c r="R108" t="s">
        <v>31</v>
      </c>
      <c r="S108" t="s">
        <v>31</v>
      </c>
      <c r="T108" t="s">
        <v>31</v>
      </c>
    </row>
    <row r="109" spans="1:20" hidden="1" x14ac:dyDescent="0.3">
      <c r="A109" t="s">
        <v>796</v>
      </c>
      <c r="B109" t="s">
        <v>51</v>
      </c>
      <c r="C109" t="s">
        <v>37</v>
      </c>
      <c r="D109" t="s">
        <v>52</v>
      </c>
      <c r="E109">
        <v>2001</v>
      </c>
      <c r="F109" t="s">
        <v>31</v>
      </c>
      <c r="G109" t="s">
        <v>31</v>
      </c>
      <c r="H109" t="s">
        <v>2774</v>
      </c>
      <c r="I109" t="s">
        <v>166</v>
      </c>
      <c r="J109" t="s">
        <v>2797</v>
      </c>
      <c r="K109" t="s">
        <v>31</v>
      </c>
      <c r="L109" t="s">
        <v>31</v>
      </c>
      <c r="M109" t="s">
        <v>27</v>
      </c>
      <c r="N109" t="s">
        <v>27</v>
      </c>
      <c r="O109" t="s">
        <v>27</v>
      </c>
      <c r="P109" t="s">
        <v>31</v>
      </c>
      <c r="Q109" t="s">
        <v>31</v>
      </c>
      <c r="R109" t="s">
        <v>31</v>
      </c>
      <c r="S109" t="s">
        <v>31</v>
      </c>
      <c r="T109" t="s">
        <v>31</v>
      </c>
    </row>
    <row r="110" spans="1:20" hidden="1" x14ac:dyDescent="0.3">
      <c r="A110" t="s">
        <v>797</v>
      </c>
      <c r="B110" t="s">
        <v>91</v>
      </c>
      <c r="C110" t="s">
        <v>92</v>
      </c>
      <c r="D110" t="s">
        <v>798</v>
      </c>
      <c r="E110">
        <v>2001</v>
      </c>
      <c r="F110">
        <v>300000</v>
      </c>
      <c r="G110" t="s">
        <v>2798</v>
      </c>
      <c r="H110" t="s">
        <v>2678</v>
      </c>
      <c r="I110" t="s">
        <v>53</v>
      </c>
      <c r="J110" t="s">
        <v>2799</v>
      </c>
      <c r="K110" t="s">
        <v>31</v>
      </c>
      <c r="L110" t="s">
        <v>173</v>
      </c>
      <c r="M110" t="s">
        <v>33</v>
      </c>
      <c r="N110" t="s">
        <v>27</v>
      </c>
      <c r="O110" t="s">
        <v>27</v>
      </c>
      <c r="P110">
        <v>20777</v>
      </c>
      <c r="Q110">
        <v>8.4</v>
      </c>
      <c r="R110">
        <v>-16.265000000000001</v>
      </c>
      <c r="S110">
        <v>-73.641000000000005</v>
      </c>
      <c r="T110" t="s">
        <v>31</v>
      </c>
    </row>
    <row r="111" spans="1:20" hidden="1" x14ac:dyDescent="0.3">
      <c r="A111" t="s">
        <v>799</v>
      </c>
      <c r="B111" t="s">
        <v>28</v>
      </c>
      <c r="C111" t="s">
        <v>29</v>
      </c>
      <c r="D111" t="s">
        <v>97</v>
      </c>
      <c r="E111">
        <v>2001</v>
      </c>
      <c r="F111" t="s">
        <v>31</v>
      </c>
      <c r="G111" t="s">
        <v>31</v>
      </c>
      <c r="H111" t="s">
        <v>2647</v>
      </c>
      <c r="I111" t="s">
        <v>47</v>
      </c>
      <c r="J111" t="s">
        <v>2800</v>
      </c>
      <c r="K111" t="s">
        <v>31</v>
      </c>
      <c r="L111" t="s">
        <v>31</v>
      </c>
      <c r="M111" t="s">
        <v>33</v>
      </c>
      <c r="N111" t="s">
        <v>27</v>
      </c>
      <c r="O111" t="s">
        <v>27</v>
      </c>
      <c r="P111" t="s">
        <v>31</v>
      </c>
      <c r="Q111">
        <v>50</v>
      </c>
      <c r="R111" t="s">
        <v>31</v>
      </c>
      <c r="S111" t="s">
        <v>31</v>
      </c>
      <c r="T111" t="s">
        <v>31</v>
      </c>
    </row>
    <row r="112" spans="1:20" hidden="1" x14ac:dyDescent="0.3">
      <c r="A112" t="s">
        <v>800</v>
      </c>
      <c r="B112" t="s">
        <v>51</v>
      </c>
      <c r="C112" t="s">
        <v>2655</v>
      </c>
      <c r="D112" t="s">
        <v>134</v>
      </c>
      <c r="E112">
        <v>2001</v>
      </c>
      <c r="F112" t="s">
        <v>31</v>
      </c>
      <c r="G112" t="s">
        <v>31</v>
      </c>
      <c r="H112" t="s">
        <v>2647</v>
      </c>
      <c r="I112" t="s">
        <v>47</v>
      </c>
      <c r="J112" t="s">
        <v>2801</v>
      </c>
      <c r="K112" t="s">
        <v>31</v>
      </c>
      <c r="L112" t="s">
        <v>31</v>
      </c>
      <c r="M112" t="s">
        <v>27</v>
      </c>
      <c r="N112" t="s">
        <v>27</v>
      </c>
      <c r="O112" t="s">
        <v>27</v>
      </c>
      <c r="P112" t="s">
        <v>31</v>
      </c>
      <c r="Q112" t="s">
        <v>31</v>
      </c>
      <c r="R112" t="s">
        <v>31</v>
      </c>
      <c r="S112" t="s">
        <v>31</v>
      </c>
      <c r="T112" t="s">
        <v>31</v>
      </c>
    </row>
    <row r="113" spans="1:20" hidden="1" x14ac:dyDescent="0.3">
      <c r="A113" t="s">
        <v>801</v>
      </c>
      <c r="B113" t="s">
        <v>28</v>
      </c>
      <c r="C113" t="s">
        <v>29</v>
      </c>
      <c r="D113" t="s">
        <v>99</v>
      </c>
      <c r="E113">
        <v>2001</v>
      </c>
      <c r="F113" t="s">
        <v>31</v>
      </c>
      <c r="G113" t="s">
        <v>31</v>
      </c>
      <c r="H113" t="s">
        <v>2656</v>
      </c>
      <c r="I113" t="s">
        <v>119</v>
      </c>
      <c r="J113" t="s">
        <v>2802</v>
      </c>
      <c r="K113" t="s">
        <v>31</v>
      </c>
      <c r="L113" t="s">
        <v>31</v>
      </c>
      <c r="M113" t="s">
        <v>27</v>
      </c>
      <c r="N113" t="s">
        <v>27</v>
      </c>
      <c r="O113" t="s">
        <v>33</v>
      </c>
      <c r="P113" t="s">
        <v>31</v>
      </c>
      <c r="Q113" t="s">
        <v>31</v>
      </c>
      <c r="R113" t="s">
        <v>31</v>
      </c>
      <c r="S113" t="s">
        <v>31</v>
      </c>
      <c r="T113" t="s">
        <v>31</v>
      </c>
    </row>
    <row r="114" spans="1:20" hidden="1" x14ac:dyDescent="0.3">
      <c r="A114" t="s">
        <v>802</v>
      </c>
      <c r="B114" t="s">
        <v>28</v>
      </c>
      <c r="C114" t="s">
        <v>29</v>
      </c>
      <c r="D114" t="s">
        <v>97</v>
      </c>
      <c r="E114">
        <v>2001</v>
      </c>
      <c r="F114">
        <v>7000</v>
      </c>
      <c r="G114" t="s">
        <v>31</v>
      </c>
      <c r="H114" t="s">
        <v>2645</v>
      </c>
      <c r="I114" t="s">
        <v>34</v>
      </c>
      <c r="J114" t="s">
        <v>2803</v>
      </c>
      <c r="K114" t="s">
        <v>31</v>
      </c>
      <c r="L114" t="s">
        <v>31</v>
      </c>
      <c r="M114" t="s">
        <v>27</v>
      </c>
      <c r="N114" t="s">
        <v>27</v>
      </c>
      <c r="O114" t="s">
        <v>27</v>
      </c>
      <c r="P114" t="s">
        <v>31</v>
      </c>
      <c r="Q114" t="s">
        <v>31</v>
      </c>
      <c r="R114" t="s">
        <v>31</v>
      </c>
      <c r="S114" t="s">
        <v>31</v>
      </c>
      <c r="T114" t="s">
        <v>31</v>
      </c>
    </row>
    <row r="115" spans="1:20" hidden="1" x14ac:dyDescent="0.3">
      <c r="A115" t="s">
        <v>803</v>
      </c>
      <c r="B115" t="s">
        <v>28</v>
      </c>
      <c r="C115" t="s">
        <v>29</v>
      </c>
      <c r="D115" t="s">
        <v>30</v>
      </c>
      <c r="E115">
        <v>2001</v>
      </c>
      <c r="F115">
        <v>300000</v>
      </c>
      <c r="G115" t="s">
        <v>31</v>
      </c>
      <c r="H115" t="s">
        <v>2804</v>
      </c>
      <c r="I115" t="s">
        <v>102</v>
      </c>
      <c r="J115" t="s">
        <v>2805</v>
      </c>
      <c r="K115" t="s">
        <v>31</v>
      </c>
      <c r="L115" t="s">
        <v>31</v>
      </c>
      <c r="M115" t="s">
        <v>27</v>
      </c>
      <c r="N115" t="s">
        <v>27</v>
      </c>
      <c r="O115" t="s">
        <v>27</v>
      </c>
      <c r="P115" t="s">
        <v>31</v>
      </c>
      <c r="Q115" t="s">
        <v>31</v>
      </c>
      <c r="R115" t="s">
        <v>31</v>
      </c>
      <c r="S115" t="s">
        <v>31</v>
      </c>
      <c r="T115" t="s">
        <v>31</v>
      </c>
    </row>
    <row r="116" spans="1:20" x14ac:dyDescent="0.3">
      <c r="A116" t="s">
        <v>804</v>
      </c>
      <c r="B116" t="s">
        <v>51</v>
      </c>
      <c r="C116" t="s">
        <v>37</v>
      </c>
      <c r="D116" t="s">
        <v>56</v>
      </c>
      <c r="E116">
        <v>2001</v>
      </c>
      <c r="F116">
        <v>45000</v>
      </c>
      <c r="G116" t="s">
        <v>31</v>
      </c>
      <c r="H116" t="s">
        <v>2656</v>
      </c>
      <c r="I116" t="s">
        <v>119</v>
      </c>
      <c r="J116" t="s">
        <v>2599</v>
      </c>
      <c r="K116" t="s">
        <v>2652</v>
      </c>
      <c r="L116" t="s">
        <v>54</v>
      </c>
      <c r="M116" t="s">
        <v>27</v>
      </c>
      <c r="N116" t="s">
        <v>27</v>
      </c>
      <c r="O116" t="s">
        <v>27</v>
      </c>
      <c r="P116">
        <v>230</v>
      </c>
      <c r="Q116">
        <v>9990</v>
      </c>
      <c r="R116" t="s">
        <v>31</v>
      </c>
      <c r="S116" t="s">
        <v>31</v>
      </c>
      <c r="T116" t="s">
        <v>31</v>
      </c>
    </row>
    <row r="117" spans="1:20" hidden="1" x14ac:dyDescent="0.3">
      <c r="A117" t="s">
        <v>805</v>
      </c>
      <c r="B117" t="s">
        <v>51</v>
      </c>
      <c r="C117" t="s">
        <v>37</v>
      </c>
      <c r="D117" t="s">
        <v>52</v>
      </c>
      <c r="E117">
        <v>2001</v>
      </c>
      <c r="F117" t="s">
        <v>31</v>
      </c>
      <c r="G117" t="s">
        <v>31</v>
      </c>
      <c r="H117" t="s">
        <v>2695</v>
      </c>
      <c r="I117" t="s">
        <v>161</v>
      </c>
      <c r="J117" t="s">
        <v>2806</v>
      </c>
      <c r="K117" t="s">
        <v>2807</v>
      </c>
      <c r="L117" t="s">
        <v>31</v>
      </c>
      <c r="M117" t="s">
        <v>27</v>
      </c>
      <c r="N117" t="s">
        <v>27</v>
      </c>
      <c r="O117" t="s">
        <v>27</v>
      </c>
      <c r="P117" t="s">
        <v>31</v>
      </c>
      <c r="Q117" t="s">
        <v>31</v>
      </c>
      <c r="R117" t="s">
        <v>31</v>
      </c>
      <c r="S117" t="s">
        <v>31</v>
      </c>
      <c r="T117" t="s">
        <v>31</v>
      </c>
    </row>
    <row r="118" spans="1:20" hidden="1" x14ac:dyDescent="0.3">
      <c r="A118" t="s">
        <v>806</v>
      </c>
      <c r="B118" t="s">
        <v>91</v>
      </c>
      <c r="C118" t="s">
        <v>92</v>
      </c>
      <c r="D118" t="s">
        <v>93</v>
      </c>
      <c r="E118">
        <v>2001</v>
      </c>
      <c r="F118" t="s">
        <v>31</v>
      </c>
      <c r="G118" t="s">
        <v>2808</v>
      </c>
      <c r="H118" t="s">
        <v>2678</v>
      </c>
      <c r="I118" t="s">
        <v>53</v>
      </c>
      <c r="J118" t="s">
        <v>2809</v>
      </c>
      <c r="K118" t="s">
        <v>31</v>
      </c>
      <c r="L118" t="s">
        <v>31</v>
      </c>
      <c r="M118" t="s">
        <v>27</v>
      </c>
      <c r="N118" t="s">
        <v>27</v>
      </c>
      <c r="O118" t="s">
        <v>27</v>
      </c>
      <c r="P118" t="s">
        <v>31</v>
      </c>
      <c r="Q118">
        <v>5.8</v>
      </c>
      <c r="R118">
        <v>-14.257999999999999</v>
      </c>
      <c r="S118">
        <v>-72.683000000000007</v>
      </c>
      <c r="T118" t="s">
        <v>31</v>
      </c>
    </row>
    <row r="119" spans="1:20" hidden="1" x14ac:dyDescent="0.3">
      <c r="A119" t="s">
        <v>841</v>
      </c>
      <c r="B119" t="s">
        <v>39</v>
      </c>
      <c r="C119" t="s">
        <v>157</v>
      </c>
      <c r="D119" t="s">
        <v>157</v>
      </c>
      <c r="E119">
        <v>2001</v>
      </c>
      <c r="F119" t="s">
        <v>31</v>
      </c>
      <c r="G119" t="s">
        <v>31</v>
      </c>
      <c r="H119" t="s">
        <v>2656</v>
      </c>
      <c r="I119" t="s">
        <v>119</v>
      </c>
      <c r="J119" t="s">
        <v>2810</v>
      </c>
      <c r="K119" t="s">
        <v>31</v>
      </c>
      <c r="L119" t="s">
        <v>31</v>
      </c>
      <c r="M119" t="s">
        <v>27</v>
      </c>
      <c r="N119" t="s">
        <v>27</v>
      </c>
      <c r="O119" t="s">
        <v>33</v>
      </c>
      <c r="P119" t="s">
        <v>31</v>
      </c>
      <c r="Q119" t="s">
        <v>31</v>
      </c>
      <c r="R119" t="s">
        <v>31</v>
      </c>
      <c r="S119" t="s">
        <v>31</v>
      </c>
      <c r="T119" t="s">
        <v>31</v>
      </c>
    </row>
    <row r="120" spans="1:20" hidden="1" x14ac:dyDescent="0.3">
      <c r="A120" t="s">
        <v>842</v>
      </c>
      <c r="B120" t="s">
        <v>91</v>
      </c>
      <c r="C120" t="s">
        <v>92</v>
      </c>
      <c r="D120" t="s">
        <v>93</v>
      </c>
      <c r="E120">
        <v>2001</v>
      </c>
      <c r="F120">
        <v>1500000</v>
      </c>
      <c r="G120" t="s">
        <v>2793</v>
      </c>
      <c r="H120" t="s">
        <v>2680</v>
      </c>
      <c r="I120" t="s">
        <v>115</v>
      </c>
      <c r="J120" t="s">
        <v>2811</v>
      </c>
      <c r="K120" t="s">
        <v>31</v>
      </c>
      <c r="L120" t="s">
        <v>54</v>
      </c>
      <c r="M120" t="s">
        <v>33</v>
      </c>
      <c r="N120" t="s">
        <v>33</v>
      </c>
      <c r="O120" t="s">
        <v>27</v>
      </c>
      <c r="P120" t="s">
        <v>31</v>
      </c>
      <c r="Q120">
        <v>7.7</v>
      </c>
      <c r="R120">
        <v>13.048999999999999</v>
      </c>
      <c r="S120">
        <v>-88.66</v>
      </c>
      <c r="T120" t="s">
        <v>31</v>
      </c>
    </row>
    <row r="121" spans="1:20" hidden="1" x14ac:dyDescent="0.3">
      <c r="A121" t="s">
        <v>843</v>
      </c>
      <c r="B121" t="s">
        <v>51</v>
      </c>
      <c r="C121" t="s">
        <v>37</v>
      </c>
      <c r="D121" t="s">
        <v>121</v>
      </c>
      <c r="E121">
        <v>2001</v>
      </c>
      <c r="F121">
        <v>121000</v>
      </c>
      <c r="G121" t="s">
        <v>31</v>
      </c>
      <c r="H121" t="s">
        <v>2669</v>
      </c>
      <c r="I121" t="s">
        <v>111</v>
      </c>
      <c r="J121" t="s">
        <v>2812</v>
      </c>
      <c r="K121" t="s">
        <v>2664</v>
      </c>
      <c r="L121" t="s">
        <v>31</v>
      </c>
      <c r="M121" t="s">
        <v>33</v>
      </c>
      <c r="N121" t="s">
        <v>27</v>
      </c>
      <c r="O121" t="s">
        <v>27</v>
      </c>
      <c r="P121">
        <v>5790</v>
      </c>
      <c r="Q121">
        <v>119163</v>
      </c>
      <c r="R121" t="s">
        <v>31</v>
      </c>
      <c r="S121" t="s">
        <v>31</v>
      </c>
      <c r="T121" t="s">
        <v>31</v>
      </c>
    </row>
    <row r="122" spans="1:20" hidden="1" x14ac:dyDescent="0.3">
      <c r="A122" t="s">
        <v>844</v>
      </c>
      <c r="B122" t="s">
        <v>51</v>
      </c>
      <c r="C122" t="s">
        <v>37</v>
      </c>
      <c r="D122" t="s">
        <v>52</v>
      </c>
      <c r="E122">
        <v>2001</v>
      </c>
      <c r="F122">
        <v>8900</v>
      </c>
      <c r="G122" t="s">
        <v>31</v>
      </c>
      <c r="H122" t="s">
        <v>2701</v>
      </c>
      <c r="I122" t="s">
        <v>60</v>
      </c>
      <c r="J122" t="s">
        <v>2813</v>
      </c>
      <c r="K122" t="s">
        <v>31</v>
      </c>
      <c r="L122" t="s">
        <v>31</v>
      </c>
      <c r="M122" t="s">
        <v>27</v>
      </c>
      <c r="N122" t="s">
        <v>27</v>
      </c>
      <c r="O122" t="s">
        <v>27</v>
      </c>
      <c r="P122" t="s">
        <v>31</v>
      </c>
      <c r="Q122" t="s">
        <v>31</v>
      </c>
      <c r="R122" t="s">
        <v>31</v>
      </c>
      <c r="S122" t="s">
        <v>31</v>
      </c>
      <c r="T122" t="s">
        <v>31</v>
      </c>
    </row>
    <row r="123" spans="1:20" hidden="1" x14ac:dyDescent="0.3">
      <c r="A123" t="s">
        <v>845</v>
      </c>
      <c r="B123" t="s">
        <v>91</v>
      </c>
      <c r="C123" t="s">
        <v>92</v>
      </c>
      <c r="D123" t="s">
        <v>93</v>
      </c>
      <c r="E123">
        <v>2001</v>
      </c>
      <c r="F123">
        <v>2000000</v>
      </c>
      <c r="G123" t="s">
        <v>2814</v>
      </c>
      <c r="H123" t="s">
        <v>2645</v>
      </c>
      <c r="I123" t="s">
        <v>34</v>
      </c>
      <c r="J123" t="s">
        <v>2815</v>
      </c>
      <c r="K123" t="s">
        <v>31</v>
      </c>
      <c r="L123" t="s">
        <v>31</v>
      </c>
      <c r="M123" t="s">
        <v>27</v>
      </c>
      <c r="N123" t="s">
        <v>27</v>
      </c>
      <c r="O123" t="s">
        <v>27</v>
      </c>
      <c r="P123" t="s">
        <v>31</v>
      </c>
      <c r="Q123">
        <v>6.8</v>
      </c>
      <c r="R123">
        <v>47.149000000000001</v>
      </c>
      <c r="S123">
        <v>-122.7266667</v>
      </c>
      <c r="T123" t="s">
        <v>31</v>
      </c>
    </row>
    <row r="124" spans="1:20" hidden="1" x14ac:dyDescent="0.3">
      <c r="A124" t="s">
        <v>846</v>
      </c>
      <c r="B124" t="s">
        <v>51</v>
      </c>
      <c r="C124" t="s">
        <v>37</v>
      </c>
      <c r="D124" t="s">
        <v>52</v>
      </c>
      <c r="E124">
        <v>2001</v>
      </c>
      <c r="F124" t="s">
        <v>31</v>
      </c>
      <c r="G124" t="s">
        <v>31</v>
      </c>
      <c r="H124" t="s">
        <v>2730</v>
      </c>
      <c r="I124" t="s">
        <v>57</v>
      </c>
      <c r="J124" t="s">
        <v>2816</v>
      </c>
      <c r="K124" t="s">
        <v>31</v>
      </c>
      <c r="L124" t="s">
        <v>31</v>
      </c>
      <c r="M124" t="s">
        <v>27</v>
      </c>
      <c r="N124" t="s">
        <v>27</v>
      </c>
      <c r="O124" t="s">
        <v>27</v>
      </c>
      <c r="P124" t="s">
        <v>31</v>
      </c>
      <c r="Q124" t="s">
        <v>31</v>
      </c>
      <c r="R124" t="s">
        <v>31</v>
      </c>
      <c r="S124" t="s">
        <v>31</v>
      </c>
      <c r="T124" t="s">
        <v>31</v>
      </c>
    </row>
    <row r="125" spans="1:20" hidden="1" x14ac:dyDescent="0.3">
      <c r="A125" t="s">
        <v>847</v>
      </c>
      <c r="B125" t="s">
        <v>51</v>
      </c>
      <c r="C125" t="s">
        <v>37</v>
      </c>
      <c r="D125" t="s">
        <v>121</v>
      </c>
      <c r="E125">
        <v>2001</v>
      </c>
      <c r="F125" t="s">
        <v>31</v>
      </c>
      <c r="G125" t="s">
        <v>31</v>
      </c>
      <c r="H125" t="s">
        <v>2678</v>
      </c>
      <c r="I125" t="s">
        <v>53</v>
      </c>
      <c r="J125" t="s">
        <v>2817</v>
      </c>
      <c r="K125" t="s">
        <v>31</v>
      </c>
      <c r="L125" t="s">
        <v>31</v>
      </c>
      <c r="M125" t="s">
        <v>27</v>
      </c>
      <c r="N125" t="s">
        <v>27</v>
      </c>
      <c r="O125" t="s">
        <v>27</v>
      </c>
      <c r="P125">
        <v>23</v>
      </c>
      <c r="Q125">
        <v>17430</v>
      </c>
      <c r="R125" t="s">
        <v>31</v>
      </c>
      <c r="S125" t="s">
        <v>31</v>
      </c>
      <c r="T125" t="s">
        <v>31</v>
      </c>
    </row>
    <row r="126" spans="1:20" hidden="1" x14ac:dyDescent="0.3">
      <c r="A126" t="s">
        <v>848</v>
      </c>
      <c r="B126" t="s">
        <v>51</v>
      </c>
      <c r="C126" t="s">
        <v>37</v>
      </c>
      <c r="D126" t="s">
        <v>52</v>
      </c>
      <c r="E126">
        <v>2001</v>
      </c>
      <c r="F126" t="s">
        <v>31</v>
      </c>
      <c r="G126" t="s">
        <v>31</v>
      </c>
      <c r="H126" t="s">
        <v>2658</v>
      </c>
      <c r="I126" t="s">
        <v>130</v>
      </c>
      <c r="J126" t="s">
        <v>2818</v>
      </c>
      <c r="K126" t="s">
        <v>31</v>
      </c>
      <c r="L126" t="s">
        <v>31</v>
      </c>
      <c r="M126" t="s">
        <v>27</v>
      </c>
      <c r="N126" t="s">
        <v>27</v>
      </c>
      <c r="O126" t="s">
        <v>27</v>
      </c>
      <c r="P126" t="s">
        <v>31</v>
      </c>
      <c r="Q126" t="s">
        <v>31</v>
      </c>
      <c r="R126" t="s">
        <v>31</v>
      </c>
      <c r="S126" t="s">
        <v>31</v>
      </c>
      <c r="T126" t="s">
        <v>31</v>
      </c>
    </row>
    <row r="127" spans="1:20" hidden="1" x14ac:dyDescent="0.3">
      <c r="A127" t="s">
        <v>849</v>
      </c>
      <c r="B127" t="s">
        <v>51</v>
      </c>
      <c r="C127" t="s">
        <v>37</v>
      </c>
      <c r="D127" t="s">
        <v>121</v>
      </c>
      <c r="E127">
        <v>2001</v>
      </c>
      <c r="F127" t="s">
        <v>31</v>
      </c>
      <c r="G127" t="s">
        <v>31</v>
      </c>
      <c r="H127" t="s">
        <v>2666</v>
      </c>
      <c r="I127" t="s">
        <v>109</v>
      </c>
      <c r="J127" t="s">
        <v>2819</v>
      </c>
      <c r="K127" t="s">
        <v>2664</v>
      </c>
      <c r="L127" t="s">
        <v>31</v>
      </c>
      <c r="M127" t="s">
        <v>27</v>
      </c>
      <c r="N127" t="s">
        <v>27</v>
      </c>
      <c r="O127" t="s">
        <v>27</v>
      </c>
      <c r="P127">
        <v>223</v>
      </c>
      <c r="Q127" t="s">
        <v>31</v>
      </c>
      <c r="R127" t="s">
        <v>31</v>
      </c>
      <c r="S127" t="s">
        <v>31</v>
      </c>
      <c r="T127" t="s">
        <v>31</v>
      </c>
    </row>
    <row r="128" spans="1:20" hidden="1" x14ac:dyDescent="0.3">
      <c r="A128" t="s">
        <v>850</v>
      </c>
      <c r="B128" t="s">
        <v>39</v>
      </c>
      <c r="C128" t="s">
        <v>40</v>
      </c>
      <c r="D128" t="s">
        <v>41</v>
      </c>
      <c r="E128">
        <v>2001</v>
      </c>
      <c r="F128" t="s">
        <v>31</v>
      </c>
      <c r="G128" t="s">
        <v>31</v>
      </c>
      <c r="H128" t="s">
        <v>2645</v>
      </c>
      <c r="I128" t="s">
        <v>34</v>
      </c>
      <c r="J128" t="s">
        <v>2820</v>
      </c>
      <c r="K128" t="s">
        <v>31</v>
      </c>
      <c r="L128" t="s">
        <v>31</v>
      </c>
      <c r="M128" t="s">
        <v>27</v>
      </c>
      <c r="N128" t="s">
        <v>27</v>
      </c>
      <c r="O128" t="s">
        <v>27</v>
      </c>
      <c r="P128" t="s">
        <v>31</v>
      </c>
      <c r="Q128">
        <v>1030</v>
      </c>
      <c r="R128" t="s">
        <v>31</v>
      </c>
      <c r="S128" t="s">
        <v>31</v>
      </c>
      <c r="T128" t="s">
        <v>31</v>
      </c>
    </row>
    <row r="129" spans="1:20" hidden="1" x14ac:dyDescent="0.3">
      <c r="A129" t="s">
        <v>851</v>
      </c>
      <c r="B129" t="s">
        <v>28</v>
      </c>
      <c r="C129" t="s">
        <v>2685</v>
      </c>
      <c r="D129" t="s">
        <v>68</v>
      </c>
      <c r="E129">
        <v>2001</v>
      </c>
      <c r="F129" t="s">
        <v>31</v>
      </c>
      <c r="G129" t="s">
        <v>31</v>
      </c>
      <c r="H129" t="s">
        <v>2658</v>
      </c>
      <c r="I129" t="s">
        <v>130</v>
      </c>
      <c r="J129" t="s">
        <v>2821</v>
      </c>
      <c r="K129" t="s">
        <v>31</v>
      </c>
      <c r="L129" t="s">
        <v>31</v>
      </c>
      <c r="M129" t="s">
        <v>27</v>
      </c>
      <c r="N129" t="s">
        <v>27</v>
      </c>
      <c r="O129" t="s">
        <v>27</v>
      </c>
      <c r="P129" t="s">
        <v>31</v>
      </c>
      <c r="Q129">
        <v>-28</v>
      </c>
      <c r="R129" t="s">
        <v>31</v>
      </c>
      <c r="S129" t="s">
        <v>31</v>
      </c>
      <c r="T129" t="s">
        <v>31</v>
      </c>
    </row>
    <row r="130" spans="1:20" hidden="1" x14ac:dyDescent="0.3">
      <c r="A130" t="s">
        <v>852</v>
      </c>
      <c r="B130" t="s">
        <v>51</v>
      </c>
      <c r="C130" t="s">
        <v>37</v>
      </c>
      <c r="D130" t="s">
        <v>56</v>
      </c>
      <c r="E130">
        <v>2001</v>
      </c>
      <c r="F130" t="s">
        <v>31</v>
      </c>
      <c r="G130" t="s">
        <v>31</v>
      </c>
      <c r="H130" t="s">
        <v>2680</v>
      </c>
      <c r="I130" t="s">
        <v>115</v>
      </c>
      <c r="J130" t="s">
        <v>2822</v>
      </c>
      <c r="K130" t="s">
        <v>2652</v>
      </c>
      <c r="L130" t="s">
        <v>31</v>
      </c>
      <c r="M130" t="s">
        <v>27</v>
      </c>
      <c r="N130" t="s">
        <v>27</v>
      </c>
      <c r="O130" t="s">
        <v>27</v>
      </c>
      <c r="P130" t="s">
        <v>31</v>
      </c>
      <c r="Q130" t="s">
        <v>31</v>
      </c>
      <c r="R130" t="s">
        <v>31</v>
      </c>
      <c r="S130" t="s">
        <v>31</v>
      </c>
      <c r="T130" t="s">
        <v>2823</v>
      </c>
    </row>
    <row r="131" spans="1:20" hidden="1" x14ac:dyDescent="0.3">
      <c r="A131" t="s">
        <v>853</v>
      </c>
      <c r="B131" t="s">
        <v>28</v>
      </c>
      <c r="C131" t="s">
        <v>29</v>
      </c>
      <c r="D131" t="s">
        <v>30</v>
      </c>
      <c r="E131">
        <v>2001</v>
      </c>
      <c r="F131">
        <v>400000</v>
      </c>
      <c r="G131" t="s">
        <v>31</v>
      </c>
      <c r="H131" t="s">
        <v>2672</v>
      </c>
      <c r="I131" t="s">
        <v>73</v>
      </c>
      <c r="J131" t="s">
        <v>2824</v>
      </c>
      <c r="K131" t="s">
        <v>31</v>
      </c>
      <c r="L131" t="s">
        <v>31</v>
      </c>
      <c r="M131" t="s">
        <v>27</v>
      </c>
      <c r="N131" t="s">
        <v>27</v>
      </c>
      <c r="O131" t="s">
        <v>33</v>
      </c>
      <c r="P131" t="s">
        <v>31</v>
      </c>
      <c r="Q131">
        <v>120</v>
      </c>
      <c r="R131" t="s">
        <v>31</v>
      </c>
      <c r="S131" t="s">
        <v>31</v>
      </c>
      <c r="T131" t="s">
        <v>31</v>
      </c>
    </row>
    <row r="132" spans="1:20" hidden="1" x14ac:dyDescent="0.3">
      <c r="A132" t="s">
        <v>854</v>
      </c>
      <c r="B132" t="s">
        <v>28</v>
      </c>
      <c r="C132" t="s">
        <v>29</v>
      </c>
      <c r="D132" t="s">
        <v>97</v>
      </c>
      <c r="E132">
        <v>2001</v>
      </c>
      <c r="F132">
        <v>30000</v>
      </c>
      <c r="G132" t="s">
        <v>31</v>
      </c>
      <c r="H132" t="s">
        <v>2645</v>
      </c>
      <c r="I132" t="s">
        <v>34</v>
      </c>
      <c r="J132" t="s">
        <v>2825</v>
      </c>
      <c r="K132" t="s">
        <v>31</v>
      </c>
      <c r="L132" t="s">
        <v>31</v>
      </c>
      <c r="M132" t="s">
        <v>27</v>
      </c>
      <c r="N132" t="s">
        <v>27</v>
      </c>
      <c r="O132" t="s">
        <v>27</v>
      </c>
      <c r="P132" t="s">
        <v>31</v>
      </c>
      <c r="Q132" t="s">
        <v>31</v>
      </c>
      <c r="R132" t="s">
        <v>31</v>
      </c>
      <c r="S132" t="s">
        <v>31</v>
      </c>
      <c r="T132" t="s">
        <v>31</v>
      </c>
    </row>
    <row r="133" spans="1:20" hidden="1" x14ac:dyDescent="0.3">
      <c r="A133" t="s">
        <v>855</v>
      </c>
      <c r="B133" t="s">
        <v>28</v>
      </c>
      <c r="C133" t="s">
        <v>29</v>
      </c>
      <c r="D133" t="s">
        <v>30</v>
      </c>
      <c r="E133">
        <v>2001</v>
      </c>
      <c r="F133">
        <v>5000</v>
      </c>
      <c r="G133" t="s">
        <v>31</v>
      </c>
      <c r="H133" t="s">
        <v>2753</v>
      </c>
      <c r="I133" t="s">
        <v>49</v>
      </c>
      <c r="J133" t="s">
        <v>2826</v>
      </c>
      <c r="K133" t="s">
        <v>31</v>
      </c>
      <c r="L133" t="s">
        <v>31</v>
      </c>
      <c r="M133" t="s">
        <v>27</v>
      </c>
      <c r="N133" t="s">
        <v>27</v>
      </c>
      <c r="O133" t="s">
        <v>27</v>
      </c>
      <c r="P133" t="s">
        <v>31</v>
      </c>
      <c r="Q133">
        <v>219</v>
      </c>
      <c r="R133" t="s">
        <v>31</v>
      </c>
      <c r="S133" t="s">
        <v>31</v>
      </c>
      <c r="T133" t="s">
        <v>31</v>
      </c>
    </row>
    <row r="134" spans="1:20" hidden="1" x14ac:dyDescent="0.3">
      <c r="A134" t="s">
        <v>856</v>
      </c>
      <c r="B134" t="s">
        <v>51</v>
      </c>
      <c r="C134" t="s">
        <v>2655</v>
      </c>
      <c r="D134" t="s">
        <v>134</v>
      </c>
      <c r="E134">
        <v>2001</v>
      </c>
      <c r="F134" t="s">
        <v>31</v>
      </c>
      <c r="G134" t="s">
        <v>31</v>
      </c>
      <c r="H134" t="s">
        <v>2678</v>
      </c>
      <c r="I134" t="s">
        <v>53</v>
      </c>
      <c r="J134" t="s">
        <v>2827</v>
      </c>
      <c r="K134" t="s">
        <v>31</v>
      </c>
      <c r="L134" t="s">
        <v>31</v>
      </c>
      <c r="M134" t="s">
        <v>27</v>
      </c>
      <c r="N134" t="s">
        <v>27</v>
      </c>
      <c r="O134" t="s">
        <v>27</v>
      </c>
      <c r="P134" t="s">
        <v>31</v>
      </c>
      <c r="Q134" t="s">
        <v>31</v>
      </c>
      <c r="R134" t="s">
        <v>31</v>
      </c>
      <c r="S134" t="s">
        <v>31</v>
      </c>
      <c r="T134" t="s">
        <v>31</v>
      </c>
    </row>
    <row r="135" spans="1:20" hidden="1" x14ac:dyDescent="0.3">
      <c r="A135" t="s">
        <v>857</v>
      </c>
      <c r="B135" t="s">
        <v>39</v>
      </c>
      <c r="C135" t="s">
        <v>40</v>
      </c>
      <c r="D135" t="s">
        <v>41</v>
      </c>
      <c r="E135">
        <v>2001</v>
      </c>
      <c r="F135" t="s">
        <v>31</v>
      </c>
      <c r="G135" t="s">
        <v>31</v>
      </c>
      <c r="H135" t="s">
        <v>2645</v>
      </c>
      <c r="I135" t="s">
        <v>34</v>
      </c>
      <c r="J135" t="s">
        <v>2828</v>
      </c>
      <c r="K135" t="s">
        <v>31</v>
      </c>
      <c r="L135" t="s">
        <v>31</v>
      </c>
      <c r="M135" t="s">
        <v>27</v>
      </c>
      <c r="N135" t="s">
        <v>27</v>
      </c>
      <c r="O135" t="s">
        <v>27</v>
      </c>
      <c r="P135" t="s">
        <v>31</v>
      </c>
      <c r="Q135">
        <v>283</v>
      </c>
      <c r="R135" t="s">
        <v>31</v>
      </c>
      <c r="S135" t="s">
        <v>31</v>
      </c>
      <c r="T135" t="s">
        <v>31</v>
      </c>
    </row>
    <row r="136" spans="1:20" hidden="1" x14ac:dyDescent="0.3">
      <c r="A136" t="s">
        <v>858</v>
      </c>
      <c r="B136" t="s">
        <v>51</v>
      </c>
      <c r="C136" t="s">
        <v>37</v>
      </c>
      <c r="D136" t="s">
        <v>121</v>
      </c>
      <c r="E136">
        <v>2001</v>
      </c>
      <c r="F136" t="s">
        <v>31</v>
      </c>
      <c r="G136" t="s">
        <v>31</v>
      </c>
      <c r="H136" t="s">
        <v>2656</v>
      </c>
      <c r="I136" t="s">
        <v>119</v>
      </c>
      <c r="J136" t="s">
        <v>2829</v>
      </c>
      <c r="K136" t="s">
        <v>2664</v>
      </c>
      <c r="L136" t="s">
        <v>54</v>
      </c>
      <c r="M136" t="s">
        <v>27</v>
      </c>
      <c r="N136" t="s">
        <v>27</v>
      </c>
      <c r="O136" t="s">
        <v>33</v>
      </c>
      <c r="P136" t="s">
        <v>31</v>
      </c>
      <c r="Q136">
        <v>45210</v>
      </c>
      <c r="R136" t="s">
        <v>31</v>
      </c>
      <c r="S136" t="s">
        <v>31</v>
      </c>
      <c r="T136" t="s">
        <v>31</v>
      </c>
    </row>
    <row r="137" spans="1:20" hidden="1" x14ac:dyDescent="0.3">
      <c r="A137" t="s">
        <v>859</v>
      </c>
      <c r="B137" t="s">
        <v>28</v>
      </c>
      <c r="C137" t="s">
        <v>29</v>
      </c>
      <c r="D137" t="s">
        <v>30</v>
      </c>
      <c r="E137">
        <v>2001</v>
      </c>
      <c r="F137" t="s">
        <v>31</v>
      </c>
      <c r="G137" t="s">
        <v>31</v>
      </c>
      <c r="H137" t="s">
        <v>2672</v>
      </c>
      <c r="I137" t="s">
        <v>73</v>
      </c>
      <c r="J137" t="s">
        <v>2830</v>
      </c>
      <c r="K137" t="s">
        <v>31</v>
      </c>
      <c r="L137" t="s">
        <v>31</v>
      </c>
      <c r="M137" t="s">
        <v>27</v>
      </c>
      <c r="N137" t="s">
        <v>27</v>
      </c>
      <c r="O137" t="s">
        <v>27</v>
      </c>
      <c r="P137" t="s">
        <v>31</v>
      </c>
      <c r="Q137">
        <v>100</v>
      </c>
      <c r="R137" t="s">
        <v>31</v>
      </c>
      <c r="S137" t="s">
        <v>31</v>
      </c>
      <c r="T137" t="s">
        <v>31</v>
      </c>
    </row>
    <row r="138" spans="1:20" hidden="1" x14ac:dyDescent="0.3">
      <c r="A138" t="s">
        <v>860</v>
      </c>
      <c r="B138" t="s">
        <v>28</v>
      </c>
      <c r="C138" t="s">
        <v>2685</v>
      </c>
      <c r="D138" t="s">
        <v>68</v>
      </c>
      <c r="E138">
        <v>2001</v>
      </c>
      <c r="F138" t="s">
        <v>31</v>
      </c>
      <c r="G138" t="s">
        <v>31</v>
      </c>
      <c r="H138" t="s">
        <v>2719</v>
      </c>
      <c r="I138" t="s">
        <v>90</v>
      </c>
      <c r="J138" t="s">
        <v>2831</v>
      </c>
      <c r="K138" t="s">
        <v>31</v>
      </c>
      <c r="L138" t="s">
        <v>31</v>
      </c>
      <c r="M138" t="s">
        <v>27</v>
      </c>
      <c r="N138" t="s">
        <v>27</v>
      </c>
      <c r="O138" t="s">
        <v>27</v>
      </c>
      <c r="P138" t="s">
        <v>31</v>
      </c>
      <c r="Q138" t="s">
        <v>31</v>
      </c>
      <c r="R138" t="s">
        <v>31</v>
      </c>
      <c r="S138" t="s">
        <v>31</v>
      </c>
      <c r="T138" t="s">
        <v>31</v>
      </c>
    </row>
    <row r="139" spans="1:20" hidden="1" x14ac:dyDescent="0.3">
      <c r="A139" t="s">
        <v>861</v>
      </c>
      <c r="B139" t="s">
        <v>28</v>
      </c>
      <c r="C139" t="s">
        <v>2685</v>
      </c>
      <c r="D139" t="s">
        <v>95</v>
      </c>
      <c r="E139">
        <v>2001</v>
      </c>
      <c r="F139" t="s">
        <v>31</v>
      </c>
      <c r="G139" t="s">
        <v>31</v>
      </c>
      <c r="H139" t="s">
        <v>2645</v>
      </c>
      <c r="I139" t="s">
        <v>34</v>
      </c>
      <c r="J139" t="s">
        <v>2832</v>
      </c>
      <c r="K139" t="s">
        <v>31</v>
      </c>
      <c r="L139" t="s">
        <v>31</v>
      </c>
      <c r="M139" t="s">
        <v>27</v>
      </c>
      <c r="N139" t="s">
        <v>27</v>
      </c>
      <c r="O139" t="s">
        <v>27</v>
      </c>
      <c r="P139" t="s">
        <v>31</v>
      </c>
      <c r="Q139" t="s">
        <v>31</v>
      </c>
      <c r="R139" t="s">
        <v>31</v>
      </c>
      <c r="S139" t="s">
        <v>31</v>
      </c>
      <c r="T139" t="s">
        <v>31</v>
      </c>
    </row>
    <row r="140" spans="1:20" hidden="1" x14ac:dyDescent="0.3">
      <c r="A140" t="s">
        <v>862</v>
      </c>
      <c r="B140" t="s">
        <v>39</v>
      </c>
      <c r="C140" t="s">
        <v>157</v>
      </c>
      <c r="D140" t="s">
        <v>157</v>
      </c>
      <c r="E140">
        <v>2001</v>
      </c>
      <c r="F140">
        <v>14000</v>
      </c>
      <c r="G140" t="s">
        <v>31</v>
      </c>
      <c r="H140" t="s">
        <v>2719</v>
      </c>
      <c r="I140" t="s">
        <v>90</v>
      </c>
      <c r="J140" t="s">
        <v>2833</v>
      </c>
      <c r="K140" t="s">
        <v>31</v>
      </c>
      <c r="L140" t="s">
        <v>792</v>
      </c>
      <c r="M140" t="s">
        <v>27</v>
      </c>
      <c r="N140" t="s">
        <v>27</v>
      </c>
      <c r="O140" t="s">
        <v>27</v>
      </c>
      <c r="P140" t="s">
        <v>31</v>
      </c>
      <c r="Q140" t="s">
        <v>31</v>
      </c>
      <c r="R140" t="s">
        <v>31</v>
      </c>
      <c r="S140" t="s">
        <v>31</v>
      </c>
      <c r="T140" t="s">
        <v>31</v>
      </c>
    </row>
    <row r="141" spans="1:20" hidden="1" x14ac:dyDescent="0.3">
      <c r="A141" t="s">
        <v>863</v>
      </c>
      <c r="B141" t="s">
        <v>39</v>
      </c>
      <c r="C141" t="s">
        <v>157</v>
      </c>
      <c r="D141" t="s">
        <v>157</v>
      </c>
      <c r="E141">
        <v>2001</v>
      </c>
      <c r="F141" t="s">
        <v>31</v>
      </c>
      <c r="G141" t="s">
        <v>31</v>
      </c>
      <c r="H141" t="s">
        <v>2753</v>
      </c>
      <c r="I141" t="s">
        <v>49</v>
      </c>
      <c r="J141" t="s">
        <v>2834</v>
      </c>
      <c r="K141" t="s">
        <v>31</v>
      </c>
      <c r="L141" t="s">
        <v>196</v>
      </c>
      <c r="M141" t="s">
        <v>27</v>
      </c>
      <c r="N141" t="s">
        <v>27</v>
      </c>
      <c r="O141" t="s">
        <v>33</v>
      </c>
      <c r="P141" t="s">
        <v>31</v>
      </c>
      <c r="Q141">
        <v>960</v>
      </c>
      <c r="R141" t="s">
        <v>31</v>
      </c>
      <c r="S141" t="s">
        <v>31</v>
      </c>
      <c r="T141" t="s">
        <v>31</v>
      </c>
    </row>
    <row r="142" spans="1:20" hidden="1" x14ac:dyDescent="0.3">
      <c r="A142" t="s">
        <v>1428</v>
      </c>
      <c r="B142" t="s">
        <v>28</v>
      </c>
      <c r="C142" t="s">
        <v>29</v>
      </c>
      <c r="D142" t="s">
        <v>97</v>
      </c>
      <c r="E142">
        <v>2001</v>
      </c>
      <c r="F142">
        <v>250000</v>
      </c>
      <c r="G142" t="s">
        <v>31</v>
      </c>
      <c r="H142" t="s">
        <v>2645</v>
      </c>
      <c r="I142" t="s">
        <v>34</v>
      </c>
      <c r="J142" t="s">
        <v>2835</v>
      </c>
      <c r="K142" t="s">
        <v>31</v>
      </c>
      <c r="L142" t="s">
        <v>31</v>
      </c>
      <c r="M142" t="s">
        <v>27</v>
      </c>
      <c r="N142" t="s">
        <v>27</v>
      </c>
      <c r="O142" t="s">
        <v>27</v>
      </c>
      <c r="P142" t="s">
        <v>31</v>
      </c>
      <c r="Q142" t="s">
        <v>31</v>
      </c>
      <c r="R142" t="s">
        <v>31</v>
      </c>
      <c r="S142" t="s">
        <v>31</v>
      </c>
      <c r="T142" t="s">
        <v>31</v>
      </c>
    </row>
    <row r="143" spans="1:20" hidden="1" x14ac:dyDescent="0.3">
      <c r="A143" t="s">
        <v>1429</v>
      </c>
      <c r="B143" t="s">
        <v>28</v>
      </c>
      <c r="C143" t="s">
        <v>29</v>
      </c>
      <c r="D143" t="s">
        <v>97</v>
      </c>
      <c r="E143">
        <v>2001</v>
      </c>
      <c r="F143">
        <v>23000</v>
      </c>
      <c r="G143" t="s">
        <v>31</v>
      </c>
      <c r="H143" t="s">
        <v>2645</v>
      </c>
      <c r="I143" t="s">
        <v>34</v>
      </c>
      <c r="J143" t="s">
        <v>2836</v>
      </c>
      <c r="K143" t="s">
        <v>31</v>
      </c>
      <c r="L143" t="s">
        <v>65</v>
      </c>
      <c r="M143" t="s">
        <v>27</v>
      </c>
      <c r="N143" t="s">
        <v>27</v>
      </c>
      <c r="O143" t="s">
        <v>27</v>
      </c>
      <c r="P143" t="s">
        <v>31</v>
      </c>
      <c r="Q143" t="s">
        <v>31</v>
      </c>
      <c r="R143" t="s">
        <v>31</v>
      </c>
      <c r="S143" t="s">
        <v>31</v>
      </c>
      <c r="T143" t="s">
        <v>31</v>
      </c>
    </row>
    <row r="144" spans="1:20" hidden="1" x14ac:dyDescent="0.3">
      <c r="A144" t="s">
        <v>1430</v>
      </c>
      <c r="B144" t="s">
        <v>51</v>
      </c>
      <c r="C144" t="s">
        <v>37</v>
      </c>
      <c r="D144" t="s">
        <v>121</v>
      </c>
      <c r="E144">
        <v>2001</v>
      </c>
      <c r="F144" t="s">
        <v>31</v>
      </c>
      <c r="G144" t="s">
        <v>31</v>
      </c>
      <c r="H144" t="s">
        <v>2749</v>
      </c>
      <c r="I144" t="s">
        <v>45</v>
      </c>
      <c r="J144" t="s">
        <v>2837</v>
      </c>
      <c r="K144" t="s">
        <v>2664</v>
      </c>
      <c r="L144" t="s">
        <v>31</v>
      </c>
      <c r="M144" t="s">
        <v>27</v>
      </c>
      <c r="N144" t="s">
        <v>27</v>
      </c>
      <c r="O144" t="s">
        <v>27</v>
      </c>
      <c r="P144" t="s">
        <v>31</v>
      </c>
      <c r="Q144" t="s">
        <v>31</v>
      </c>
      <c r="R144" t="s">
        <v>31</v>
      </c>
      <c r="S144" t="s">
        <v>31</v>
      </c>
      <c r="T144" t="s">
        <v>31</v>
      </c>
    </row>
    <row r="145" spans="1:20" hidden="1" x14ac:dyDescent="0.3">
      <c r="A145" t="s">
        <v>1431</v>
      </c>
      <c r="B145" t="s">
        <v>51</v>
      </c>
      <c r="C145" t="s">
        <v>37</v>
      </c>
      <c r="D145" t="s">
        <v>121</v>
      </c>
      <c r="E145">
        <v>2001</v>
      </c>
      <c r="F145">
        <v>13000</v>
      </c>
      <c r="G145" t="s">
        <v>31</v>
      </c>
      <c r="H145" t="s">
        <v>2645</v>
      </c>
      <c r="I145" t="s">
        <v>34</v>
      </c>
      <c r="J145" t="s">
        <v>2838</v>
      </c>
      <c r="K145" t="s">
        <v>2839</v>
      </c>
      <c r="L145" t="s">
        <v>31</v>
      </c>
      <c r="M145" t="s">
        <v>27</v>
      </c>
      <c r="N145" t="s">
        <v>27</v>
      </c>
      <c r="O145" t="s">
        <v>27</v>
      </c>
      <c r="P145" t="s">
        <v>31</v>
      </c>
      <c r="Q145">
        <v>63380</v>
      </c>
      <c r="R145" t="s">
        <v>31</v>
      </c>
      <c r="S145" t="s">
        <v>31</v>
      </c>
      <c r="T145" t="s">
        <v>2840</v>
      </c>
    </row>
    <row r="146" spans="1:20" hidden="1" x14ac:dyDescent="0.3">
      <c r="A146" t="s">
        <v>1432</v>
      </c>
      <c r="B146" t="s">
        <v>28</v>
      </c>
      <c r="C146" t="s">
        <v>29</v>
      </c>
      <c r="D146" t="s">
        <v>30</v>
      </c>
      <c r="E146">
        <v>2001</v>
      </c>
      <c r="F146">
        <v>6000000</v>
      </c>
      <c r="G146" t="s">
        <v>31</v>
      </c>
      <c r="H146" t="s">
        <v>2645</v>
      </c>
      <c r="I146" t="s">
        <v>34</v>
      </c>
      <c r="J146" t="s">
        <v>2841</v>
      </c>
      <c r="K146" t="s">
        <v>31</v>
      </c>
      <c r="L146" t="s">
        <v>37</v>
      </c>
      <c r="M146" t="s">
        <v>27</v>
      </c>
      <c r="N146" t="s">
        <v>27</v>
      </c>
      <c r="O146" t="s">
        <v>33</v>
      </c>
      <c r="P146" t="s">
        <v>31</v>
      </c>
      <c r="Q146" t="s">
        <v>31</v>
      </c>
      <c r="R146" t="s">
        <v>31</v>
      </c>
      <c r="S146" t="s">
        <v>31</v>
      </c>
      <c r="T146" t="s">
        <v>31</v>
      </c>
    </row>
    <row r="147" spans="1:20" hidden="1" x14ac:dyDescent="0.3">
      <c r="A147" t="s">
        <v>1433</v>
      </c>
      <c r="B147" t="s">
        <v>51</v>
      </c>
      <c r="C147" t="s">
        <v>37</v>
      </c>
      <c r="D147" t="s">
        <v>121</v>
      </c>
      <c r="E147">
        <v>2001</v>
      </c>
      <c r="F147" t="s">
        <v>31</v>
      </c>
      <c r="G147" t="s">
        <v>31</v>
      </c>
      <c r="H147" t="s">
        <v>2645</v>
      </c>
      <c r="I147" t="s">
        <v>34</v>
      </c>
      <c r="J147" t="s">
        <v>2842</v>
      </c>
      <c r="K147" t="s">
        <v>2843</v>
      </c>
      <c r="L147" t="s">
        <v>31</v>
      </c>
      <c r="M147" t="s">
        <v>27</v>
      </c>
      <c r="N147" t="s">
        <v>27</v>
      </c>
      <c r="O147" t="s">
        <v>27</v>
      </c>
      <c r="P147" t="s">
        <v>31</v>
      </c>
      <c r="Q147">
        <v>24</v>
      </c>
      <c r="R147" t="s">
        <v>31</v>
      </c>
      <c r="S147" t="s">
        <v>31</v>
      </c>
      <c r="T147" t="s">
        <v>2844</v>
      </c>
    </row>
    <row r="148" spans="1:20" hidden="1" x14ac:dyDescent="0.3">
      <c r="A148" t="s">
        <v>1434</v>
      </c>
      <c r="B148" t="s">
        <v>28</v>
      </c>
      <c r="C148" t="s">
        <v>29</v>
      </c>
      <c r="D148" t="s">
        <v>189</v>
      </c>
      <c r="E148">
        <v>2001</v>
      </c>
      <c r="F148" t="s">
        <v>31</v>
      </c>
      <c r="G148" t="s">
        <v>31</v>
      </c>
      <c r="H148" t="s">
        <v>2645</v>
      </c>
      <c r="I148" t="s">
        <v>34</v>
      </c>
      <c r="J148" t="s">
        <v>2845</v>
      </c>
      <c r="K148" t="s">
        <v>31</v>
      </c>
      <c r="L148" t="s">
        <v>287</v>
      </c>
      <c r="M148" t="s">
        <v>27</v>
      </c>
      <c r="N148" t="s">
        <v>27</v>
      </c>
      <c r="O148" t="s">
        <v>27</v>
      </c>
      <c r="P148" t="s">
        <v>31</v>
      </c>
      <c r="Q148" t="s">
        <v>31</v>
      </c>
      <c r="R148" t="s">
        <v>31</v>
      </c>
      <c r="S148" t="s">
        <v>31</v>
      </c>
      <c r="T148" t="s">
        <v>31</v>
      </c>
    </row>
    <row r="149" spans="1:20" hidden="1" x14ac:dyDescent="0.3">
      <c r="A149" t="s">
        <v>1435</v>
      </c>
      <c r="B149" t="s">
        <v>28</v>
      </c>
      <c r="C149" t="s">
        <v>29</v>
      </c>
      <c r="D149" t="s">
        <v>189</v>
      </c>
      <c r="E149">
        <v>2001</v>
      </c>
      <c r="F149" t="s">
        <v>31</v>
      </c>
      <c r="G149" t="s">
        <v>31</v>
      </c>
      <c r="H149" t="s">
        <v>2701</v>
      </c>
      <c r="I149" t="s">
        <v>60</v>
      </c>
      <c r="J149" t="s">
        <v>2846</v>
      </c>
      <c r="K149" t="s">
        <v>31</v>
      </c>
      <c r="L149" t="s">
        <v>31</v>
      </c>
      <c r="M149" t="s">
        <v>27</v>
      </c>
      <c r="N149" t="s">
        <v>27</v>
      </c>
      <c r="O149" t="s">
        <v>27</v>
      </c>
      <c r="P149" t="s">
        <v>31</v>
      </c>
      <c r="Q149" t="s">
        <v>31</v>
      </c>
      <c r="R149" t="s">
        <v>31</v>
      </c>
      <c r="S149" t="s">
        <v>31</v>
      </c>
      <c r="T149" t="s">
        <v>31</v>
      </c>
    </row>
    <row r="150" spans="1:20" hidden="1" x14ac:dyDescent="0.3">
      <c r="A150" t="s">
        <v>1436</v>
      </c>
      <c r="B150" t="s">
        <v>51</v>
      </c>
      <c r="C150" t="s">
        <v>37</v>
      </c>
      <c r="D150" t="s">
        <v>121</v>
      </c>
      <c r="E150">
        <v>2001</v>
      </c>
      <c r="F150">
        <v>146000</v>
      </c>
      <c r="G150" t="s">
        <v>31</v>
      </c>
      <c r="H150" t="s">
        <v>2847</v>
      </c>
      <c r="I150" t="s">
        <v>62</v>
      </c>
      <c r="J150" t="s">
        <v>2848</v>
      </c>
      <c r="K150" t="s">
        <v>2664</v>
      </c>
      <c r="L150" t="s">
        <v>31</v>
      </c>
      <c r="M150" t="s">
        <v>27</v>
      </c>
      <c r="N150" t="s">
        <v>27</v>
      </c>
      <c r="O150" t="s">
        <v>27</v>
      </c>
      <c r="P150" t="s">
        <v>31</v>
      </c>
      <c r="Q150">
        <v>245</v>
      </c>
      <c r="R150" t="s">
        <v>31</v>
      </c>
      <c r="S150" t="s">
        <v>31</v>
      </c>
      <c r="T150" t="s">
        <v>2849</v>
      </c>
    </row>
    <row r="151" spans="1:20" hidden="1" x14ac:dyDescent="0.3">
      <c r="A151" t="s">
        <v>1437</v>
      </c>
      <c r="B151" t="s">
        <v>39</v>
      </c>
      <c r="C151" t="s">
        <v>40</v>
      </c>
      <c r="D151" t="s">
        <v>41</v>
      </c>
      <c r="E151">
        <v>2001</v>
      </c>
      <c r="F151" t="s">
        <v>31</v>
      </c>
      <c r="G151" t="s">
        <v>31</v>
      </c>
      <c r="H151" t="s">
        <v>2739</v>
      </c>
      <c r="I151" t="s">
        <v>77</v>
      </c>
      <c r="J151" t="s">
        <v>2850</v>
      </c>
      <c r="K151" t="s">
        <v>31</v>
      </c>
      <c r="L151" t="s">
        <v>31</v>
      </c>
      <c r="M151" t="s">
        <v>27</v>
      </c>
      <c r="N151" t="s">
        <v>27</v>
      </c>
      <c r="O151" t="s">
        <v>27</v>
      </c>
      <c r="P151" t="s">
        <v>31</v>
      </c>
      <c r="Q151" t="s">
        <v>31</v>
      </c>
      <c r="R151" t="s">
        <v>31</v>
      </c>
      <c r="S151" t="s">
        <v>31</v>
      </c>
      <c r="T151" t="s">
        <v>31</v>
      </c>
    </row>
    <row r="152" spans="1:20" hidden="1" x14ac:dyDescent="0.3">
      <c r="A152" t="s">
        <v>1438</v>
      </c>
      <c r="B152" t="s">
        <v>28</v>
      </c>
      <c r="C152" t="s">
        <v>29</v>
      </c>
      <c r="D152" t="s">
        <v>97</v>
      </c>
      <c r="E152">
        <v>2001</v>
      </c>
      <c r="F152" t="s">
        <v>31</v>
      </c>
      <c r="G152" t="s">
        <v>31</v>
      </c>
      <c r="H152" t="s">
        <v>2645</v>
      </c>
      <c r="I152" t="s">
        <v>34</v>
      </c>
      <c r="J152" t="s">
        <v>2851</v>
      </c>
      <c r="K152" t="s">
        <v>31</v>
      </c>
      <c r="L152" t="s">
        <v>31</v>
      </c>
      <c r="M152" t="s">
        <v>27</v>
      </c>
      <c r="N152" t="s">
        <v>27</v>
      </c>
      <c r="O152" t="s">
        <v>27</v>
      </c>
      <c r="P152" t="s">
        <v>31</v>
      </c>
      <c r="Q152" t="s">
        <v>31</v>
      </c>
      <c r="R152" t="s">
        <v>31</v>
      </c>
      <c r="S152" t="s">
        <v>31</v>
      </c>
      <c r="T152" t="s">
        <v>31</v>
      </c>
    </row>
    <row r="153" spans="1:20" hidden="1" x14ac:dyDescent="0.3">
      <c r="A153" t="s">
        <v>1439</v>
      </c>
      <c r="B153" t="s">
        <v>28</v>
      </c>
      <c r="C153" t="s">
        <v>29</v>
      </c>
      <c r="D153" t="s">
        <v>30</v>
      </c>
      <c r="E153">
        <v>2001</v>
      </c>
      <c r="F153" t="s">
        <v>31</v>
      </c>
      <c r="G153" t="s">
        <v>31</v>
      </c>
      <c r="H153" t="s">
        <v>2672</v>
      </c>
      <c r="I153" t="s">
        <v>73</v>
      </c>
      <c r="J153" t="s">
        <v>2852</v>
      </c>
      <c r="K153" t="s">
        <v>31</v>
      </c>
      <c r="L153" t="s">
        <v>31</v>
      </c>
      <c r="M153" t="s">
        <v>27</v>
      </c>
      <c r="N153" t="s">
        <v>27</v>
      </c>
      <c r="O153" t="s">
        <v>27</v>
      </c>
      <c r="P153" t="s">
        <v>31</v>
      </c>
      <c r="Q153" t="s">
        <v>31</v>
      </c>
      <c r="R153" t="s">
        <v>31</v>
      </c>
      <c r="S153" t="s">
        <v>31</v>
      </c>
      <c r="T153" t="s">
        <v>31</v>
      </c>
    </row>
    <row r="154" spans="1:20" hidden="1" x14ac:dyDescent="0.3">
      <c r="A154" t="s">
        <v>1440</v>
      </c>
      <c r="B154" t="s">
        <v>39</v>
      </c>
      <c r="C154" t="s">
        <v>40</v>
      </c>
      <c r="D154" t="s">
        <v>41</v>
      </c>
      <c r="E154">
        <v>2001</v>
      </c>
      <c r="F154" t="s">
        <v>31</v>
      </c>
      <c r="G154" t="s">
        <v>31</v>
      </c>
      <c r="H154" t="s">
        <v>2647</v>
      </c>
      <c r="I154" t="s">
        <v>47</v>
      </c>
      <c r="J154" t="s">
        <v>2853</v>
      </c>
      <c r="K154" t="s">
        <v>31</v>
      </c>
      <c r="L154" t="s">
        <v>31</v>
      </c>
      <c r="M154" t="s">
        <v>27</v>
      </c>
      <c r="N154" t="s">
        <v>27</v>
      </c>
      <c r="O154" t="s">
        <v>27</v>
      </c>
      <c r="P154" t="s">
        <v>31</v>
      </c>
      <c r="Q154">
        <v>120</v>
      </c>
      <c r="R154" t="s">
        <v>31</v>
      </c>
      <c r="S154" t="s">
        <v>31</v>
      </c>
      <c r="T154" t="s">
        <v>31</v>
      </c>
    </row>
    <row r="155" spans="1:20" hidden="1" x14ac:dyDescent="0.3">
      <c r="A155" t="s">
        <v>1441</v>
      </c>
      <c r="B155" t="s">
        <v>51</v>
      </c>
      <c r="C155" t="s">
        <v>37</v>
      </c>
      <c r="D155" t="s">
        <v>56</v>
      </c>
      <c r="E155">
        <v>2001</v>
      </c>
      <c r="F155" t="s">
        <v>31</v>
      </c>
      <c r="G155" t="s">
        <v>31</v>
      </c>
      <c r="H155" t="s">
        <v>2672</v>
      </c>
      <c r="I155" t="s">
        <v>73</v>
      </c>
      <c r="J155" t="s">
        <v>2854</v>
      </c>
      <c r="K155" t="s">
        <v>2652</v>
      </c>
      <c r="L155" t="s">
        <v>31</v>
      </c>
      <c r="M155" t="s">
        <v>27</v>
      </c>
      <c r="N155" t="s">
        <v>27</v>
      </c>
      <c r="O155" t="s">
        <v>27</v>
      </c>
      <c r="P155" t="s">
        <v>31</v>
      </c>
      <c r="Q155" t="s">
        <v>31</v>
      </c>
      <c r="R155" t="s">
        <v>31</v>
      </c>
      <c r="S155" t="s">
        <v>31</v>
      </c>
      <c r="T155" t="s">
        <v>31</v>
      </c>
    </row>
    <row r="156" spans="1:20" hidden="1" x14ac:dyDescent="0.3">
      <c r="A156" t="s">
        <v>1442</v>
      </c>
      <c r="B156" t="s">
        <v>28</v>
      </c>
      <c r="C156" t="s">
        <v>29</v>
      </c>
      <c r="D156" t="s">
        <v>97</v>
      </c>
      <c r="E156">
        <v>2001</v>
      </c>
      <c r="F156" t="s">
        <v>31</v>
      </c>
      <c r="G156" t="s">
        <v>31</v>
      </c>
      <c r="H156" t="s">
        <v>2645</v>
      </c>
      <c r="I156" t="s">
        <v>34</v>
      </c>
      <c r="J156" t="s">
        <v>2855</v>
      </c>
      <c r="K156" t="s">
        <v>31</v>
      </c>
      <c r="L156" t="s">
        <v>31</v>
      </c>
      <c r="M156" t="s">
        <v>27</v>
      </c>
      <c r="N156" t="s">
        <v>27</v>
      </c>
      <c r="O156" t="s">
        <v>27</v>
      </c>
      <c r="P156" t="s">
        <v>31</v>
      </c>
      <c r="Q156" t="s">
        <v>31</v>
      </c>
      <c r="R156" t="s">
        <v>31</v>
      </c>
      <c r="S156" t="s">
        <v>31</v>
      </c>
      <c r="T156" t="s">
        <v>31</v>
      </c>
    </row>
    <row r="157" spans="1:20" hidden="1" x14ac:dyDescent="0.3">
      <c r="A157" t="s">
        <v>1443</v>
      </c>
      <c r="B157" t="s">
        <v>28</v>
      </c>
      <c r="C157" t="s">
        <v>29</v>
      </c>
      <c r="D157" t="s">
        <v>30</v>
      </c>
      <c r="E157">
        <v>2001</v>
      </c>
      <c r="F157">
        <v>100</v>
      </c>
      <c r="G157" t="s">
        <v>31</v>
      </c>
      <c r="H157" t="s">
        <v>2719</v>
      </c>
      <c r="I157" t="s">
        <v>90</v>
      </c>
      <c r="J157" t="s">
        <v>2856</v>
      </c>
      <c r="K157" t="s">
        <v>31</v>
      </c>
      <c r="L157" t="s">
        <v>31</v>
      </c>
      <c r="M157" t="s">
        <v>27</v>
      </c>
      <c r="N157" t="s">
        <v>27</v>
      </c>
      <c r="O157" t="s">
        <v>27</v>
      </c>
      <c r="P157" t="s">
        <v>31</v>
      </c>
      <c r="Q157" t="s">
        <v>31</v>
      </c>
      <c r="R157" t="s">
        <v>31</v>
      </c>
      <c r="S157" t="s">
        <v>31</v>
      </c>
      <c r="T157" t="s">
        <v>31</v>
      </c>
    </row>
    <row r="158" spans="1:20" hidden="1" x14ac:dyDescent="0.3">
      <c r="A158" t="s">
        <v>1444</v>
      </c>
      <c r="B158" t="s">
        <v>28</v>
      </c>
      <c r="C158" t="s">
        <v>29</v>
      </c>
      <c r="D158" t="s">
        <v>30</v>
      </c>
      <c r="E158">
        <v>2001</v>
      </c>
      <c r="F158">
        <v>1000</v>
      </c>
      <c r="G158" t="s">
        <v>31</v>
      </c>
      <c r="H158" t="s">
        <v>2672</v>
      </c>
      <c r="I158" t="s">
        <v>73</v>
      </c>
      <c r="J158" t="s">
        <v>2857</v>
      </c>
      <c r="K158" t="s">
        <v>31</v>
      </c>
      <c r="L158" t="s">
        <v>31</v>
      </c>
      <c r="M158" t="s">
        <v>27</v>
      </c>
      <c r="N158" t="s">
        <v>27</v>
      </c>
      <c r="O158" t="s">
        <v>27</v>
      </c>
      <c r="P158" t="s">
        <v>31</v>
      </c>
      <c r="Q158" t="s">
        <v>31</v>
      </c>
      <c r="R158" t="s">
        <v>31</v>
      </c>
      <c r="S158" t="s">
        <v>31</v>
      </c>
      <c r="T158" t="s">
        <v>31</v>
      </c>
    </row>
    <row r="159" spans="1:20" hidden="1" x14ac:dyDescent="0.3">
      <c r="A159" t="s">
        <v>1445</v>
      </c>
      <c r="B159" t="s">
        <v>51</v>
      </c>
      <c r="C159" t="s">
        <v>37</v>
      </c>
      <c r="D159" t="s">
        <v>121</v>
      </c>
      <c r="E159">
        <v>2001</v>
      </c>
      <c r="F159">
        <v>750000</v>
      </c>
      <c r="G159" t="s">
        <v>31</v>
      </c>
      <c r="H159" t="s">
        <v>2658</v>
      </c>
      <c r="I159" t="s">
        <v>130</v>
      </c>
      <c r="J159" t="s">
        <v>2858</v>
      </c>
      <c r="K159" t="s">
        <v>2664</v>
      </c>
      <c r="L159" t="s">
        <v>31</v>
      </c>
      <c r="M159" t="s">
        <v>27</v>
      </c>
      <c r="N159" t="s">
        <v>27</v>
      </c>
      <c r="O159" t="s">
        <v>27</v>
      </c>
      <c r="P159" t="s">
        <v>31</v>
      </c>
      <c r="Q159">
        <v>4200</v>
      </c>
      <c r="R159" t="s">
        <v>31</v>
      </c>
      <c r="S159" t="s">
        <v>31</v>
      </c>
      <c r="T159" t="s">
        <v>2859</v>
      </c>
    </row>
    <row r="160" spans="1:20" hidden="1" x14ac:dyDescent="0.3">
      <c r="A160" t="s">
        <v>1446</v>
      </c>
      <c r="B160" t="s">
        <v>28</v>
      </c>
      <c r="C160" t="s">
        <v>29</v>
      </c>
      <c r="D160" t="s">
        <v>30</v>
      </c>
      <c r="E160">
        <v>2001</v>
      </c>
      <c r="F160">
        <v>60000</v>
      </c>
      <c r="G160" t="s">
        <v>31</v>
      </c>
      <c r="H160" t="s">
        <v>2860</v>
      </c>
      <c r="I160" t="s">
        <v>670</v>
      </c>
      <c r="J160" t="s">
        <v>31</v>
      </c>
      <c r="K160" t="s">
        <v>31</v>
      </c>
      <c r="L160" t="s">
        <v>31</v>
      </c>
      <c r="M160" t="s">
        <v>27</v>
      </c>
      <c r="N160" t="s">
        <v>27</v>
      </c>
      <c r="O160" t="s">
        <v>27</v>
      </c>
      <c r="P160" t="s">
        <v>31</v>
      </c>
      <c r="Q160" t="s">
        <v>31</v>
      </c>
      <c r="R160" t="s">
        <v>31</v>
      </c>
      <c r="S160" t="s">
        <v>31</v>
      </c>
      <c r="T160" t="s">
        <v>31</v>
      </c>
    </row>
    <row r="161" spans="1:20" hidden="1" x14ac:dyDescent="0.3">
      <c r="A161" t="s">
        <v>1447</v>
      </c>
      <c r="B161" t="s">
        <v>28</v>
      </c>
      <c r="C161" t="s">
        <v>29</v>
      </c>
      <c r="D161" t="s">
        <v>30</v>
      </c>
      <c r="E161">
        <v>2001</v>
      </c>
      <c r="F161">
        <v>1000</v>
      </c>
      <c r="G161" t="s">
        <v>31</v>
      </c>
      <c r="H161" t="s">
        <v>2675</v>
      </c>
      <c r="I161" t="s">
        <v>81</v>
      </c>
      <c r="J161" t="s">
        <v>2861</v>
      </c>
      <c r="K161" t="s">
        <v>31</v>
      </c>
      <c r="L161" t="s">
        <v>31</v>
      </c>
      <c r="M161" t="s">
        <v>27</v>
      </c>
      <c r="N161" t="s">
        <v>27</v>
      </c>
      <c r="O161" t="s">
        <v>27</v>
      </c>
      <c r="P161" t="s">
        <v>31</v>
      </c>
      <c r="Q161">
        <v>110</v>
      </c>
      <c r="R161" t="s">
        <v>31</v>
      </c>
      <c r="S161" t="s">
        <v>31</v>
      </c>
      <c r="T161" t="s">
        <v>31</v>
      </c>
    </row>
    <row r="162" spans="1:20" hidden="1" x14ac:dyDescent="0.3">
      <c r="A162" t="s">
        <v>1449</v>
      </c>
      <c r="B162" t="s">
        <v>28</v>
      </c>
      <c r="C162" t="s">
        <v>29</v>
      </c>
      <c r="D162" t="s">
        <v>30</v>
      </c>
      <c r="E162">
        <v>2001</v>
      </c>
      <c r="F162">
        <v>55487</v>
      </c>
      <c r="G162" t="s">
        <v>31</v>
      </c>
      <c r="H162" t="s">
        <v>2751</v>
      </c>
      <c r="I162" t="s">
        <v>234</v>
      </c>
      <c r="J162" t="s">
        <v>2862</v>
      </c>
      <c r="K162" t="s">
        <v>31</v>
      </c>
      <c r="L162" t="s">
        <v>31</v>
      </c>
      <c r="M162" t="s">
        <v>27</v>
      </c>
      <c r="N162" t="s">
        <v>27</v>
      </c>
      <c r="O162" t="s">
        <v>27</v>
      </c>
      <c r="P162" t="s">
        <v>31</v>
      </c>
      <c r="Q162">
        <v>120</v>
      </c>
      <c r="R162" t="s">
        <v>31</v>
      </c>
      <c r="S162" t="s">
        <v>31</v>
      </c>
      <c r="T162" t="s">
        <v>31</v>
      </c>
    </row>
    <row r="163" spans="1:20" hidden="1" x14ac:dyDescent="0.3">
      <c r="A163" t="s">
        <v>1450</v>
      </c>
      <c r="B163" t="s">
        <v>51</v>
      </c>
      <c r="C163" t="s">
        <v>2655</v>
      </c>
      <c r="D163" t="s">
        <v>134</v>
      </c>
      <c r="E163">
        <v>2001</v>
      </c>
      <c r="F163" t="s">
        <v>31</v>
      </c>
      <c r="G163" t="s">
        <v>31</v>
      </c>
      <c r="H163" t="s">
        <v>2647</v>
      </c>
      <c r="I163" t="s">
        <v>47</v>
      </c>
      <c r="J163" t="s">
        <v>2863</v>
      </c>
      <c r="K163" t="s">
        <v>31</v>
      </c>
      <c r="L163" t="s">
        <v>31</v>
      </c>
      <c r="M163" t="s">
        <v>27</v>
      </c>
      <c r="N163" t="s">
        <v>27</v>
      </c>
      <c r="O163" t="s">
        <v>27</v>
      </c>
      <c r="P163" t="s">
        <v>31</v>
      </c>
      <c r="Q163" t="s">
        <v>31</v>
      </c>
      <c r="R163" t="s">
        <v>31</v>
      </c>
      <c r="S163" t="s">
        <v>31</v>
      </c>
      <c r="T163" t="s">
        <v>31</v>
      </c>
    </row>
    <row r="164" spans="1:20" hidden="1" x14ac:dyDescent="0.3">
      <c r="A164" t="s">
        <v>1451</v>
      </c>
      <c r="B164" t="s">
        <v>51</v>
      </c>
      <c r="C164" t="s">
        <v>37</v>
      </c>
      <c r="D164" t="s">
        <v>121</v>
      </c>
      <c r="E164">
        <v>2001</v>
      </c>
      <c r="F164" t="s">
        <v>31</v>
      </c>
      <c r="G164" t="s">
        <v>31</v>
      </c>
      <c r="H164" t="s">
        <v>2647</v>
      </c>
      <c r="I164" t="s">
        <v>47</v>
      </c>
      <c r="J164" t="s">
        <v>2864</v>
      </c>
      <c r="K164" t="s">
        <v>31</v>
      </c>
      <c r="L164" t="s">
        <v>31</v>
      </c>
      <c r="M164" t="s">
        <v>27</v>
      </c>
      <c r="N164" t="s">
        <v>27</v>
      </c>
      <c r="O164" t="s">
        <v>27</v>
      </c>
      <c r="P164" t="s">
        <v>31</v>
      </c>
      <c r="Q164" t="s">
        <v>31</v>
      </c>
      <c r="R164" t="s">
        <v>31</v>
      </c>
      <c r="S164" t="s">
        <v>31</v>
      </c>
      <c r="T164" t="s">
        <v>31</v>
      </c>
    </row>
    <row r="165" spans="1:20" hidden="1" x14ac:dyDescent="0.3">
      <c r="A165" t="s">
        <v>1452</v>
      </c>
      <c r="B165" t="s">
        <v>91</v>
      </c>
      <c r="C165" t="s">
        <v>92</v>
      </c>
      <c r="D165" t="s">
        <v>93</v>
      </c>
      <c r="E165">
        <v>2001</v>
      </c>
      <c r="F165" t="s">
        <v>31</v>
      </c>
      <c r="G165" t="s">
        <v>2865</v>
      </c>
      <c r="H165" t="s">
        <v>2678</v>
      </c>
      <c r="I165" t="s">
        <v>53</v>
      </c>
      <c r="J165" t="s">
        <v>2866</v>
      </c>
      <c r="K165" t="s">
        <v>31</v>
      </c>
      <c r="L165" t="s">
        <v>31</v>
      </c>
      <c r="M165" t="s">
        <v>27</v>
      </c>
      <c r="N165" t="s">
        <v>27</v>
      </c>
      <c r="O165" t="s">
        <v>27</v>
      </c>
      <c r="P165" t="s">
        <v>31</v>
      </c>
      <c r="Q165">
        <v>5.8</v>
      </c>
      <c r="R165">
        <v>-15.35</v>
      </c>
      <c r="S165">
        <v>-72.516000000000005</v>
      </c>
      <c r="T165" t="s">
        <v>31</v>
      </c>
    </row>
    <row r="166" spans="1:20" hidden="1" x14ac:dyDescent="0.3">
      <c r="A166" t="s">
        <v>1453</v>
      </c>
      <c r="B166" t="s">
        <v>39</v>
      </c>
      <c r="C166" t="s">
        <v>157</v>
      </c>
      <c r="D166" t="s">
        <v>157</v>
      </c>
      <c r="E166">
        <v>2001</v>
      </c>
      <c r="F166" t="s">
        <v>31</v>
      </c>
      <c r="G166" t="s">
        <v>31</v>
      </c>
      <c r="H166" t="s">
        <v>2675</v>
      </c>
      <c r="I166" t="s">
        <v>81</v>
      </c>
      <c r="J166" t="s">
        <v>2867</v>
      </c>
      <c r="K166" t="s">
        <v>31</v>
      </c>
      <c r="L166" t="s">
        <v>196</v>
      </c>
      <c r="M166" t="s">
        <v>27</v>
      </c>
      <c r="N166" t="s">
        <v>33</v>
      </c>
      <c r="O166" t="s">
        <v>27</v>
      </c>
      <c r="P166" t="s">
        <v>31</v>
      </c>
      <c r="Q166">
        <v>1077</v>
      </c>
      <c r="R166" t="s">
        <v>31</v>
      </c>
      <c r="S166" t="s">
        <v>31</v>
      </c>
      <c r="T166" t="s">
        <v>31</v>
      </c>
    </row>
    <row r="167" spans="1:20" hidden="1" x14ac:dyDescent="0.3">
      <c r="A167" t="s">
        <v>1454</v>
      </c>
      <c r="B167" t="s">
        <v>39</v>
      </c>
      <c r="C167" t="s">
        <v>157</v>
      </c>
      <c r="D167" t="s">
        <v>157</v>
      </c>
      <c r="E167">
        <v>2001</v>
      </c>
      <c r="F167">
        <v>22400</v>
      </c>
      <c r="G167" t="s">
        <v>31</v>
      </c>
      <c r="H167" t="s">
        <v>2680</v>
      </c>
      <c r="I167" t="s">
        <v>115</v>
      </c>
      <c r="J167" t="s">
        <v>2868</v>
      </c>
      <c r="K167" t="s">
        <v>31</v>
      </c>
      <c r="L167" t="s">
        <v>31</v>
      </c>
      <c r="M167" t="s">
        <v>27</v>
      </c>
      <c r="N167" t="s">
        <v>27</v>
      </c>
      <c r="O167" t="s">
        <v>27</v>
      </c>
      <c r="P167" t="s">
        <v>31</v>
      </c>
      <c r="Q167">
        <v>450</v>
      </c>
      <c r="R167" t="s">
        <v>31</v>
      </c>
      <c r="S167" t="s">
        <v>31</v>
      </c>
      <c r="T167" t="s">
        <v>31</v>
      </c>
    </row>
    <row r="168" spans="1:20" hidden="1" x14ac:dyDescent="0.3">
      <c r="A168" t="s">
        <v>2144</v>
      </c>
      <c r="B168" t="s">
        <v>28</v>
      </c>
      <c r="C168" t="s">
        <v>29</v>
      </c>
      <c r="D168" t="s">
        <v>189</v>
      </c>
      <c r="E168">
        <v>2001</v>
      </c>
      <c r="F168" t="s">
        <v>31</v>
      </c>
      <c r="G168" t="s">
        <v>31</v>
      </c>
      <c r="H168" t="s">
        <v>2658</v>
      </c>
      <c r="I168" t="s">
        <v>130</v>
      </c>
      <c r="J168" t="s">
        <v>2818</v>
      </c>
      <c r="K168" t="s">
        <v>31</v>
      </c>
      <c r="L168" t="s">
        <v>31</v>
      </c>
      <c r="M168" t="s">
        <v>27</v>
      </c>
      <c r="N168" t="s">
        <v>27</v>
      </c>
      <c r="O168" t="s">
        <v>27</v>
      </c>
      <c r="P168" t="s">
        <v>31</v>
      </c>
      <c r="Q168">
        <v>200</v>
      </c>
      <c r="R168" t="s">
        <v>31</v>
      </c>
      <c r="S168" t="s">
        <v>31</v>
      </c>
      <c r="T168" t="s">
        <v>31</v>
      </c>
    </row>
    <row r="169" spans="1:20" hidden="1" x14ac:dyDescent="0.3">
      <c r="A169" t="s">
        <v>2145</v>
      </c>
      <c r="B169" t="s">
        <v>91</v>
      </c>
      <c r="C169" t="s">
        <v>92</v>
      </c>
      <c r="D169" t="s">
        <v>93</v>
      </c>
      <c r="E169">
        <v>2001</v>
      </c>
      <c r="F169">
        <v>348500</v>
      </c>
      <c r="G169" t="s">
        <v>2869</v>
      </c>
      <c r="H169" t="s">
        <v>2680</v>
      </c>
      <c r="I169" t="s">
        <v>115</v>
      </c>
      <c r="J169" t="s">
        <v>2870</v>
      </c>
      <c r="K169" t="s">
        <v>31</v>
      </c>
      <c r="L169" t="s">
        <v>54</v>
      </c>
      <c r="M169" t="s">
        <v>33</v>
      </c>
      <c r="N169" t="s">
        <v>27</v>
      </c>
      <c r="O169" t="s">
        <v>27</v>
      </c>
      <c r="P169" t="s">
        <v>31</v>
      </c>
      <c r="Q169">
        <v>6.6</v>
      </c>
      <c r="R169">
        <v>13.670999999999999</v>
      </c>
      <c r="S169">
        <v>-88.938000000000002</v>
      </c>
      <c r="T169" t="s">
        <v>31</v>
      </c>
    </row>
    <row r="170" spans="1:20" hidden="1" x14ac:dyDescent="0.3">
      <c r="A170" t="s">
        <v>2146</v>
      </c>
      <c r="B170" t="s">
        <v>28</v>
      </c>
      <c r="C170" t="s">
        <v>29</v>
      </c>
      <c r="D170" t="s">
        <v>189</v>
      </c>
      <c r="E170">
        <v>2001</v>
      </c>
      <c r="F170" t="s">
        <v>31</v>
      </c>
      <c r="G170" t="s">
        <v>31</v>
      </c>
      <c r="H170" t="s">
        <v>2739</v>
      </c>
      <c r="I170" t="s">
        <v>77</v>
      </c>
      <c r="J170" t="s">
        <v>2871</v>
      </c>
      <c r="K170" t="s">
        <v>31</v>
      </c>
      <c r="L170" t="s">
        <v>31</v>
      </c>
      <c r="M170" t="s">
        <v>27</v>
      </c>
      <c r="N170" t="s">
        <v>27</v>
      </c>
      <c r="O170" t="s">
        <v>27</v>
      </c>
      <c r="P170" t="s">
        <v>31</v>
      </c>
      <c r="Q170">
        <v>120</v>
      </c>
      <c r="R170" t="s">
        <v>31</v>
      </c>
      <c r="S170" t="s">
        <v>31</v>
      </c>
      <c r="T170" t="s">
        <v>31</v>
      </c>
    </row>
    <row r="171" spans="1:20" hidden="1" x14ac:dyDescent="0.3">
      <c r="A171" t="s">
        <v>2147</v>
      </c>
      <c r="B171" t="s">
        <v>28</v>
      </c>
      <c r="C171" t="s">
        <v>29</v>
      </c>
      <c r="D171" t="s">
        <v>67</v>
      </c>
      <c r="E171">
        <v>2001</v>
      </c>
      <c r="F171" t="s">
        <v>31</v>
      </c>
      <c r="G171" t="s">
        <v>31</v>
      </c>
      <c r="H171" t="s">
        <v>2645</v>
      </c>
      <c r="I171" t="s">
        <v>34</v>
      </c>
      <c r="J171" t="s">
        <v>2872</v>
      </c>
      <c r="K171" t="s">
        <v>31</v>
      </c>
      <c r="L171" t="s">
        <v>290</v>
      </c>
      <c r="M171" t="s">
        <v>27</v>
      </c>
      <c r="N171" t="s">
        <v>27</v>
      </c>
      <c r="O171" t="s">
        <v>27</v>
      </c>
      <c r="P171" t="s">
        <v>31</v>
      </c>
      <c r="Q171" t="s">
        <v>31</v>
      </c>
      <c r="R171" t="s">
        <v>31</v>
      </c>
      <c r="S171" t="s">
        <v>31</v>
      </c>
      <c r="T171" t="s">
        <v>31</v>
      </c>
    </row>
    <row r="172" spans="1:20" hidden="1" x14ac:dyDescent="0.3">
      <c r="A172" t="s">
        <v>2148</v>
      </c>
      <c r="B172" t="s">
        <v>51</v>
      </c>
      <c r="C172" t="s">
        <v>37</v>
      </c>
      <c r="D172" t="s">
        <v>56</v>
      </c>
      <c r="E172">
        <v>2001</v>
      </c>
      <c r="F172" t="s">
        <v>31</v>
      </c>
      <c r="G172" t="s">
        <v>31</v>
      </c>
      <c r="H172" t="s">
        <v>2666</v>
      </c>
      <c r="I172" t="s">
        <v>109</v>
      </c>
      <c r="J172" t="s">
        <v>2873</v>
      </c>
      <c r="K172" t="s">
        <v>2652</v>
      </c>
      <c r="L172" t="s">
        <v>31</v>
      </c>
      <c r="M172" t="s">
        <v>27</v>
      </c>
      <c r="N172" t="s">
        <v>27</v>
      </c>
      <c r="O172" t="s">
        <v>27</v>
      </c>
      <c r="P172" t="s">
        <v>31</v>
      </c>
      <c r="Q172">
        <v>2130</v>
      </c>
      <c r="R172" t="s">
        <v>31</v>
      </c>
      <c r="S172" t="s">
        <v>31</v>
      </c>
      <c r="T172" t="s">
        <v>31</v>
      </c>
    </row>
    <row r="173" spans="1:20" hidden="1" x14ac:dyDescent="0.3">
      <c r="A173" t="s">
        <v>2149</v>
      </c>
      <c r="B173" t="s">
        <v>28</v>
      </c>
      <c r="C173" t="s">
        <v>29</v>
      </c>
      <c r="D173" t="s">
        <v>97</v>
      </c>
      <c r="E173">
        <v>2001</v>
      </c>
      <c r="F173">
        <v>1800</v>
      </c>
      <c r="G173" t="s">
        <v>31</v>
      </c>
      <c r="H173" t="s">
        <v>2645</v>
      </c>
      <c r="I173" t="s">
        <v>34</v>
      </c>
      <c r="J173" t="s">
        <v>2874</v>
      </c>
      <c r="K173" t="s">
        <v>31</v>
      </c>
      <c r="L173" t="s">
        <v>31</v>
      </c>
      <c r="M173" t="s">
        <v>27</v>
      </c>
      <c r="N173" t="s">
        <v>27</v>
      </c>
      <c r="O173" t="s">
        <v>27</v>
      </c>
      <c r="P173" t="s">
        <v>31</v>
      </c>
      <c r="Q173" t="s">
        <v>31</v>
      </c>
      <c r="R173" t="s">
        <v>31</v>
      </c>
      <c r="S173" t="s">
        <v>31</v>
      </c>
      <c r="T173" t="s">
        <v>31</v>
      </c>
    </row>
    <row r="174" spans="1:20" hidden="1" x14ac:dyDescent="0.3">
      <c r="A174" t="s">
        <v>2150</v>
      </c>
      <c r="B174" t="s">
        <v>43</v>
      </c>
      <c r="C174" t="s">
        <v>2665</v>
      </c>
      <c r="D174" t="s">
        <v>627</v>
      </c>
      <c r="E174">
        <v>2001</v>
      </c>
      <c r="F174" t="s">
        <v>31</v>
      </c>
      <c r="G174" t="s">
        <v>31</v>
      </c>
      <c r="H174" t="s">
        <v>2739</v>
      </c>
      <c r="I174" t="s">
        <v>77</v>
      </c>
      <c r="J174" t="s">
        <v>2875</v>
      </c>
      <c r="K174" t="s">
        <v>31</v>
      </c>
      <c r="L174" t="s">
        <v>31</v>
      </c>
      <c r="M174" t="s">
        <v>27</v>
      </c>
      <c r="N174" t="s">
        <v>27</v>
      </c>
      <c r="O174" t="s">
        <v>27</v>
      </c>
      <c r="P174" t="s">
        <v>31</v>
      </c>
      <c r="Q174" t="s">
        <v>31</v>
      </c>
      <c r="R174" t="s">
        <v>31</v>
      </c>
      <c r="S174" t="s">
        <v>31</v>
      </c>
      <c r="T174" t="s">
        <v>31</v>
      </c>
    </row>
    <row r="175" spans="1:20" hidden="1" x14ac:dyDescent="0.3">
      <c r="A175" t="s">
        <v>2151</v>
      </c>
      <c r="B175" t="s">
        <v>51</v>
      </c>
      <c r="C175" t="s">
        <v>37</v>
      </c>
      <c r="D175" t="s">
        <v>121</v>
      </c>
      <c r="E175">
        <v>2001</v>
      </c>
      <c r="F175" t="s">
        <v>31</v>
      </c>
      <c r="G175" t="s">
        <v>31</v>
      </c>
      <c r="H175" t="s">
        <v>2656</v>
      </c>
      <c r="I175" t="s">
        <v>119</v>
      </c>
      <c r="J175" t="s">
        <v>2876</v>
      </c>
      <c r="K175" t="s">
        <v>2664</v>
      </c>
      <c r="L175" t="s">
        <v>31</v>
      </c>
      <c r="M175" t="s">
        <v>27</v>
      </c>
      <c r="N175" t="s">
        <v>27</v>
      </c>
      <c r="O175" t="s">
        <v>27</v>
      </c>
      <c r="P175" t="s">
        <v>31</v>
      </c>
      <c r="Q175">
        <v>5180</v>
      </c>
      <c r="R175" t="s">
        <v>31</v>
      </c>
      <c r="S175" t="s">
        <v>31</v>
      </c>
      <c r="T175" t="s">
        <v>2877</v>
      </c>
    </row>
    <row r="176" spans="1:20" hidden="1" x14ac:dyDescent="0.3">
      <c r="A176" t="s">
        <v>2152</v>
      </c>
      <c r="B176" t="s">
        <v>28</v>
      </c>
      <c r="C176" t="s">
        <v>29</v>
      </c>
      <c r="D176" t="s">
        <v>97</v>
      </c>
      <c r="E176">
        <v>2001</v>
      </c>
      <c r="F176" t="s">
        <v>31</v>
      </c>
      <c r="G176" t="s">
        <v>31</v>
      </c>
      <c r="H176" t="s">
        <v>2645</v>
      </c>
      <c r="I176" t="s">
        <v>34</v>
      </c>
      <c r="J176" t="s">
        <v>2878</v>
      </c>
      <c r="K176" t="s">
        <v>31</v>
      </c>
      <c r="L176" t="s">
        <v>31</v>
      </c>
      <c r="M176" t="s">
        <v>27</v>
      </c>
      <c r="N176" t="s">
        <v>27</v>
      </c>
      <c r="O176" t="s">
        <v>27</v>
      </c>
      <c r="P176" t="s">
        <v>31</v>
      </c>
      <c r="Q176" t="s">
        <v>31</v>
      </c>
      <c r="R176" t="s">
        <v>31</v>
      </c>
      <c r="S176" t="s">
        <v>31</v>
      </c>
      <c r="T176" t="s">
        <v>31</v>
      </c>
    </row>
    <row r="177" spans="1:20" hidden="1" x14ac:dyDescent="0.3">
      <c r="A177" t="s">
        <v>2153</v>
      </c>
      <c r="B177" t="s">
        <v>51</v>
      </c>
      <c r="C177" t="s">
        <v>37</v>
      </c>
      <c r="D177" t="s">
        <v>52</v>
      </c>
      <c r="E177">
        <v>2001</v>
      </c>
      <c r="F177" t="s">
        <v>31</v>
      </c>
      <c r="G177" t="s">
        <v>31</v>
      </c>
      <c r="H177" t="s">
        <v>2701</v>
      </c>
      <c r="I177" t="s">
        <v>60</v>
      </c>
      <c r="J177" t="s">
        <v>2879</v>
      </c>
      <c r="K177" t="s">
        <v>31</v>
      </c>
      <c r="L177" t="s">
        <v>31</v>
      </c>
      <c r="M177" t="s">
        <v>27</v>
      </c>
      <c r="N177" t="s">
        <v>27</v>
      </c>
      <c r="O177" t="s">
        <v>27</v>
      </c>
      <c r="P177" t="s">
        <v>31</v>
      </c>
      <c r="Q177">
        <v>30</v>
      </c>
      <c r="R177" t="s">
        <v>31</v>
      </c>
      <c r="S177" t="s">
        <v>31</v>
      </c>
      <c r="T177" t="s">
        <v>31</v>
      </c>
    </row>
    <row r="178" spans="1:20" hidden="1" x14ac:dyDescent="0.3">
      <c r="A178" t="s">
        <v>2154</v>
      </c>
      <c r="B178" t="s">
        <v>51</v>
      </c>
      <c r="C178" t="s">
        <v>37</v>
      </c>
      <c r="D178" t="s">
        <v>52</v>
      </c>
      <c r="E178">
        <v>2001</v>
      </c>
      <c r="F178" t="s">
        <v>31</v>
      </c>
      <c r="G178" t="s">
        <v>31</v>
      </c>
      <c r="H178" t="s">
        <v>2658</v>
      </c>
      <c r="I178" t="s">
        <v>130</v>
      </c>
      <c r="J178" t="s">
        <v>2880</v>
      </c>
      <c r="K178" t="s">
        <v>31</v>
      </c>
      <c r="L178" t="s">
        <v>31</v>
      </c>
      <c r="M178" t="s">
        <v>27</v>
      </c>
      <c r="N178" t="s">
        <v>27</v>
      </c>
      <c r="O178" t="s">
        <v>27</v>
      </c>
      <c r="P178" t="s">
        <v>31</v>
      </c>
      <c r="Q178" t="s">
        <v>31</v>
      </c>
      <c r="R178" t="s">
        <v>31</v>
      </c>
      <c r="S178" t="s">
        <v>31</v>
      </c>
      <c r="T178" t="s">
        <v>31</v>
      </c>
    </row>
    <row r="179" spans="1:20" hidden="1" x14ac:dyDescent="0.3">
      <c r="A179" t="s">
        <v>2155</v>
      </c>
      <c r="B179" t="s">
        <v>39</v>
      </c>
      <c r="C179" t="s">
        <v>40</v>
      </c>
      <c r="D179" t="s">
        <v>41</v>
      </c>
      <c r="E179">
        <v>2001</v>
      </c>
      <c r="F179" t="s">
        <v>31</v>
      </c>
      <c r="G179" t="s">
        <v>31</v>
      </c>
      <c r="H179" t="s">
        <v>2658</v>
      </c>
      <c r="I179" t="s">
        <v>130</v>
      </c>
      <c r="J179" t="s">
        <v>2881</v>
      </c>
      <c r="K179" t="s">
        <v>31</v>
      </c>
      <c r="L179" t="s">
        <v>31</v>
      </c>
      <c r="M179" t="s">
        <v>27</v>
      </c>
      <c r="N179" t="s">
        <v>27</v>
      </c>
      <c r="O179" t="s">
        <v>27</v>
      </c>
      <c r="P179" t="s">
        <v>31</v>
      </c>
      <c r="Q179">
        <v>600</v>
      </c>
      <c r="R179" t="s">
        <v>31</v>
      </c>
      <c r="S179" t="s">
        <v>31</v>
      </c>
      <c r="T179" t="s">
        <v>31</v>
      </c>
    </row>
    <row r="180" spans="1:20" hidden="1" x14ac:dyDescent="0.3">
      <c r="A180" t="s">
        <v>2156</v>
      </c>
      <c r="B180" t="s">
        <v>39</v>
      </c>
      <c r="C180" t="s">
        <v>40</v>
      </c>
      <c r="D180" t="s">
        <v>41</v>
      </c>
      <c r="E180">
        <v>2001</v>
      </c>
      <c r="F180" t="s">
        <v>31</v>
      </c>
      <c r="G180" t="s">
        <v>31</v>
      </c>
      <c r="H180" t="s">
        <v>2645</v>
      </c>
      <c r="I180" t="s">
        <v>34</v>
      </c>
      <c r="J180" t="s">
        <v>2882</v>
      </c>
      <c r="K180" t="s">
        <v>31</v>
      </c>
      <c r="L180" t="s">
        <v>31</v>
      </c>
      <c r="M180" t="s">
        <v>27</v>
      </c>
      <c r="N180" t="s">
        <v>27</v>
      </c>
      <c r="O180" t="s">
        <v>27</v>
      </c>
      <c r="P180" t="s">
        <v>31</v>
      </c>
      <c r="Q180">
        <v>797</v>
      </c>
      <c r="R180" t="s">
        <v>31</v>
      </c>
      <c r="S180" t="s">
        <v>31</v>
      </c>
      <c r="T180" t="s">
        <v>31</v>
      </c>
    </row>
    <row r="181" spans="1:20" hidden="1" x14ac:dyDescent="0.3">
      <c r="A181" t="s">
        <v>2157</v>
      </c>
      <c r="B181" t="s">
        <v>91</v>
      </c>
      <c r="C181" t="s">
        <v>2712</v>
      </c>
      <c r="D181" t="s">
        <v>105</v>
      </c>
      <c r="E181">
        <v>2001</v>
      </c>
      <c r="F181">
        <v>10975</v>
      </c>
      <c r="G181" t="s">
        <v>31</v>
      </c>
      <c r="H181" t="s">
        <v>2666</v>
      </c>
      <c r="I181" t="s">
        <v>109</v>
      </c>
      <c r="J181" t="s">
        <v>2883</v>
      </c>
      <c r="K181" t="s">
        <v>31</v>
      </c>
      <c r="L181" t="s">
        <v>31</v>
      </c>
      <c r="M181" t="s">
        <v>33</v>
      </c>
      <c r="N181" t="s">
        <v>27</v>
      </c>
      <c r="O181" t="s">
        <v>27</v>
      </c>
      <c r="P181">
        <v>420</v>
      </c>
      <c r="Q181" t="s">
        <v>31</v>
      </c>
      <c r="R181">
        <v>-1.4670000000000001</v>
      </c>
      <c r="S181">
        <v>-78.441999999999993</v>
      </c>
      <c r="T181" t="s">
        <v>31</v>
      </c>
    </row>
    <row r="182" spans="1:20" hidden="1" x14ac:dyDescent="0.3">
      <c r="A182" t="s">
        <v>2158</v>
      </c>
      <c r="B182" t="s">
        <v>51</v>
      </c>
      <c r="C182" t="s">
        <v>37</v>
      </c>
      <c r="D182" t="s">
        <v>121</v>
      </c>
      <c r="E182">
        <v>2001</v>
      </c>
      <c r="F182">
        <v>20000</v>
      </c>
      <c r="G182" t="s">
        <v>31</v>
      </c>
      <c r="H182" t="s">
        <v>2645</v>
      </c>
      <c r="I182" t="s">
        <v>34</v>
      </c>
      <c r="J182" t="s">
        <v>2884</v>
      </c>
      <c r="K182" t="s">
        <v>2664</v>
      </c>
      <c r="L182" t="s">
        <v>54</v>
      </c>
      <c r="M182" t="s">
        <v>27</v>
      </c>
      <c r="N182" t="s">
        <v>27</v>
      </c>
      <c r="O182" t="s">
        <v>27</v>
      </c>
      <c r="P182" t="s">
        <v>31</v>
      </c>
      <c r="Q182">
        <v>8530</v>
      </c>
      <c r="R182" t="s">
        <v>31</v>
      </c>
      <c r="S182" t="s">
        <v>31</v>
      </c>
      <c r="T182" t="s">
        <v>2885</v>
      </c>
    </row>
    <row r="183" spans="1:20" hidden="1" x14ac:dyDescent="0.3">
      <c r="A183" t="s">
        <v>2159</v>
      </c>
      <c r="B183" t="s">
        <v>28</v>
      </c>
      <c r="C183" t="s">
        <v>29</v>
      </c>
      <c r="D183" t="s">
        <v>97</v>
      </c>
      <c r="E183">
        <v>2001</v>
      </c>
      <c r="F183">
        <v>10000</v>
      </c>
      <c r="G183" t="s">
        <v>31</v>
      </c>
      <c r="H183" t="s">
        <v>2645</v>
      </c>
      <c r="I183" t="s">
        <v>34</v>
      </c>
      <c r="J183" t="s">
        <v>2886</v>
      </c>
      <c r="K183" t="s">
        <v>31</v>
      </c>
      <c r="L183" t="s">
        <v>31</v>
      </c>
      <c r="M183" t="s">
        <v>27</v>
      </c>
      <c r="N183" t="s">
        <v>27</v>
      </c>
      <c r="O183" t="s">
        <v>27</v>
      </c>
      <c r="P183" t="s">
        <v>31</v>
      </c>
      <c r="Q183" t="s">
        <v>31</v>
      </c>
      <c r="R183" t="s">
        <v>31</v>
      </c>
      <c r="S183" t="s">
        <v>31</v>
      </c>
      <c r="T183" t="s">
        <v>31</v>
      </c>
    </row>
    <row r="184" spans="1:20" hidden="1" x14ac:dyDescent="0.3">
      <c r="A184" t="s">
        <v>2160</v>
      </c>
      <c r="B184" t="s">
        <v>28</v>
      </c>
      <c r="C184" t="s">
        <v>29</v>
      </c>
      <c r="D184" t="s">
        <v>189</v>
      </c>
      <c r="E184">
        <v>2001</v>
      </c>
      <c r="F184" t="s">
        <v>31</v>
      </c>
      <c r="G184" t="s">
        <v>31</v>
      </c>
      <c r="H184" t="s">
        <v>2645</v>
      </c>
      <c r="I184" t="s">
        <v>34</v>
      </c>
      <c r="J184" t="s">
        <v>2887</v>
      </c>
      <c r="K184" t="s">
        <v>31</v>
      </c>
      <c r="L184" t="s">
        <v>65</v>
      </c>
      <c r="M184" t="s">
        <v>27</v>
      </c>
      <c r="N184" t="s">
        <v>27</v>
      </c>
      <c r="O184" t="s">
        <v>27</v>
      </c>
      <c r="P184" t="s">
        <v>31</v>
      </c>
      <c r="Q184" t="s">
        <v>31</v>
      </c>
      <c r="R184" t="s">
        <v>31</v>
      </c>
      <c r="S184" t="s">
        <v>31</v>
      </c>
      <c r="T184" t="s">
        <v>31</v>
      </c>
    </row>
    <row r="185" spans="1:20" hidden="1" x14ac:dyDescent="0.3">
      <c r="A185" t="s">
        <v>2161</v>
      </c>
      <c r="B185" t="s">
        <v>28</v>
      </c>
      <c r="C185" t="s">
        <v>29</v>
      </c>
      <c r="D185" t="s">
        <v>30</v>
      </c>
      <c r="E185">
        <v>2001</v>
      </c>
      <c r="F185">
        <v>10</v>
      </c>
      <c r="G185" t="s">
        <v>31</v>
      </c>
      <c r="H185" t="s">
        <v>2888</v>
      </c>
      <c r="I185" t="s">
        <v>75</v>
      </c>
      <c r="J185" t="s">
        <v>2889</v>
      </c>
      <c r="K185" t="s">
        <v>31</v>
      </c>
      <c r="L185" t="s">
        <v>31</v>
      </c>
      <c r="M185" t="s">
        <v>27</v>
      </c>
      <c r="N185" t="s">
        <v>27</v>
      </c>
      <c r="O185" t="s">
        <v>27</v>
      </c>
      <c r="P185" t="s">
        <v>31</v>
      </c>
      <c r="Q185" t="s">
        <v>31</v>
      </c>
      <c r="R185" t="s">
        <v>31</v>
      </c>
      <c r="S185" t="s">
        <v>31</v>
      </c>
      <c r="T185" t="s">
        <v>31</v>
      </c>
    </row>
    <row r="186" spans="1:20" hidden="1" x14ac:dyDescent="0.3">
      <c r="A186" t="s">
        <v>2162</v>
      </c>
      <c r="B186" t="s">
        <v>28</v>
      </c>
      <c r="C186" t="s">
        <v>29</v>
      </c>
      <c r="D186" t="s">
        <v>97</v>
      </c>
      <c r="E186">
        <v>2001</v>
      </c>
      <c r="F186">
        <v>4000</v>
      </c>
      <c r="G186" t="s">
        <v>31</v>
      </c>
      <c r="H186" t="s">
        <v>2645</v>
      </c>
      <c r="I186" t="s">
        <v>34</v>
      </c>
      <c r="J186" t="s">
        <v>2890</v>
      </c>
      <c r="K186" t="s">
        <v>31</v>
      </c>
      <c r="L186" t="s">
        <v>31</v>
      </c>
      <c r="M186" t="s">
        <v>27</v>
      </c>
      <c r="N186" t="s">
        <v>27</v>
      </c>
      <c r="O186" t="s">
        <v>27</v>
      </c>
      <c r="P186" t="s">
        <v>31</v>
      </c>
      <c r="Q186" t="s">
        <v>31</v>
      </c>
      <c r="R186" t="s">
        <v>31</v>
      </c>
      <c r="S186" t="s">
        <v>31</v>
      </c>
      <c r="T186" t="s">
        <v>31</v>
      </c>
    </row>
    <row r="187" spans="1:20" hidden="1" x14ac:dyDescent="0.3">
      <c r="A187" t="s">
        <v>2163</v>
      </c>
      <c r="B187" t="s">
        <v>28</v>
      </c>
      <c r="C187" t="s">
        <v>29</v>
      </c>
      <c r="D187" t="s">
        <v>30</v>
      </c>
      <c r="E187">
        <v>2001</v>
      </c>
      <c r="F187">
        <v>20</v>
      </c>
      <c r="G187" t="s">
        <v>31</v>
      </c>
      <c r="H187" t="s">
        <v>2749</v>
      </c>
      <c r="I187" t="s">
        <v>45</v>
      </c>
      <c r="J187" t="s">
        <v>2891</v>
      </c>
      <c r="K187" t="s">
        <v>31</v>
      </c>
      <c r="L187" t="s">
        <v>31</v>
      </c>
      <c r="M187" t="s">
        <v>27</v>
      </c>
      <c r="N187" t="s">
        <v>27</v>
      </c>
      <c r="O187" t="s">
        <v>27</v>
      </c>
      <c r="P187" t="s">
        <v>31</v>
      </c>
      <c r="Q187" t="s">
        <v>31</v>
      </c>
      <c r="R187" t="s">
        <v>31</v>
      </c>
      <c r="S187" t="s">
        <v>31</v>
      </c>
      <c r="T187" t="s">
        <v>31</v>
      </c>
    </row>
    <row r="188" spans="1:20" hidden="1" x14ac:dyDescent="0.3">
      <c r="A188" t="s">
        <v>2164</v>
      </c>
      <c r="B188" t="s">
        <v>28</v>
      </c>
      <c r="C188" t="s">
        <v>29</v>
      </c>
      <c r="D188" t="s">
        <v>30</v>
      </c>
      <c r="E188">
        <v>2001</v>
      </c>
      <c r="F188">
        <v>100000</v>
      </c>
      <c r="G188" t="s">
        <v>31</v>
      </c>
      <c r="H188" t="s">
        <v>2716</v>
      </c>
      <c r="I188" t="s">
        <v>242</v>
      </c>
      <c r="J188" t="s">
        <v>2892</v>
      </c>
      <c r="K188" t="s">
        <v>31</v>
      </c>
      <c r="L188" t="s">
        <v>31</v>
      </c>
      <c r="M188" t="s">
        <v>27</v>
      </c>
      <c r="N188" t="s">
        <v>27</v>
      </c>
      <c r="O188" t="s">
        <v>27</v>
      </c>
      <c r="P188" t="s">
        <v>31</v>
      </c>
      <c r="Q188">
        <v>250</v>
      </c>
      <c r="R188" t="s">
        <v>31</v>
      </c>
      <c r="S188" t="s">
        <v>31</v>
      </c>
      <c r="T188" t="s">
        <v>31</v>
      </c>
    </row>
    <row r="189" spans="1:20" hidden="1" x14ac:dyDescent="0.3">
      <c r="A189" t="s">
        <v>2165</v>
      </c>
      <c r="B189" t="s">
        <v>28</v>
      </c>
      <c r="C189" t="s">
        <v>29</v>
      </c>
      <c r="D189" t="s">
        <v>189</v>
      </c>
      <c r="E189">
        <v>2001</v>
      </c>
      <c r="F189" t="s">
        <v>31</v>
      </c>
      <c r="G189" t="s">
        <v>31</v>
      </c>
      <c r="H189" t="s">
        <v>2645</v>
      </c>
      <c r="I189" t="s">
        <v>34</v>
      </c>
      <c r="J189" t="s">
        <v>2893</v>
      </c>
      <c r="K189" t="s">
        <v>31</v>
      </c>
      <c r="L189" t="s">
        <v>31</v>
      </c>
      <c r="M189" t="s">
        <v>27</v>
      </c>
      <c r="N189" t="s">
        <v>27</v>
      </c>
      <c r="O189" t="s">
        <v>27</v>
      </c>
      <c r="P189" t="s">
        <v>31</v>
      </c>
      <c r="Q189" t="s">
        <v>31</v>
      </c>
      <c r="R189" t="s">
        <v>31</v>
      </c>
      <c r="S189" t="s">
        <v>31</v>
      </c>
      <c r="T189" t="s">
        <v>31</v>
      </c>
    </row>
    <row r="190" spans="1:20" hidden="1" x14ac:dyDescent="0.3">
      <c r="A190" t="s">
        <v>2166</v>
      </c>
      <c r="B190" t="s">
        <v>28</v>
      </c>
      <c r="C190" t="s">
        <v>29</v>
      </c>
      <c r="D190" t="s">
        <v>97</v>
      </c>
      <c r="E190">
        <v>2001</v>
      </c>
      <c r="F190">
        <v>3000</v>
      </c>
      <c r="G190" t="s">
        <v>31</v>
      </c>
      <c r="H190" t="s">
        <v>2645</v>
      </c>
      <c r="I190" t="s">
        <v>34</v>
      </c>
      <c r="J190" t="s">
        <v>2894</v>
      </c>
      <c r="K190" t="s">
        <v>31</v>
      </c>
      <c r="L190" t="s">
        <v>31</v>
      </c>
      <c r="M190" t="s">
        <v>27</v>
      </c>
      <c r="N190" t="s">
        <v>27</v>
      </c>
      <c r="O190" t="s">
        <v>27</v>
      </c>
      <c r="P190" t="s">
        <v>31</v>
      </c>
      <c r="Q190" t="s">
        <v>31</v>
      </c>
      <c r="R190" t="s">
        <v>31</v>
      </c>
      <c r="S190" t="s">
        <v>31</v>
      </c>
      <c r="T190" t="s">
        <v>31</v>
      </c>
    </row>
    <row r="191" spans="1:20" hidden="1" x14ac:dyDescent="0.3">
      <c r="A191" t="s">
        <v>501</v>
      </c>
      <c r="B191" t="s">
        <v>51</v>
      </c>
      <c r="C191" t="s">
        <v>37</v>
      </c>
      <c r="D191" t="s">
        <v>56</v>
      </c>
      <c r="E191">
        <v>2002</v>
      </c>
      <c r="F191" t="s">
        <v>31</v>
      </c>
      <c r="G191" t="s">
        <v>31</v>
      </c>
      <c r="H191" t="s">
        <v>2672</v>
      </c>
      <c r="I191" t="s">
        <v>73</v>
      </c>
      <c r="J191" t="s">
        <v>2895</v>
      </c>
      <c r="K191" t="s">
        <v>2896</v>
      </c>
      <c r="L191" t="s">
        <v>31</v>
      </c>
      <c r="M191" t="s">
        <v>27</v>
      </c>
      <c r="N191" t="s">
        <v>27</v>
      </c>
      <c r="O191" t="s">
        <v>27</v>
      </c>
      <c r="P191" t="s">
        <v>31</v>
      </c>
      <c r="Q191">
        <v>1000</v>
      </c>
      <c r="R191" t="s">
        <v>31</v>
      </c>
      <c r="S191" t="s">
        <v>31</v>
      </c>
      <c r="T191" t="s">
        <v>31</v>
      </c>
    </row>
    <row r="192" spans="1:20" hidden="1" x14ac:dyDescent="0.3">
      <c r="A192" t="s">
        <v>502</v>
      </c>
      <c r="B192" t="s">
        <v>43</v>
      </c>
      <c r="C192" t="s">
        <v>2665</v>
      </c>
      <c r="D192" t="s">
        <v>114</v>
      </c>
      <c r="E192">
        <v>2002</v>
      </c>
      <c r="F192" t="s">
        <v>31</v>
      </c>
      <c r="G192" t="s">
        <v>31</v>
      </c>
      <c r="H192" t="s">
        <v>2719</v>
      </c>
      <c r="I192" t="s">
        <v>90</v>
      </c>
      <c r="J192" t="s">
        <v>2897</v>
      </c>
      <c r="K192" t="s">
        <v>31</v>
      </c>
      <c r="L192" t="s">
        <v>31</v>
      </c>
      <c r="M192" t="s">
        <v>27</v>
      </c>
      <c r="N192" t="s">
        <v>27</v>
      </c>
      <c r="O192" t="s">
        <v>27</v>
      </c>
      <c r="P192" t="s">
        <v>31</v>
      </c>
      <c r="Q192" t="s">
        <v>31</v>
      </c>
      <c r="R192" t="s">
        <v>31</v>
      </c>
      <c r="S192" t="s">
        <v>31</v>
      </c>
      <c r="T192" t="s">
        <v>31</v>
      </c>
    </row>
    <row r="193" spans="1:20" hidden="1" x14ac:dyDescent="0.3">
      <c r="A193" t="s">
        <v>503</v>
      </c>
      <c r="B193" t="s">
        <v>43</v>
      </c>
      <c r="C193" t="s">
        <v>2665</v>
      </c>
      <c r="D193" t="s">
        <v>329</v>
      </c>
      <c r="E193">
        <v>2002</v>
      </c>
      <c r="F193" t="s">
        <v>31</v>
      </c>
      <c r="G193" t="s">
        <v>31</v>
      </c>
      <c r="H193" t="s">
        <v>2645</v>
      </c>
      <c r="I193" t="s">
        <v>34</v>
      </c>
      <c r="J193" t="s">
        <v>31</v>
      </c>
      <c r="K193" t="s">
        <v>31</v>
      </c>
      <c r="L193" t="s">
        <v>31</v>
      </c>
      <c r="M193" t="s">
        <v>27</v>
      </c>
      <c r="N193" t="s">
        <v>27</v>
      </c>
      <c r="O193" t="s">
        <v>27</v>
      </c>
      <c r="P193" t="s">
        <v>31</v>
      </c>
      <c r="Q193" t="s">
        <v>31</v>
      </c>
      <c r="R193" t="s">
        <v>31</v>
      </c>
      <c r="S193" t="s">
        <v>31</v>
      </c>
      <c r="T193" t="s">
        <v>31</v>
      </c>
    </row>
    <row r="194" spans="1:20" hidden="1" x14ac:dyDescent="0.3">
      <c r="A194" t="s">
        <v>505</v>
      </c>
      <c r="B194" t="s">
        <v>28</v>
      </c>
      <c r="C194" t="s">
        <v>29</v>
      </c>
      <c r="D194" t="s">
        <v>30</v>
      </c>
      <c r="E194">
        <v>2002</v>
      </c>
      <c r="F194" t="s">
        <v>31</v>
      </c>
      <c r="G194" t="s">
        <v>31</v>
      </c>
      <c r="H194" t="s">
        <v>2898</v>
      </c>
      <c r="I194" t="s">
        <v>446</v>
      </c>
      <c r="J194" t="s">
        <v>2899</v>
      </c>
      <c r="K194" t="s">
        <v>31</v>
      </c>
      <c r="L194" t="s">
        <v>54</v>
      </c>
      <c r="M194" t="s">
        <v>27</v>
      </c>
      <c r="N194" t="s">
        <v>27</v>
      </c>
      <c r="O194" t="s">
        <v>27</v>
      </c>
      <c r="P194" t="s">
        <v>31</v>
      </c>
      <c r="Q194" t="s">
        <v>31</v>
      </c>
      <c r="R194" t="s">
        <v>31</v>
      </c>
      <c r="S194" t="s">
        <v>31</v>
      </c>
      <c r="T194" t="s">
        <v>31</v>
      </c>
    </row>
    <row r="195" spans="1:20" hidden="1" x14ac:dyDescent="0.3">
      <c r="A195" t="s">
        <v>506</v>
      </c>
      <c r="B195" t="s">
        <v>51</v>
      </c>
      <c r="C195" t="s">
        <v>37</v>
      </c>
      <c r="D195" t="s">
        <v>121</v>
      </c>
      <c r="E195">
        <v>2002</v>
      </c>
      <c r="F195" t="s">
        <v>31</v>
      </c>
      <c r="G195" t="s">
        <v>31</v>
      </c>
      <c r="H195" t="s">
        <v>2672</v>
      </c>
      <c r="I195" t="s">
        <v>73</v>
      </c>
      <c r="J195" t="s">
        <v>2900</v>
      </c>
      <c r="K195" t="s">
        <v>2664</v>
      </c>
      <c r="L195" t="s">
        <v>31</v>
      </c>
      <c r="M195" t="s">
        <v>27</v>
      </c>
      <c r="N195" t="s">
        <v>27</v>
      </c>
      <c r="O195" t="s">
        <v>27</v>
      </c>
      <c r="P195" t="s">
        <v>31</v>
      </c>
      <c r="Q195">
        <v>35140</v>
      </c>
      <c r="R195" t="s">
        <v>31</v>
      </c>
      <c r="S195" t="s">
        <v>31</v>
      </c>
      <c r="T195" t="s">
        <v>2901</v>
      </c>
    </row>
    <row r="196" spans="1:20" hidden="1" x14ac:dyDescent="0.3">
      <c r="A196" t="s">
        <v>507</v>
      </c>
      <c r="B196" t="s">
        <v>28</v>
      </c>
      <c r="C196" t="s">
        <v>29</v>
      </c>
      <c r="D196" t="s">
        <v>30</v>
      </c>
      <c r="E196">
        <v>2002</v>
      </c>
      <c r="F196">
        <v>300000</v>
      </c>
      <c r="G196" t="s">
        <v>31</v>
      </c>
      <c r="H196" t="s">
        <v>2645</v>
      </c>
      <c r="I196" t="s">
        <v>34</v>
      </c>
      <c r="J196" t="s">
        <v>2902</v>
      </c>
      <c r="K196" t="s">
        <v>31</v>
      </c>
      <c r="L196" t="s">
        <v>31</v>
      </c>
      <c r="M196" t="s">
        <v>27</v>
      </c>
      <c r="N196" t="s">
        <v>27</v>
      </c>
      <c r="O196" t="s">
        <v>27</v>
      </c>
      <c r="P196" t="s">
        <v>31</v>
      </c>
      <c r="Q196">
        <v>105</v>
      </c>
      <c r="R196" t="s">
        <v>31</v>
      </c>
      <c r="S196" t="s">
        <v>31</v>
      </c>
      <c r="T196" t="s">
        <v>31</v>
      </c>
    </row>
    <row r="197" spans="1:20" hidden="1" x14ac:dyDescent="0.3">
      <c r="A197" t="s">
        <v>508</v>
      </c>
      <c r="B197" t="s">
        <v>28</v>
      </c>
      <c r="C197" t="s">
        <v>29</v>
      </c>
      <c r="D197" t="s">
        <v>30</v>
      </c>
      <c r="E197">
        <v>2002</v>
      </c>
      <c r="F197">
        <v>11000</v>
      </c>
      <c r="G197" t="s">
        <v>31</v>
      </c>
      <c r="H197" t="s">
        <v>2903</v>
      </c>
      <c r="I197" t="s">
        <v>148</v>
      </c>
      <c r="J197" t="s">
        <v>2904</v>
      </c>
      <c r="K197" t="s">
        <v>31</v>
      </c>
      <c r="L197" t="s">
        <v>31</v>
      </c>
      <c r="M197" t="s">
        <v>27</v>
      </c>
      <c r="N197" t="s">
        <v>27</v>
      </c>
      <c r="O197" t="s">
        <v>27</v>
      </c>
      <c r="P197" t="s">
        <v>31</v>
      </c>
      <c r="Q197" t="s">
        <v>31</v>
      </c>
      <c r="R197" t="s">
        <v>31</v>
      </c>
      <c r="S197" t="s">
        <v>31</v>
      </c>
      <c r="T197" t="s">
        <v>31</v>
      </c>
    </row>
    <row r="198" spans="1:20" hidden="1" x14ac:dyDescent="0.3">
      <c r="A198" t="s">
        <v>509</v>
      </c>
      <c r="B198" t="s">
        <v>51</v>
      </c>
      <c r="C198" t="s">
        <v>37</v>
      </c>
      <c r="D198" t="s">
        <v>121</v>
      </c>
      <c r="E198">
        <v>2002</v>
      </c>
      <c r="F198" t="s">
        <v>31</v>
      </c>
      <c r="G198" t="s">
        <v>31</v>
      </c>
      <c r="H198" t="s">
        <v>2678</v>
      </c>
      <c r="I198" t="s">
        <v>53</v>
      </c>
      <c r="J198" t="s">
        <v>2905</v>
      </c>
      <c r="K198" t="s">
        <v>31</v>
      </c>
      <c r="L198" t="s">
        <v>31</v>
      </c>
      <c r="M198" t="s">
        <v>27</v>
      </c>
      <c r="N198" t="s">
        <v>27</v>
      </c>
      <c r="O198" t="s">
        <v>27</v>
      </c>
      <c r="P198" t="s">
        <v>31</v>
      </c>
      <c r="Q198">
        <v>16</v>
      </c>
      <c r="R198" t="s">
        <v>31</v>
      </c>
      <c r="S198" t="s">
        <v>31</v>
      </c>
      <c r="T198" t="s">
        <v>31</v>
      </c>
    </row>
    <row r="199" spans="1:20" hidden="1" x14ac:dyDescent="0.3">
      <c r="A199" t="s">
        <v>511</v>
      </c>
      <c r="B199" t="s">
        <v>51</v>
      </c>
      <c r="C199" t="s">
        <v>2655</v>
      </c>
      <c r="D199" t="s">
        <v>150</v>
      </c>
      <c r="E199">
        <v>2002</v>
      </c>
      <c r="F199" t="s">
        <v>31</v>
      </c>
      <c r="G199" t="s">
        <v>31</v>
      </c>
      <c r="H199" t="s">
        <v>2647</v>
      </c>
      <c r="I199" t="s">
        <v>47</v>
      </c>
      <c r="J199" t="s">
        <v>2906</v>
      </c>
      <c r="K199" t="s">
        <v>31</v>
      </c>
      <c r="L199" t="s">
        <v>31</v>
      </c>
      <c r="M199" t="s">
        <v>27</v>
      </c>
      <c r="N199" t="s">
        <v>27</v>
      </c>
      <c r="O199" t="s">
        <v>27</v>
      </c>
      <c r="P199" t="s">
        <v>31</v>
      </c>
      <c r="Q199" t="s">
        <v>31</v>
      </c>
      <c r="R199" t="s">
        <v>31</v>
      </c>
      <c r="S199" t="s">
        <v>31</v>
      </c>
      <c r="T199" t="s">
        <v>31</v>
      </c>
    </row>
    <row r="200" spans="1:20" hidden="1" x14ac:dyDescent="0.3">
      <c r="A200" t="s">
        <v>512</v>
      </c>
      <c r="B200" t="s">
        <v>28</v>
      </c>
      <c r="C200" t="s">
        <v>29</v>
      </c>
      <c r="D200" t="s">
        <v>67</v>
      </c>
      <c r="E200">
        <v>2002</v>
      </c>
      <c r="F200">
        <v>450500</v>
      </c>
      <c r="G200" t="s">
        <v>31</v>
      </c>
      <c r="H200" t="s">
        <v>2645</v>
      </c>
      <c r="I200" t="s">
        <v>34</v>
      </c>
      <c r="J200" t="s">
        <v>2907</v>
      </c>
      <c r="K200" t="s">
        <v>31</v>
      </c>
      <c r="L200" t="s">
        <v>31</v>
      </c>
      <c r="M200" t="s">
        <v>27</v>
      </c>
      <c r="N200" t="s">
        <v>27</v>
      </c>
      <c r="O200" t="s">
        <v>27</v>
      </c>
      <c r="P200" t="s">
        <v>31</v>
      </c>
      <c r="Q200" t="s">
        <v>31</v>
      </c>
      <c r="R200" t="s">
        <v>31</v>
      </c>
      <c r="S200" t="s">
        <v>31</v>
      </c>
      <c r="T200" t="s">
        <v>31</v>
      </c>
    </row>
    <row r="201" spans="1:20" hidden="1" x14ac:dyDescent="0.3">
      <c r="A201" t="s">
        <v>513</v>
      </c>
      <c r="B201" t="s">
        <v>51</v>
      </c>
      <c r="C201" t="s">
        <v>37</v>
      </c>
      <c r="D201" t="s">
        <v>121</v>
      </c>
      <c r="E201">
        <v>2002</v>
      </c>
      <c r="F201" t="s">
        <v>31</v>
      </c>
      <c r="G201" t="s">
        <v>31</v>
      </c>
      <c r="H201" t="s">
        <v>2695</v>
      </c>
      <c r="I201" t="s">
        <v>161</v>
      </c>
      <c r="J201" t="s">
        <v>2908</v>
      </c>
      <c r="K201" t="s">
        <v>2649</v>
      </c>
      <c r="L201" t="s">
        <v>31</v>
      </c>
      <c r="M201" t="s">
        <v>33</v>
      </c>
      <c r="N201" t="s">
        <v>27</v>
      </c>
      <c r="O201" t="s">
        <v>33</v>
      </c>
      <c r="P201" t="s">
        <v>31</v>
      </c>
      <c r="Q201" t="s">
        <v>31</v>
      </c>
      <c r="R201" t="s">
        <v>31</v>
      </c>
      <c r="S201" t="s">
        <v>31</v>
      </c>
      <c r="T201" t="s">
        <v>31</v>
      </c>
    </row>
    <row r="202" spans="1:20" hidden="1" x14ac:dyDescent="0.3">
      <c r="A202" t="s">
        <v>514</v>
      </c>
      <c r="B202" t="s">
        <v>51</v>
      </c>
      <c r="C202" t="s">
        <v>2655</v>
      </c>
      <c r="D202" t="s">
        <v>150</v>
      </c>
      <c r="E202">
        <v>2002</v>
      </c>
      <c r="F202">
        <v>11000</v>
      </c>
      <c r="G202" t="s">
        <v>31</v>
      </c>
      <c r="H202" t="s">
        <v>2656</v>
      </c>
      <c r="I202" t="s">
        <v>119</v>
      </c>
      <c r="J202" t="s">
        <v>2909</v>
      </c>
      <c r="K202" t="s">
        <v>31</v>
      </c>
      <c r="L202" t="s">
        <v>37</v>
      </c>
      <c r="M202" t="s">
        <v>27</v>
      </c>
      <c r="N202" t="s">
        <v>27</v>
      </c>
      <c r="O202" t="s">
        <v>27</v>
      </c>
      <c r="P202" t="s">
        <v>31</v>
      </c>
      <c r="Q202" t="s">
        <v>31</v>
      </c>
      <c r="R202" t="s">
        <v>31</v>
      </c>
      <c r="S202" t="s">
        <v>31</v>
      </c>
      <c r="T202" t="s">
        <v>31</v>
      </c>
    </row>
    <row r="203" spans="1:20" hidden="1" x14ac:dyDescent="0.3">
      <c r="A203" t="s">
        <v>515</v>
      </c>
      <c r="B203" t="s">
        <v>39</v>
      </c>
      <c r="C203" t="s">
        <v>157</v>
      </c>
      <c r="D203" t="s">
        <v>157</v>
      </c>
      <c r="E203">
        <v>2002</v>
      </c>
      <c r="F203">
        <v>3300000</v>
      </c>
      <c r="G203" t="s">
        <v>31</v>
      </c>
      <c r="H203" t="s">
        <v>2645</v>
      </c>
      <c r="I203" t="s">
        <v>34</v>
      </c>
      <c r="J203" t="s">
        <v>2832</v>
      </c>
      <c r="K203" t="s">
        <v>31</v>
      </c>
      <c r="L203" t="s">
        <v>31</v>
      </c>
      <c r="M203" t="s">
        <v>27</v>
      </c>
      <c r="N203" t="s">
        <v>27</v>
      </c>
      <c r="O203" t="s">
        <v>27</v>
      </c>
      <c r="P203" t="s">
        <v>31</v>
      </c>
      <c r="Q203" t="s">
        <v>31</v>
      </c>
      <c r="R203" t="s">
        <v>31</v>
      </c>
      <c r="S203" t="s">
        <v>31</v>
      </c>
      <c r="T203" t="s">
        <v>31</v>
      </c>
    </row>
    <row r="204" spans="1:20" hidden="1" x14ac:dyDescent="0.3">
      <c r="A204" t="s">
        <v>729</v>
      </c>
      <c r="B204" t="s">
        <v>51</v>
      </c>
      <c r="C204" t="s">
        <v>37</v>
      </c>
      <c r="D204" t="s">
        <v>121</v>
      </c>
      <c r="E204">
        <v>2002</v>
      </c>
      <c r="F204" t="s">
        <v>31</v>
      </c>
      <c r="G204" t="s">
        <v>31</v>
      </c>
      <c r="H204" t="s">
        <v>2716</v>
      </c>
      <c r="I204" t="s">
        <v>242</v>
      </c>
      <c r="J204" t="s">
        <v>2910</v>
      </c>
      <c r="K204" t="s">
        <v>2664</v>
      </c>
      <c r="L204" t="s">
        <v>31</v>
      </c>
      <c r="M204" t="s">
        <v>27</v>
      </c>
      <c r="N204" t="s">
        <v>27</v>
      </c>
      <c r="O204" t="s">
        <v>27</v>
      </c>
      <c r="P204" t="s">
        <v>31</v>
      </c>
      <c r="Q204">
        <v>15870</v>
      </c>
      <c r="R204" t="s">
        <v>31</v>
      </c>
      <c r="S204" t="s">
        <v>31</v>
      </c>
      <c r="T204" t="s">
        <v>2911</v>
      </c>
    </row>
    <row r="205" spans="1:20" hidden="1" x14ac:dyDescent="0.3">
      <c r="A205" t="s">
        <v>764</v>
      </c>
      <c r="B205" t="s">
        <v>39</v>
      </c>
      <c r="C205" t="s">
        <v>40</v>
      </c>
      <c r="D205" t="s">
        <v>41</v>
      </c>
      <c r="E205">
        <v>2002</v>
      </c>
      <c r="F205">
        <v>200500</v>
      </c>
      <c r="G205" t="s">
        <v>31</v>
      </c>
      <c r="H205" t="s">
        <v>2645</v>
      </c>
      <c r="I205" t="s">
        <v>34</v>
      </c>
      <c r="J205" t="s">
        <v>2912</v>
      </c>
      <c r="K205" t="s">
        <v>31</v>
      </c>
      <c r="L205" t="s">
        <v>31</v>
      </c>
      <c r="M205" t="s">
        <v>27</v>
      </c>
      <c r="N205" t="s">
        <v>27</v>
      </c>
      <c r="O205" t="s">
        <v>27</v>
      </c>
      <c r="P205" t="s">
        <v>31</v>
      </c>
      <c r="Q205">
        <v>1320</v>
      </c>
      <c r="R205" t="s">
        <v>31</v>
      </c>
      <c r="S205" t="s">
        <v>31</v>
      </c>
      <c r="T205" t="s">
        <v>31</v>
      </c>
    </row>
    <row r="206" spans="1:20" hidden="1" x14ac:dyDescent="0.3">
      <c r="A206" t="s">
        <v>807</v>
      </c>
      <c r="B206" t="s">
        <v>39</v>
      </c>
      <c r="C206" t="s">
        <v>40</v>
      </c>
      <c r="D206" t="s">
        <v>41</v>
      </c>
      <c r="E206">
        <v>2002</v>
      </c>
      <c r="F206">
        <v>80000</v>
      </c>
      <c r="G206" t="s">
        <v>31</v>
      </c>
      <c r="H206" t="s">
        <v>2701</v>
      </c>
      <c r="I206" t="s">
        <v>60</v>
      </c>
      <c r="J206" t="s">
        <v>2913</v>
      </c>
      <c r="K206" t="s">
        <v>31</v>
      </c>
      <c r="L206" t="s">
        <v>31</v>
      </c>
      <c r="M206" t="s">
        <v>27</v>
      </c>
      <c r="N206" t="s">
        <v>27</v>
      </c>
      <c r="O206" t="s">
        <v>27</v>
      </c>
      <c r="P206" t="s">
        <v>31</v>
      </c>
      <c r="Q206">
        <v>170</v>
      </c>
      <c r="R206" t="s">
        <v>31</v>
      </c>
      <c r="S206" t="s">
        <v>31</v>
      </c>
      <c r="T206" t="s">
        <v>31</v>
      </c>
    </row>
    <row r="207" spans="1:20" hidden="1" x14ac:dyDescent="0.3">
      <c r="A207" t="s">
        <v>808</v>
      </c>
      <c r="B207" t="s">
        <v>51</v>
      </c>
      <c r="C207" t="s">
        <v>37</v>
      </c>
      <c r="D207" t="s">
        <v>121</v>
      </c>
      <c r="E207">
        <v>2002</v>
      </c>
      <c r="F207">
        <v>13000</v>
      </c>
      <c r="G207" t="s">
        <v>31</v>
      </c>
      <c r="H207" t="s">
        <v>2666</v>
      </c>
      <c r="I207" t="s">
        <v>109</v>
      </c>
      <c r="J207" t="s">
        <v>2914</v>
      </c>
      <c r="K207" t="s">
        <v>2649</v>
      </c>
      <c r="L207" t="s">
        <v>405</v>
      </c>
      <c r="M207" t="s">
        <v>27</v>
      </c>
      <c r="N207" t="s">
        <v>27</v>
      </c>
      <c r="O207" t="s">
        <v>27</v>
      </c>
      <c r="P207">
        <v>921</v>
      </c>
      <c r="Q207">
        <v>52930</v>
      </c>
      <c r="R207" t="s">
        <v>31</v>
      </c>
      <c r="S207" t="s">
        <v>31</v>
      </c>
      <c r="T207" t="s">
        <v>2915</v>
      </c>
    </row>
    <row r="208" spans="1:20" hidden="1" x14ac:dyDescent="0.3">
      <c r="A208" t="s">
        <v>809</v>
      </c>
      <c r="B208" t="s">
        <v>43</v>
      </c>
      <c r="C208" t="s">
        <v>2665</v>
      </c>
      <c r="D208" t="s">
        <v>114</v>
      </c>
      <c r="E208">
        <v>2002</v>
      </c>
      <c r="F208" t="s">
        <v>31</v>
      </c>
      <c r="G208" t="s">
        <v>31</v>
      </c>
      <c r="H208" t="s">
        <v>2656</v>
      </c>
      <c r="I208" t="s">
        <v>119</v>
      </c>
      <c r="J208" t="s">
        <v>2916</v>
      </c>
      <c r="K208" t="s">
        <v>31</v>
      </c>
      <c r="L208" t="s">
        <v>31</v>
      </c>
      <c r="M208" t="s">
        <v>27</v>
      </c>
      <c r="N208" t="s">
        <v>27</v>
      </c>
      <c r="O208" t="s">
        <v>27</v>
      </c>
      <c r="P208" t="s">
        <v>31</v>
      </c>
      <c r="Q208" t="s">
        <v>31</v>
      </c>
      <c r="R208" t="s">
        <v>31</v>
      </c>
      <c r="S208" t="s">
        <v>31</v>
      </c>
      <c r="T208" t="s">
        <v>31</v>
      </c>
    </row>
    <row r="209" spans="1:20" hidden="1" x14ac:dyDescent="0.3">
      <c r="A209" t="s">
        <v>810</v>
      </c>
      <c r="B209" t="s">
        <v>28</v>
      </c>
      <c r="C209" t="s">
        <v>29</v>
      </c>
      <c r="D209" t="s">
        <v>189</v>
      </c>
      <c r="E209">
        <v>2002</v>
      </c>
      <c r="F209">
        <v>25000</v>
      </c>
      <c r="G209" t="s">
        <v>31</v>
      </c>
      <c r="H209" t="s">
        <v>2730</v>
      </c>
      <c r="I209" t="s">
        <v>57</v>
      </c>
      <c r="J209" t="s">
        <v>2917</v>
      </c>
      <c r="K209" t="s">
        <v>31</v>
      </c>
      <c r="L209" t="s">
        <v>31</v>
      </c>
      <c r="M209" t="s">
        <v>27</v>
      </c>
      <c r="N209" t="s">
        <v>27</v>
      </c>
      <c r="O209" t="s">
        <v>27</v>
      </c>
      <c r="P209" t="s">
        <v>31</v>
      </c>
      <c r="Q209">
        <v>200</v>
      </c>
      <c r="R209" t="s">
        <v>31</v>
      </c>
      <c r="S209" t="s">
        <v>31</v>
      </c>
      <c r="T209" t="s">
        <v>31</v>
      </c>
    </row>
    <row r="210" spans="1:20" hidden="1" x14ac:dyDescent="0.3">
      <c r="A210" t="s">
        <v>811</v>
      </c>
      <c r="B210" t="s">
        <v>39</v>
      </c>
      <c r="C210" t="s">
        <v>40</v>
      </c>
      <c r="D210" t="s">
        <v>41</v>
      </c>
      <c r="E210">
        <v>2002</v>
      </c>
      <c r="F210" t="s">
        <v>31</v>
      </c>
      <c r="G210" t="s">
        <v>31</v>
      </c>
      <c r="H210" t="s">
        <v>2675</v>
      </c>
      <c r="I210" t="s">
        <v>81</v>
      </c>
      <c r="J210" t="s">
        <v>2918</v>
      </c>
      <c r="K210" t="s">
        <v>31</v>
      </c>
      <c r="L210" t="s">
        <v>31</v>
      </c>
      <c r="M210" t="s">
        <v>27</v>
      </c>
      <c r="N210" t="s">
        <v>27</v>
      </c>
      <c r="O210" t="s">
        <v>27</v>
      </c>
      <c r="P210" t="s">
        <v>31</v>
      </c>
      <c r="Q210" t="s">
        <v>31</v>
      </c>
      <c r="R210" t="s">
        <v>31</v>
      </c>
      <c r="S210" t="s">
        <v>31</v>
      </c>
      <c r="T210" t="s">
        <v>31</v>
      </c>
    </row>
    <row r="211" spans="1:20" hidden="1" x14ac:dyDescent="0.3">
      <c r="A211" t="s">
        <v>812</v>
      </c>
      <c r="B211" t="s">
        <v>51</v>
      </c>
      <c r="C211" t="s">
        <v>37</v>
      </c>
      <c r="D211" t="s">
        <v>121</v>
      </c>
      <c r="E211">
        <v>2002</v>
      </c>
      <c r="F211" t="s">
        <v>31</v>
      </c>
      <c r="G211" t="s">
        <v>31</v>
      </c>
      <c r="H211" t="s">
        <v>2647</v>
      </c>
      <c r="I211" t="s">
        <v>47</v>
      </c>
      <c r="J211" t="s">
        <v>2919</v>
      </c>
      <c r="K211" t="s">
        <v>2664</v>
      </c>
      <c r="L211" t="s">
        <v>31</v>
      </c>
      <c r="M211" t="s">
        <v>27</v>
      </c>
      <c r="N211" t="s">
        <v>27</v>
      </c>
      <c r="O211" t="s">
        <v>27</v>
      </c>
      <c r="P211" t="s">
        <v>31</v>
      </c>
      <c r="Q211">
        <v>483000</v>
      </c>
      <c r="R211" t="s">
        <v>31</v>
      </c>
      <c r="S211" t="s">
        <v>31</v>
      </c>
      <c r="T211" t="s">
        <v>31</v>
      </c>
    </row>
    <row r="212" spans="1:20" hidden="1" x14ac:dyDescent="0.3">
      <c r="A212" t="s">
        <v>813</v>
      </c>
      <c r="B212" t="s">
        <v>51</v>
      </c>
      <c r="C212" t="s">
        <v>37</v>
      </c>
      <c r="D212" t="s">
        <v>56</v>
      </c>
      <c r="E212">
        <v>2002</v>
      </c>
      <c r="F212">
        <v>1000</v>
      </c>
      <c r="G212" t="s">
        <v>31</v>
      </c>
      <c r="H212" t="s">
        <v>2749</v>
      </c>
      <c r="I212" t="s">
        <v>45</v>
      </c>
      <c r="J212" t="s">
        <v>2920</v>
      </c>
      <c r="K212" t="s">
        <v>2649</v>
      </c>
      <c r="L212" t="s">
        <v>54</v>
      </c>
      <c r="M212" t="s">
        <v>33</v>
      </c>
      <c r="N212" t="s">
        <v>27</v>
      </c>
      <c r="O212" t="s">
        <v>33</v>
      </c>
      <c r="P212">
        <v>50</v>
      </c>
      <c r="Q212" t="s">
        <v>31</v>
      </c>
      <c r="R212" t="s">
        <v>31</v>
      </c>
      <c r="S212" t="s">
        <v>31</v>
      </c>
      <c r="T212" t="s">
        <v>31</v>
      </c>
    </row>
    <row r="213" spans="1:20" hidden="1" x14ac:dyDescent="0.3">
      <c r="A213" t="s">
        <v>814</v>
      </c>
      <c r="B213" t="s">
        <v>51</v>
      </c>
      <c r="C213" t="s">
        <v>37</v>
      </c>
      <c r="D213" t="s">
        <v>121</v>
      </c>
      <c r="E213">
        <v>2002</v>
      </c>
      <c r="F213">
        <v>200000</v>
      </c>
      <c r="G213" t="s">
        <v>31</v>
      </c>
      <c r="H213" t="s">
        <v>2701</v>
      </c>
      <c r="I213" t="s">
        <v>60</v>
      </c>
      <c r="J213" t="s">
        <v>2921</v>
      </c>
      <c r="K213" t="s">
        <v>2649</v>
      </c>
      <c r="L213" t="s">
        <v>68</v>
      </c>
      <c r="M213" t="s">
        <v>33</v>
      </c>
      <c r="N213" t="s">
        <v>27</v>
      </c>
      <c r="O213" t="s">
        <v>27</v>
      </c>
      <c r="P213">
        <v>116</v>
      </c>
      <c r="Q213">
        <v>166900</v>
      </c>
      <c r="R213" t="s">
        <v>31</v>
      </c>
      <c r="S213" t="s">
        <v>31</v>
      </c>
      <c r="T213" t="s">
        <v>31</v>
      </c>
    </row>
    <row r="214" spans="1:20" hidden="1" x14ac:dyDescent="0.3">
      <c r="A214" t="s">
        <v>815</v>
      </c>
      <c r="B214" t="s">
        <v>51</v>
      </c>
      <c r="C214" t="s">
        <v>37</v>
      </c>
      <c r="D214" t="s">
        <v>121</v>
      </c>
      <c r="E214">
        <v>2002</v>
      </c>
      <c r="F214">
        <v>20000</v>
      </c>
      <c r="G214" t="s">
        <v>31</v>
      </c>
      <c r="H214" t="s">
        <v>2751</v>
      </c>
      <c r="I214" t="s">
        <v>234</v>
      </c>
      <c r="J214" t="s">
        <v>2922</v>
      </c>
      <c r="K214" t="s">
        <v>2649</v>
      </c>
      <c r="L214" t="s">
        <v>54</v>
      </c>
      <c r="M214" t="s">
        <v>33</v>
      </c>
      <c r="N214" t="s">
        <v>27</v>
      </c>
      <c r="O214" t="s">
        <v>27</v>
      </c>
      <c r="P214">
        <v>110</v>
      </c>
      <c r="Q214" t="s">
        <v>31</v>
      </c>
      <c r="R214" t="s">
        <v>31</v>
      </c>
      <c r="S214" t="s">
        <v>31</v>
      </c>
      <c r="T214" t="s">
        <v>31</v>
      </c>
    </row>
    <row r="215" spans="1:20" hidden="1" x14ac:dyDescent="0.3">
      <c r="A215" t="s">
        <v>816</v>
      </c>
      <c r="B215" t="s">
        <v>51</v>
      </c>
      <c r="C215" t="s">
        <v>37</v>
      </c>
      <c r="D215" t="s">
        <v>121</v>
      </c>
      <c r="E215">
        <v>2002</v>
      </c>
      <c r="F215">
        <v>100000</v>
      </c>
      <c r="G215" t="s">
        <v>31</v>
      </c>
      <c r="H215" t="s">
        <v>2753</v>
      </c>
      <c r="I215" t="s">
        <v>49</v>
      </c>
      <c r="J215" t="s">
        <v>2923</v>
      </c>
      <c r="K215" t="s">
        <v>2664</v>
      </c>
      <c r="L215" t="s">
        <v>31</v>
      </c>
      <c r="M215" t="s">
        <v>27</v>
      </c>
      <c r="N215" t="s">
        <v>27</v>
      </c>
      <c r="O215" t="s">
        <v>27</v>
      </c>
      <c r="P215">
        <v>1823</v>
      </c>
      <c r="Q215" t="s">
        <v>31</v>
      </c>
      <c r="R215" t="s">
        <v>31</v>
      </c>
      <c r="S215" t="s">
        <v>31</v>
      </c>
      <c r="T215" t="s">
        <v>2924</v>
      </c>
    </row>
    <row r="216" spans="1:20" hidden="1" x14ac:dyDescent="0.3">
      <c r="A216" t="s">
        <v>817</v>
      </c>
      <c r="B216" t="s">
        <v>39</v>
      </c>
      <c r="C216" t="s">
        <v>40</v>
      </c>
      <c r="D216" t="s">
        <v>41</v>
      </c>
      <c r="E216">
        <v>2002</v>
      </c>
      <c r="F216" t="s">
        <v>31</v>
      </c>
      <c r="G216" t="s">
        <v>31</v>
      </c>
      <c r="H216" t="s">
        <v>2739</v>
      </c>
      <c r="I216" t="s">
        <v>77</v>
      </c>
      <c r="J216" t="s">
        <v>2925</v>
      </c>
      <c r="K216" t="s">
        <v>31</v>
      </c>
      <c r="L216" t="s">
        <v>31</v>
      </c>
      <c r="M216" t="s">
        <v>27</v>
      </c>
      <c r="N216" t="s">
        <v>27</v>
      </c>
      <c r="O216" t="s">
        <v>27</v>
      </c>
      <c r="P216" t="s">
        <v>31</v>
      </c>
      <c r="Q216">
        <v>2670</v>
      </c>
      <c r="R216" t="s">
        <v>31</v>
      </c>
      <c r="S216" t="s">
        <v>31</v>
      </c>
      <c r="T216" t="s">
        <v>31</v>
      </c>
    </row>
    <row r="217" spans="1:20" hidden="1" x14ac:dyDescent="0.3">
      <c r="A217" t="s">
        <v>818</v>
      </c>
      <c r="B217" t="s">
        <v>28</v>
      </c>
      <c r="C217" t="s">
        <v>29</v>
      </c>
      <c r="D217" t="s">
        <v>67</v>
      </c>
      <c r="E217">
        <v>2002</v>
      </c>
      <c r="F217" t="s">
        <v>31</v>
      </c>
      <c r="G217" t="s">
        <v>31</v>
      </c>
      <c r="H217" t="s">
        <v>2669</v>
      </c>
      <c r="I217" t="s">
        <v>111</v>
      </c>
      <c r="J217" t="s">
        <v>2926</v>
      </c>
      <c r="K217" t="s">
        <v>31</v>
      </c>
      <c r="L217" t="s">
        <v>31</v>
      </c>
      <c r="M217" t="s">
        <v>33</v>
      </c>
      <c r="N217" t="s">
        <v>27</v>
      </c>
      <c r="O217" t="s">
        <v>33</v>
      </c>
      <c r="P217">
        <v>755</v>
      </c>
      <c r="Q217" t="s">
        <v>31</v>
      </c>
      <c r="R217" t="s">
        <v>31</v>
      </c>
      <c r="S217" t="s">
        <v>31</v>
      </c>
      <c r="T217" t="s">
        <v>31</v>
      </c>
    </row>
    <row r="218" spans="1:20" hidden="1" x14ac:dyDescent="0.3">
      <c r="A218" t="s">
        <v>819</v>
      </c>
      <c r="B218" t="s">
        <v>91</v>
      </c>
      <c r="C218" t="s">
        <v>2927</v>
      </c>
      <c r="D218" t="s">
        <v>687</v>
      </c>
      <c r="E218">
        <v>2002</v>
      </c>
      <c r="F218" t="s">
        <v>31</v>
      </c>
      <c r="G218" t="s">
        <v>31</v>
      </c>
      <c r="H218" t="s">
        <v>2666</v>
      </c>
      <c r="I218" t="s">
        <v>109</v>
      </c>
      <c r="J218" t="s">
        <v>2928</v>
      </c>
      <c r="K218" t="s">
        <v>31</v>
      </c>
      <c r="L218" t="s">
        <v>31</v>
      </c>
      <c r="M218" t="s">
        <v>27</v>
      </c>
      <c r="N218" t="s">
        <v>27</v>
      </c>
      <c r="O218" t="s">
        <v>27</v>
      </c>
      <c r="P218" t="s">
        <v>31</v>
      </c>
      <c r="Q218" t="s">
        <v>31</v>
      </c>
      <c r="R218" t="s">
        <v>31</v>
      </c>
      <c r="S218" t="s">
        <v>31</v>
      </c>
      <c r="T218" t="s">
        <v>31</v>
      </c>
    </row>
    <row r="219" spans="1:20" hidden="1" x14ac:dyDescent="0.3">
      <c r="A219" t="s">
        <v>820</v>
      </c>
      <c r="B219" t="s">
        <v>51</v>
      </c>
      <c r="C219" t="s">
        <v>37</v>
      </c>
      <c r="D219" t="s">
        <v>121</v>
      </c>
      <c r="E219">
        <v>2002</v>
      </c>
      <c r="F219">
        <v>3000</v>
      </c>
      <c r="G219" t="s">
        <v>31</v>
      </c>
      <c r="H219" t="s">
        <v>2709</v>
      </c>
      <c r="I219" t="s">
        <v>70</v>
      </c>
      <c r="J219" t="s">
        <v>2929</v>
      </c>
      <c r="K219" t="s">
        <v>2664</v>
      </c>
      <c r="L219" t="s">
        <v>31</v>
      </c>
      <c r="M219" t="s">
        <v>27</v>
      </c>
      <c r="N219" t="s">
        <v>27</v>
      </c>
      <c r="O219" t="s">
        <v>27</v>
      </c>
      <c r="P219">
        <v>2598</v>
      </c>
      <c r="Q219">
        <v>224900</v>
      </c>
      <c r="R219" t="s">
        <v>31</v>
      </c>
      <c r="S219" t="s">
        <v>31</v>
      </c>
      <c r="T219" t="s">
        <v>2930</v>
      </c>
    </row>
    <row r="220" spans="1:20" hidden="1" x14ac:dyDescent="0.3">
      <c r="A220" t="s">
        <v>864</v>
      </c>
      <c r="B220" t="s">
        <v>51</v>
      </c>
      <c r="C220" t="s">
        <v>37</v>
      </c>
      <c r="D220" t="s">
        <v>121</v>
      </c>
      <c r="E220">
        <v>2002</v>
      </c>
      <c r="F220" t="s">
        <v>31</v>
      </c>
      <c r="G220" t="s">
        <v>31</v>
      </c>
      <c r="H220" t="s">
        <v>2678</v>
      </c>
      <c r="I220" t="s">
        <v>53</v>
      </c>
      <c r="J220" t="s">
        <v>2931</v>
      </c>
      <c r="K220" t="s">
        <v>2664</v>
      </c>
      <c r="L220" t="s">
        <v>54</v>
      </c>
      <c r="M220" t="s">
        <v>27</v>
      </c>
      <c r="N220" t="s">
        <v>27</v>
      </c>
      <c r="O220" t="s">
        <v>27</v>
      </c>
      <c r="P220">
        <v>286</v>
      </c>
      <c r="Q220">
        <v>333200</v>
      </c>
      <c r="R220" t="s">
        <v>31</v>
      </c>
      <c r="S220" t="s">
        <v>31</v>
      </c>
      <c r="T220" t="s">
        <v>2932</v>
      </c>
    </row>
    <row r="221" spans="1:20" hidden="1" x14ac:dyDescent="0.3">
      <c r="A221" t="s">
        <v>865</v>
      </c>
      <c r="B221" t="s">
        <v>39</v>
      </c>
      <c r="C221" t="s">
        <v>40</v>
      </c>
      <c r="D221" t="s">
        <v>41</v>
      </c>
      <c r="E221">
        <v>2002</v>
      </c>
      <c r="F221">
        <v>6600</v>
      </c>
      <c r="G221" t="s">
        <v>31</v>
      </c>
      <c r="H221" t="s">
        <v>2645</v>
      </c>
      <c r="I221" t="s">
        <v>34</v>
      </c>
      <c r="J221" t="s">
        <v>2933</v>
      </c>
      <c r="K221" t="s">
        <v>31</v>
      </c>
      <c r="L221" t="s">
        <v>31</v>
      </c>
      <c r="M221" t="s">
        <v>27</v>
      </c>
      <c r="N221" t="s">
        <v>27</v>
      </c>
      <c r="O221" t="s">
        <v>27</v>
      </c>
      <c r="P221" t="s">
        <v>31</v>
      </c>
      <c r="Q221">
        <v>23</v>
      </c>
      <c r="R221" t="s">
        <v>31</v>
      </c>
      <c r="S221" t="s">
        <v>31</v>
      </c>
      <c r="T221" t="s">
        <v>31</v>
      </c>
    </row>
    <row r="222" spans="1:20" hidden="1" x14ac:dyDescent="0.3">
      <c r="A222" t="s">
        <v>866</v>
      </c>
      <c r="B222" t="s">
        <v>28</v>
      </c>
      <c r="C222" t="s">
        <v>29</v>
      </c>
      <c r="D222" t="s">
        <v>189</v>
      </c>
      <c r="E222">
        <v>2002</v>
      </c>
      <c r="F222">
        <v>400000</v>
      </c>
      <c r="G222" t="s">
        <v>31</v>
      </c>
      <c r="H222" t="s">
        <v>2645</v>
      </c>
      <c r="I222" t="s">
        <v>34</v>
      </c>
      <c r="J222" t="s">
        <v>2934</v>
      </c>
      <c r="K222" t="s">
        <v>31</v>
      </c>
      <c r="L222" t="s">
        <v>31</v>
      </c>
      <c r="M222" t="s">
        <v>27</v>
      </c>
      <c r="N222" t="s">
        <v>27</v>
      </c>
      <c r="O222" t="s">
        <v>27</v>
      </c>
      <c r="P222" t="s">
        <v>31</v>
      </c>
      <c r="Q222" t="s">
        <v>31</v>
      </c>
      <c r="R222" t="s">
        <v>31</v>
      </c>
      <c r="S222" t="s">
        <v>31</v>
      </c>
      <c r="T222" t="s">
        <v>31</v>
      </c>
    </row>
    <row r="223" spans="1:20" hidden="1" x14ac:dyDescent="0.3">
      <c r="A223" t="s">
        <v>867</v>
      </c>
      <c r="B223" t="s">
        <v>28</v>
      </c>
      <c r="C223" t="s">
        <v>29</v>
      </c>
      <c r="D223" t="s">
        <v>189</v>
      </c>
      <c r="E223">
        <v>2002</v>
      </c>
      <c r="F223">
        <v>200500</v>
      </c>
      <c r="G223" t="s">
        <v>31</v>
      </c>
      <c r="H223" t="s">
        <v>2645</v>
      </c>
      <c r="I223" t="s">
        <v>34</v>
      </c>
      <c r="J223" t="s">
        <v>2935</v>
      </c>
      <c r="K223" t="s">
        <v>31</v>
      </c>
      <c r="L223" t="s">
        <v>82</v>
      </c>
      <c r="M223" t="s">
        <v>27</v>
      </c>
      <c r="N223" t="s">
        <v>27</v>
      </c>
      <c r="O223" t="s">
        <v>27</v>
      </c>
      <c r="P223" t="s">
        <v>31</v>
      </c>
      <c r="Q223" t="s">
        <v>31</v>
      </c>
      <c r="R223" t="s">
        <v>31</v>
      </c>
      <c r="S223" t="s">
        <v>31</v>
      </c>
      <c r="T223" t="s">
        <v>2936</v>
      </c>
    </row>
    <row r="224" spans="1:20" hidden="1" x14ac:dyDescent="0.3">
      <c r="A224" t="s">
        <v>868</v>
      </c>
      <c r="B224" t="s">
        <v>51</v>
      </c>
      <c r="C224" t="s">
        <v>37</v>
      </c>
      <c r="D224" t="s">
        <v>121</v>
      </c>
      <c r="E224">
        <v>2002</v>
      </c>
      <c r="F224">
        <v>76000</v>
      </c>
      <c r="G224" t="s">
        <v>31</v>
      </c>
      <c r="H224" t="s">
        <v>2645</v>
      </c>
      <c r="I224" t="s">
        <v>34</v>
      </c>
      <c r="J224" t="s">
        <v>2937</v>
      </c>
      <c r="K224" t="s">
        <v>2664</v>
      </c>
      <c r="L224" t="s">
        <v>31</v>
      </c>
      <c r="M224" t="s">
        <v>27</v>
      </c>
      <c r="N224" t="s">
        <v>27</v>
      </c>
      <c r="O224" t="s">
        <v>27</v>
      </c>
      <c r="P224" t="s">
        <v>31</v>
      </c>
      <c r="Q224">
        <v>35390</v>
      </c>
      <c r="R224" t="s">
        <v>31</v>
      </c>
      <c r="S224" t="s">
        <v>31</v>
      </c>
      <c r="T224" t="s">
        <v>2938</v>
      </c>
    </row>
    <row r="225" spans="1:20" hidden="1" x14ac:dyDescent="0.3">
      <c r="A225" t="s">
        <v>869</v>
      </c>
      <c r="B225" t="s">
        <v>51</v>
      </c>
      <c r="C225" t="s">
        <v>37</v>
      </c>
      <c r="D225" t="s">
        <v>121</v>
      </c>
      <c r="E225">
        <v>2002</v>
      </c>
      <c r="F225" t="s">
        <v>31</v>
      </c>
      <c r="G225" t="s">
        <v>31</v>
      </c>
      <c r="H225" t="s">
        <v>2678</v>
      </c>
      <c r="I225" t="s">
        <v>53</v>
      </c>
      <c r="J225" t="s">
        <v>2939</v>
      </c>
      <c r="K225" t="s">
        <v>2664</v>
      </c>
      <c r="L225" t="s">
        <v>31</v>
      </c>
      <c r="M225" t="s">
        <v>27</v>
      </c>
      <c r="N225" t="s">
        <v>27</v>
      </c>
      <c r="O225" t="s">
        <v>27</v>
      </c>
      <c r="P225" t="s">
        <v>31</v>
      </c>
      <c r="Q225">
        <v>13770</v>
      </c>
      <c r="R225" t="s">
        <v>31</v>
      </c>
      <c r="S225" t="s">
        <v>31</v>
      </c>
      <c r="T225" t="s">
        <v>2940</v>
      </c>
    </row>
    <row r="226" spans="1:20" hidden="1" x14ac:dyDescent="0.3">
      <c r="A226" t="s">
        <v>870</v>
      </c>
      <c r="B226" t="s">
        <v>51</v>
      </c>
      <c r="C226" t="s">
        <v>37</v>
      </c>
      <c r="D226" t="s">
        <v>52</v>
      </c>
      <c r="E226">
        <v>2002</v>
      </c>
      <c r="F226" t="s">
        <v>31</v>
      </c>
      <c r="G226" t="s">
        <v>31</v>
      </c>
      <c r="H226" t="s">
        <v>2730</v>
      </c>
      <c r="I226" t="s">
        <v>57</v>
      </c>
      <c r="J226" t="s">
        <v>2941</v>
      </c>
      <c r="K226" t="s">
        <v>31</v>
      </c>
      <c r="L226" t="s">
        <v>31</v>
      </c>
      <c r="M226" t="s">
        <v>27</v>
      </c>
      <c r="N226" t="s">
        <v>27</v>
      </c>
      <c r="O226" t="s">
        <v>27</v>
      </c>
      <c r="P226" t="s">
        <v>31</v>
      </c>
      <c r="Q226" t="s">
        <v>31</v>
      </c>
      <c r="R226" t="s">
        <v>31</v>
      </c>
      <c r="S226" t="s">
        <v>31</v>
      </c>
      <c r="T226" t="s">
        <v>31</v>
      </c>
    </row>
    <row r="227" spans="1:20" hidden="1" x14ac:dyDescent="0.3">
      <c r="A227" t="s">
        <v>871</v>
      </c>
      <c r="B227" t="s">
        <v>51</v>
      </c>
      <c r="C227" t="s">
        <v>37</v>
      </c>
      <c r="D227" t="s">
        <v>121</v>
      </c>
      <c r="E227">
        <v>2002</v>
      </c>
      <c r="F227" t="s">
        <v>31</v>
      </c>
      <c r="G227" t="s">
        <v>31</v>
      </c>
      <c r="H227" t="s">
        <v>2680</v>
      </c>
      <c r="I227" t="s">
        <v>115</v>
      </c>
      <c r="J227" t="s">
        <v>2942</v>
      </c>
      <c r="K227" t="s">
        <v>2664</v>
      </c>
      <c r="L227" t="s">
        <v>31</v>
      </c>
      <c r="M227" t="s">
        <v>27</v>
      </c>
      <c r="N227" t="s">
        <v>27</v>
      </c>
      <c r="O227" t="s">
        <v>27</v>
      </c>
      <c r="P227" t="s">
        <v>31</v>
      </c>
      <c r="Q227" t="s">
        <v>31</v>
      </c>
      <c r="R227" t="s">
        <v>31</v>
      </c>
      <c r="S227" t="s">
        <v>31</v>
      </c>
      <c r="T227" t="s">
        <v>31</v>
      </c>
    </row>
    <row r="228" spans="1:20" hidden="1" x14ac:dyDescent="0.3">
      <c r="A228" t="s">
        <v>872</v>
      </c>
      <c r="B228" t="s">
        <v>51</v>
      </c>
      <c r="C228" t="s">
        <v>37</v>
      </c>
      <c r="D228" t="s">
        <v>121</v>
      </c>
      <c r="E228">
        <v>2002</v>
      </c>
      <c r="F228">
        <v>1000</v>
      </c>
      <c r="G228" t="s">
        <v>31</v>
      </c>
      <c r="H228" t="s">
        <v>2695</v>
      </c>
      <c r="I228" t="s">
        <v>161</v>
      </c>
      <c r="J228" t="s">
        <v>2943</v>
      </c>
      <c r="K228" t="s">
        <v>2664</v>
      </c>
      <c r="L228" t="s">
        <v>31</v>
      </c>
      <c r="M228" t="s">
        <v>27</v>
      </c>
      <c r="N228" t="s">
        <v>27</v>
      </c>
      <c r="O228" t="s">
        <v>27</v>
      </c>
      <c r="P228">
        <v>50</v>
      </c>
      <c r="Q228" t="s">
        <v>31</v>
      </c>
      <c r="R228" t="s">
        <v>31</v>
      </c>
      <c r="S228" t="s">
        <v>31</v>
      </c>
      <c r="T228" t="s">
        <v>31</v>
      </c>
    </row>
    <row r="229" spans="1:20" hidden="1" x14ac:dyDescent="0.3">
      <c r="A229" t="s">
        <v>873</v>
      </c>
      <c r="B229" t="s">
        <v>28</v>
      </c>
      <c r="C229" t="s">
        <v>29</v>
      </c>
      <c r="D229" t="s">
        <v>97</v>
      </c>
      <c r="E229">
        <v>2002</v>
      </c>
      <c r="F229" t="s">
        <v>31</v>
      </c>
      <c r="G229" t="s">
        <v>31</v>
      </c>
      <c r="H229" t="s">
        <v>2645</v>
      </c>
      <c r="I229" t="s">
        <v>34</v>
      </c>
      <c r="J229" t="s">
        <v>2944</v>
      </c>
      <c r="K229" t="s">
        <v>31</v>
      </c>
      <c r="L229" t="s">
        <v>31</v>
      </c>
      <c r="M229" t="s">
        <v>27</v>
      </c>
      <c r="N229" t="s">
        <v>27</v>
      </c>
      <c r="O229" t="s">
        <v>27</v>
      </c>
      <c r="P229" t="s">
        <v>31</v>
      </c>
      <c r="Q229" t="s">
        <v>31</v>
      </c>
      <c r="R229" t="s">
        <v>31</v>
      </c>
      <c r="S229" t="s">
        <v>31</v>
      </c>
      <c r="T229" t="s">
        <v>31</v>
      </c>
    </row>
    <row r="230" spans="1:20" hidden="1" x14ac:dyDescent="0.3">
      <c r="A230" t="s">
        <v>874</v>
      </c>
      <c r="B230" t="s">
        <v>39</v>
      </c>
      <c r="C230" t="s">
        <v>40</v>
      </c>
      <c r="D230" t="s">
        <v>59</v>
      </c>
      <c r="E230">
        <v>2002</v>
      </c>
      <c r="F230" t="s">
        <v>31</v>
      </c>
      <c r="G230" t="s">
        <v>31</v>
      </c>
      <c r="H230" t="s">
        <v>2645</v>
      </c>
      <c r="I230" t="s">
        <v>34</v>
      </c>
      <c r="J230" t="s">
        <v>2912</v>
      </c>
      <c r="K230" t="s">
        <v>31</v>
      </c>
      <c r="L230" t="s">
        <v>31</v>
      </c>
      <c r="M230" t="s">
        <v>27</v>
      </c>
      <c r="N230" t="s">
        <v>27</v>
      </c>
      <c r="O230" t="s">
        <v>27</v>
      </c>
      <c r="P230" t="s">
        <v>31</v>
      </c>
      <c r="Q230">
        <v>145</v>
      </c>
      <c r="R230" t="s">
        <v>31</v>
      </c>
      <c r="S230" t="s">
        <v>31</v>
      </c>
      <c r="T230" t="s">
        <v>31</v>
      </c>
    </row>
    <row r="231" spans="1:20" hidden="1" x14ac:dyDescent="0.3">
      <c r="A231" t="s">
        <v>875</v>
      </c>
      <c r="B231" t="s">
        <v>39</v>
      </c>
      <c r="C231" t="s">
        <v>40</v>
      </c>
      <c r="D231" t="s">
        <v>41</v>
      </c>
      <c r="E231">
        <v>2002</v>
      </c>
      <c r="F231">
        <v>20000</v>
      </c>
      <c r="G231" t="s">
        <v>31</v>
      </c>
      <c r="H231" t="s">
        <v>2645</v>
      </c>
      <c r="I231" t="s">
        <v>34</v>
      </c>
      <c r="J231" t="s">
        <v>2945</v>
      </c>
      <c r="K231" t="s">
        <v>31</v>
      </c>
      <c r="L231" t="s">
        <v>31</v>
      </c>
      <c r="M231" t="s">
        <v>27</v>
      </c>
      <c r="N231" t="s">
        <v>27</v>
      </c>
      <c r="O231" t="s">
        <v>27</v>
      </c>
      <c r="P231" t="s">
        <v>31</v>
      </c>
      <c r="Q231">
        <v>770</v>
      </c>
      <c r="R231" t="s">
        <v>31</v>
      </c>
      <c r="S231" t="s">
        <v>31</v>
      </c>
      <c r="T231" t="s">
        <v>31</v>
      </c>
    </row>
    <row r="232" spans="1:20" hidden="1" x14ac:dyDescent="0.3">
      <c r="A232" t="s">
        <v>876</v>
      </c>
      <c r="B232" t="s">
        <v>28</v>
      </c>
      <c r="C232" t="s">
        <v>2685</v>
      </c>
      <c r="D232" t="s">
        <v>95</v>
      </c>
      <c r="E232">
        <v>2002</v>
      </c>
      <c r="F232" t="s">
        <v>31</v>
      </c>
      <c r="G232" t="s">
        <v>31</v>
      </c>
      <c r="H232" t="s">
        <v>2645</v>
      </c>
      <c r="I232" t="s">
        <v>34</v>
      </c>
      <c r="J232" t="s">
        <v>2912</v>
      </c>
      <c r="K232" t="s">
        <v>31</v>
      </c>
      <c r="L232" t="s">
        <v>31</v>
      </c>
      <c r="M232" t="s">
        <v>27</v>
      </c>
      <c r="N232" t="s">
        <v>27</v>
      </c>
      <c r="O232" t="s">
        <v>27</v>
      </c>
      <c r="P232" t="s">
        <v>31</v>
      </c>
      <c r="Q232" t="s">
        <v>31</v>
      </c>
      <c r="R232" t="s">
        <v>31</v>
      </c>
      <c r="S232" t="s">
        <v>31</v>
      </c>
      <c r="T232" t="s">
        <v>31</v>
      </c>
    </row>
    <row r="233" spans="1:20" hidden="1" x14ac:dyDescent="0.3">
      <c r="A233" t="s">
        <v>877</v>
      </c>
      <c r="B233" t="s">
        <v>91</v>
      </c>
      <c r="C233" t="s">
        <v>92</v>
      </c>
      <c r="D233" t="s">
        <v>93</v>
      </c>
      <c r="E233">
        <v>2002</v>
      </c>
      <c r="F233" t="s">
        <v>31</v>
      </c>
      <c r="G233" t="s">
        <v>2946</v>
      </c>
      <c r="H233" t="s">
        <v>2658</v>
      </c>
      <c r="I233" t="s">
        <v>130</v>
      </c>
      <c r="J233" t="s">
        <v>2947</v>
      </c>
      <c r="K233" t="s">
        <v>31</v>
      </c>
      <c r="L233" t="s">
        <v>54</v>
      </c>
      <c r="M233" t="s">
        <v>27</v>
      </c>
      <c r="N233" t="s">
        <v>27</v>
      </c>
      <c r="O233" t="s">
        <v>27</v>
      </c>
      <c r="P233" t="s">
        <v>31</v>
      </c>
      <c r="Q233">
        <v>6</v>
      </c>
      <c r="R233">
        <v>-28.937000000000001</v>
      </c>
      <c r="S233">
        <v>-66.796999999999997</v>
      </c>
      <c r="T233" t="s">
        <v>31</v>
      </c>
    </row>
    <row r="234" spans="1:20" hidden="1" x14ac:dyDescent="0.3">
      <c r="A234" t="s">
        <v>878</v>
      </c>
      <c r="B234" t="s">
        <v>43</v>
      </c>
      <c r="C234" t="s">
        <v>2665</v>
      </c>
      <c r="D234" t="s">
        <v>114</v>
      </c>
      <c r="E234">
        <v>2002</v>
      </c>
      <c r="F234" t="s">
        <v>31</v>
      </c>
      <c r="G234" t="s">
        <v>31</v>
      </c>
      <c r="H234" t="s">
        <v>2680</v>
      </c>
      <c r="I234" t="s">
        <v>115</v>
      </c>
      <c r="J234" t="s">
        <v>2948</v>
      </c>
      <c r="K234" t="s">
        <v>31</v>
      </c>
      <c r="L234" t="s">
        <v>31</v>
      </c>
      <c r="M234" t="s">
        <v>27</v>
      </c>
      <c r="N234" t="s">
        <v>27</v>
      </c>
      <c r="O234" t="s">
        <v>27</v>
      </c>
      <c r="P234" t="s">
        <v>31</v>
      </c>
      <c r="Q234" t="s">
        <v>31</v>
      </c>
      <c r="R234" t="s">
        <v>31</v>
      </c>
      <c r="S234" t="s">
        <v>31</v>
      </c>
      <c r="T234" t="s">
        <v>31</v>
      </c>
    </row>
    <row r="235" spans="1:20" hidden="1" x14ac:dyDescent="0.3">
      <c r="A235" t="s">
        <v>879</v>
      </c>
      <c r="B235" t="s">
        <v>51</v>
      </c>
      <c r="C235" t="s">
        <v>37</v>
      </c>
      <c r="D235" t="s">
        <v>121</v>
      </c>
      <c r="E235">
        <v>2002</v>
      </c>
      <c r="F235">
        <v>1000000</v>
      </c>
      <c r="G235" t="s">
        <v>31</v>
      </c>
      <c r="H235" t="s">
        <v>2645</v>
      </c>
      <c r="I235" t="s">
        <v>34</v>
      </c>
      <c r="J235" t="s">
        <v>2949</v>
      </c>
      <c r="K235" t="s">
        <v>2664</v>
      </c>
      <c r="L235" t="s">
        <v>31</v>
      </c>
      <c r="M235" t="s">
        <v>27</v>
      </c>
      <c r="N235" t="s">
        <v>27</v>
      </c>
      <c r="O235" t="s">
        <v>27</v>
      </c>
      <c r="P235" t="s">
        <v>31</v>
      </c>
      <c r="Q235">
        <v>108300</v>
      </c>
      <c r="R235" t="s">
        <v>31</v>
      </c>
      <c r="S235" t="s">
        <v>31</v>
      </c>
      <c r="T235" t="s">
        <v>2950</v>
      </c>
    </row>
    <row r="236" spans="1:20" hidden="1" x14ac:dyDescent="0.3">
      <c r="A236" t="s">
        <v>880</v>
      </c>
      <c r="B236" t="s">
        <v>43</v>
      </c>
      <c r="C236" t="s">
        <v>2665</v>
      </c>
      <c r="D236" t="s">
        <v>114</v>
      </c>
      <c r="E236">
        <v>2002</v>
      </c>
      <c r="F236" t="s">
        <v>31</v>
      </c>
      <c r="G236" t="s">
        <v>31</v>
      </c>
      <c r="H236" t="s">
        <v>2753</v>
      </c>
      <c r="I236" t="s">
        <v>49</v>
      </c>
      <c r="J236" t="s">
        <v>2951</v>
      </c>
      <c r="K236" t="s">
        <v>31</v>
      </c>
      <c r="L236" t="s">
        <v>31</v>
      </c>
      <c r="M236" t="s">
        <v>27</v>
      </c>
      <c r="N236" t="s">
        <v>27</v>
      </c>
      <c r="O236" t="s">
        <v>27</v>
      </c>
      <c r="P236" t="s">
        <v>31</v>
      </c>
      <c r="Q236" t="s">
        <v>31</v>
      </c>
      <c r="R236" t="s">
        <v>31</v>
      </c>
      <c r="S236" t="s">
        <v>31</v>
      </c>
      <c r="T236" t="s">
        <v>31</v>
      </c>
    </row>
    <row r="237" spans="1:20" hidden="1" x14ac:dyDescent="0.3">
      <c r="A237" t="s">
        <v>881</v>
      </c>
      <c r="B237" t="s">
        <v>28</v>
      </c>
      <c r="C237" t="s">
        <v>29</v>
      </c>
      <c r="D237" t="s">
        <v>65</v>
      </c>
      <c r="E237">
        <v>2002</v>
      </c>
      <c r="F237" t="s">
        <v>31</v>
      </c>
      <c r="G237" t="s">
        <v>31</v>
      </c>
      <c r="H237" t="s">
        <v>2769</v>
      </c>
      <c r="I237" t="s">
        <v>117</v>
      </c>
      <c r="J237" t="s">
        <v>2952</v>
      </c>
      <c r="K237" t="s">
        <v>31</v>
      </c>
      <c r="L237" t="s">
        <v>31</v>
      </c>
      <c r="M237" t="s">
        <v>27</v>
      </c>
      <c r="N237" t="s">
        <v>27</v>
      </c>
      <c r="O237" t="s">
        <v>27</v>
      </c>
      <c r="P237" t="s">
        <v>31</v>
      </c>
      <c r="Q237" t="s">
        <v>31</v>
      </c>
      <c r="R237" t="s">
        <v>31</v>
      </c>
      <c r="S237" t="s">
        <v>31</v>
      </c>
      <c r="T237" t="s">
        <v>31</v>
      </c>
    </row>
    <row r="238" spans="1:20" hidden="1" x14ac:dyDescent="0.3">
      <c r="A238" t="s">
        <v>882</v>
      </c>
      <c r="B238" t="s">
        <v>43</v>
      </c>
      <c r="C238" t="s">
        <v>2665</v>
      </c>
      <c r="D238" t="s">
        <v>114</v>
      </c>
      <c r="E238">
        <v>2002</v>
      </c>
      <c r="F238" t="s">
        <v>31</v>
      </c>
      <c r="G238" t="s">
        <v>31</v>
      </c>
      <c r="H238" t="s">
        <v>2645</v>
      </c>
      <c r="I238" t="s">
        <v>34</v>
      </c>
      <c r="J238" t="s">
        <v>2953</v>
      </c>
      <c r="K238" t="s">
        <v>31</v>
      </c>
      <c r="L238" t="s">
        <v>31</v>
      </c>
      <c r="M238" t="s">
        <v>27</v>
      </c>
      <c r="N238" t="s">
        <v>27</v>
      </c>
      <c r="O238" t="s">
        <v>27</v>
      </c>
      <c r="P238" t="s">
        <v>31</v>
      </c>
      <c r="Q238" t="s">
        <v>31</v>
      </c>
      <c r="R238" t="s">
        <v>31</v>
      </c>
      <c r="S238" t="s">
        <v>31</v>
      </c>
      <c r="T238" t="s">
        <v>31</v>
      </c>
    </row>
    <row r="239" spans="1:20" hidden="1" x14ac:dyDescent="0.3">
      <c r="A239" t="s">
        <v>883</v>
      </c>
      <c r="B239" t="s">
        <v>51</v>
      </c>
      <c r="C239" t="s">
        <v>37</v>
      </c>
      <c r="D239" t="s">
        <v>121</v>
      </c>
      <c r="E239">
        <v>2002</v>
      </c>
      <c r="F239" t="s">
        <v>31</v>
      </c>
      <c r="G239" t="s">
        <v>31</v>
      </c>
      <c r="H239" t="s">
        <v>2701</v>
      </c>
      <c r="I239" t="s">
        <v>60</v>
      </c>
      <c r="J239" t="s">
        <v>2954</v>
      </c>
      <c r="K239" t="s">
        <v>2664</v>
      </c>
      <c r="L239" t="s">
        <v>31</v>
      </c>
      <c r="M239" t="s">
        <v>27</v>
      </c>
      <c r="N239" t="s">
        <v>27</v>
      </c>
      <c r="O239" t="s">
        <v>27</v>
      </c>
      <c r="P239" t="s">
        <v>31</v>
      </c>
      <c r="Q239">
        <v>62180</v>
      </c>
      <c r="R239" t="s">
        <v>31</v>
      </c>
      <c r="S239" t="s">
        <v>31</v>
      </c>
      <c r="T239" t="s">
        <v>2955</v>
      </c>
    </row>
    <row r="240" spans="1:20" hidden="1" x14ac:dyDescent="0.3">
      <c r="A240" t="s">
        <v>884</v>
      </c>
      <c r="B240" t="s">
        <v>51</v>
      </c>
      <c r="C240" t="s">
        <v>2655</v>
      </c>
      <c r="D240" t="s">
        <v>150</v>
      </c>
      <c r="E240">
        <v>2002</v>
      </c>
      <c r="F240" t="s">
        <v>31</v>
      </c>
      <c r="G240" t="s">
        <v>31</v>
      </c>
      <c r="H240" t="s">
        <v>2719</v>
      </c>
      <c r="I240" t="s">
        <v>90</v>
      </c>
      <c r="J240" t="s">
        <v>2956</v>
      </c>
      <c r="K240" t="s">
        <v>31</v>
      </c>
      <c r="L240" t="s">
        <v>31</v>
      </c>
      <c r="M240" t="s">
        <v>27</v>
      </c>
      <c r="N240" t="s">
        <v>27</v>
      </c>
      <c r="O240" t="s">
        <v>27</v>
      </c>
      <c r="P240" t="s">
        <v>31</v>
      </c>
      <c r="Q240" t="s">
        <v>31</v>
      </c>
      <c r="R240" t="s">
        <v>31</v>
      </c>
      <c r="S240" t="s">
        <v>31</v>
      </c>
      <c r="T240" t="s">
        <v>31</v>
      </c>
    </row>
    <row r="241" spans="1:20" hidden="1" x14ac:dyDescent="0.3">
      <c r="A241" t="s">
        <v>885</v>
      </c>
      <c r="B241" t="s">
        <v>51</v>
      </c>
      <c r="C241" t="s">
        <v>37</v>
      </c>
      <c r="D241" t="s">
        <v>121</v>
      </c>
      <c r="E241">
        <v>2002</v>
      </c>
      <c r="F241" t="s">
        <v>31</v>
      </c>
      <c r="G241" t="s">
        <v>31</v>
      </c>
      <c r="H241" t="s">
        <v>2645</v>
      </c>
      <c r="I241" t="s">
        <v>34</v>
      </c>
      <c r="J241" t="s">
        <v>2957</v>
      </c>
      <c r="K241" t="s">
        <v>2664</v>
      </c>
      <c r="L241" t="s">
        <v>31</v>
      </c>
      <c r="M241" t="s">
        <v>27</v>
      </c>
      <c r="N241" t="s">
        <v>27</v>
      </c>
      <c r="O241" t="s">
        <v>27</v>
      </c>
      <c r="P241" t="s">
        <v>31</v>
      </c>
      <c r="Q241">
        <v>5460</v>
      </c>
      <c r="R241" t="s">
        <v>31</v>
      </c>
      <c r="S241" t="s">
        <v>31</v>
      </c>
      <c r="T241" t="s">
        <v>31</v>
      </c>
    </row>
    <row r="242" spans="1:20" hidden="1" x14ac:dyDescent="0.3">
      <c r="A242" t="s">
        <v>886</v>
      </c>
      <c r="B242" t="s">
        <v>28</v>
      </c>
      <c r="C242" t="s">
        <v>29</v>
      </c>
      <c r="D242" t="s">
        <v>30</v>
      </c>
      <c r="E242">
        <v>2002</v>
      </c>
      <c r="F242">
        <v>640000</v>
      </c>
      <c r="G242" t="s">
        <v>31</v>
      </c>
      <c r="H242" t="s">
        <v>2672</v>
      </c>
      <c r="I242" t="s">
        <v>73</v>
      </c>
      <c r="J242" t="s">
        <v>2958</v>
      </c>
      <c r="K242" t="s">
        <v>31</v>
      </c>
      <c r="L242" t="s">
        <v>31</v>
      </c>
      <c r="M242" t="s">
        <v>33</v>
      </c>
      <c r="N242" t="s">
        <v>27</v>
      </c>
      <c r="O242" t="s">
        <v>27</v>
      </c>
      <c r="P242" t="s">
        <v>31</v>
      </c>
      <c r="Q242">
        <v>180</v>
      </c>
      <c r="R242" t="s">
        <v>31</v>
      </c>
      <c r="S242" t="s">
        <v>31</v>
      </c>
      <c r="T242" t="s">
        <v>31</v>
      </c>
    </row>
    <row r="243" spans="1:20" hidden="1" x14ac:dyDescent="0.3">
      <c r="A243" t="s">
        <v>887</v>
      </c>
      <c r="B243" t="s">
        <v>28</v>
      </c>
      <c r="C243" t="s">
        <v>29</v>
      </c>
      <c r="D243" t="s">
        <v>30</v>
      </c>
      <c r="E243">
        <v>2002</v>
      </c>
      <c r="F243">
        <v>200</v>
      </c>
      <c r="G243" t="s">
        <v>31</v>
      </c>
      <c r="H243" t="s">
        <v>2959</v>
      </c>
      <c r="I243" t="s">
        <v>144</v>
      </c>
      <c r="J243" t="s">
        <v>2960</v>
      </c>
      <c r="K243" t="s">
        <v>31</v>
      </c>
      <c r="L243" t="s">
        <v>31</v>
      </c>
      <c r="M243" t="s">
        <v>27</v>
      </c>
      <c r="N243" t="s">
        <v>27</v>
      </c>
      <c r="O243" t="s">
        <v>27</v>
      </c>
      <c r="P243" t="s">
        <v>31</v>
      </c>
      <c r="Q243">
        <v>110</v>
      </c>
      <c r="R243" t="s">
        <v>31</v>
      </c>
      <c r="S243" t="s">
        <v>31</v>
      </c>
      <c r="T243" t="s">
        <v>31</v>
      </c>
    </row>
    <row r="244" spans="1:20" hidden="1" x14ac:dyDescent="0.3">
      <c r="A244" t="s">
        <v>888</v>
      </c>
      <c r="B244" t="s">
        <v>28</v>
      </c>
      <c r="C244" t="s">
        <v>29</v>
      </c>
      <c r="D244" t="s">
        <v>30</v>
      </c>
      <c r="E244">
        <v>2002</v>
      </c>
      <c r="F244">
        <v>1000</v>
      </c>
      <c r="G244" t="s">
        <v>31</v>
      </c>
      <c r="H244" t="s">
        <v>2860</v>
      </c>
      <c r="I244" t="s">
        <v>670</v>
      </c>
      <c r="J244" t="s">
        <v>2961</v>
      </c>
      <c r="K244" t="s">
        <v>31</v>
      </c>
      <c r="L244" t="s">
        <v>31</v>
      </c>
      <c r="M244" t="s">
        <v>27</v>
      </c>
      <c r="N244" t="s">
        <v>27</v>
      </c>
      <c r="O244" t="s">
        <v>27</v>
      </c>
      <c r="P244" t="s">
        <v>31</v>
      </c>
      <c r="Q244">
        <v>128</v>
      </c>
      <c r="R244" t="s">
        <v>31</v>
      </c>
      <c r="S244" t="s">
        <v>31</v>
      </c>
      <c r="T244" t="s">
        <v>31</v>
      </c>
    </row>
    <row r="245" spans="1:20" hidden="1" x14ac:dyDescent="0.3">
      <c r="A245" t="s">
        <v>889</v>
      </c>
      <c r="B245" t="s">
        <v>28</v>
      </c>
      <c r="C245" t="s">
        <v>29</v>
      </c>
      <c r="D245" t="s">
        <v>30</v>
      </c>
      <c r="E245">
        <v>2002</v>
      </c>
      <c r="F245">
        <v>500</v>
      </c>
      <c r="G245" t="s">
        <v>31</v>
      </c>
      <c r="H245" t="s">
        <v>2860</v>
      </c>
      <c r="I245" t="s">
        <v>670</v>
      </c>
      <c r="J245" t="s">
        <v>2962</v>
      </c>
      <c r="K245" t="s">
        <v>31</v>
      </c>
      <c r="L245" t="s">
        <v>31</v>
      </c>
      <c r="M245" t="s">
        <v>27</v>
      </c>
      <c r="N245" t="s">
        <v>27</v>
      </c>
      <c r="O245" t="s">
        <v>27</v>
      </c>
      <c r="P245" t="s">
        <v>31</v>
      </c>
      <c r="Q245" t="s">
        <v>31</v>
      </c>
      <c r="R245" t="s">
        <v>31</v>
      </c>
      <c r="S245" t="s">
        <v>31</v>
      </c>
      <c r="T245" t="s">
        <v>31</v>
      </c>
    </row>
    <row r="246" spans="1:20" hidden="1" x14ac:dyDescent="0.3">
      <c r="A246" t="s">
        <v>890</v>
      </c>
      <c r="B246" t="s">
        <v>51</v>
      </c>
      <c r="C246" t="s">
        <v>37</v>
      </c>
      <c r="D246" t="s">
        <v>121</v>
      </c>
      <c r="E246">
        <v>2002</v>
      </c>
      <c r="F246" t="s">
        <v>31</v>
      </c>
      <c r="G246" t="s">
        <v>31</v>
      </c>
      <c r="H246" t="s">
        <v>2774</v>
      </c>
      <c r="I246" t="s">
        <v>166</v>
      </c>
      <c r="J246" t="s">
        <v>2963</v>
      </c>
      <c r="K246" t="s">
        <v>2649</v>
      </c>
      <c r="L246" t="s">
        <v>31</v>
      </c>
      <c r="M246" t="s">
        <v>27</v>
      </c>
      <c r="N246" t="s">
        <v>27</v>
      </c>
      <c r="O246" t="s">
        <v>27</v>
      </c>
      <c r="P246" t="s">
        <v>31</v>
      </c>
      <c r="Q246" t="s">
        <v>31</v>
      </c>
      <c r="R246" t="s">
        <v>31</v>
      </c>
      <c r="S246" t="s">
        <v>31</v>
      </c>
      <c r="T246" t="s">
        <v>2964</v>
      </c>
    </row>
    <row r="247" spans="1:20" hidden="1" x14ac:dyDescent="0.3">
      <c r="A247" t="s">
        <v>891</v>
      </c>
      <c r="B247" t="s">
        <v>28</v>
      </c>
      <c r="C247" t="s">
        <v>29</v>
      </c>
      <c r="D247" t="s">
        <v>189</v>
      </c>
      <c r="E247">
        <v>2002</v>
      </c>
      <c r="F247" t="s">
        <v>31</v>
      </c>
      <c r="G247" t="s">
        <v>31</v>
      </c>
      <c r="H247" t="s">
        <v>2645</v>
      </c>
      <c r="I247" t="s">
        <v>34</v>
      </c>
      <c r="J247" t="s">
        <v>2965</v>
      </c>
      <c r="K247" t="s">
        <v>31</v>
      </c>
      <c r="L247" t="s">
        <v>31</v>
      </c>
      <c r="M247" t="s">
        <v>27</v>
      </c>
      <c r="N247" t="s">
        <v>27</v>
      </c>
      <c r="O247" t="s">
        <v>27</v>
      </c>
      <c r="P247" t="s">
        <v>31</v>
      </c>
      <c r="Q247" t="s">
        <v>31</v>
      </c>
      <c r="R247" t="s">
        <v>31</v>
      </c>
      <c r="S247" t="s">
        <v>31</v>
      </c>
      <c r="T247" t="s">
        <v>31</v>
      </c>
    </row>
    <row r="248" spans="1:20" hidden="1" x14ac:dyDescent="0.3">
      <c r="A248" t="s">
        <v>892</v>
      </c>
      <c r="B248" t="s">
        <v>51</v>
      </c>
      <c r="C248" t="s">
        <v>2655</v>
      </c>
      <c r="D248" t="s">
        <v>150</v>
      </c>
      <c r="E248">
        <v>2002</v>
      </c>
      <c r="F248" t="s">
        <v>31</v>
      </c>
      <c r="G248" t="s">
        <v>31</v>
      </c>
      <c r="H248" t="s">
        <v>2656</v>
      </c>
      <c r="I248" t="s">
        <v>119</v>
      </c>
      <c r="J248" t="s">
        <v>2966</v>
      </c>
      <c r="K248" t="s">
        <v>31</v>
      </c>
      <c r="L248" t="s">
        <v>31</v>
      </c>
      <c r="M248" t="s">
        <v>27</v>
      </c>
      <c r="N248" t="s">
        <v>27</v>
      </c>
      <c r="O248" t="s">
        <v>27</v>
      </c>
      <c r="P248" t="s">
        <v>31</v>
      </c>
      <c r="Q248" t="s">
        <v>31</v>
      </c>
      <c r="R248" t="s">
        <v>31</v>
      </c>
      <c r="S248" t="s">
        <v>31</v>
      </c>
      <c r="T248" t="s">
        <v>31</v>
      </c>
    </row>
    <row r="249" spans="1:20" hidden="1" x14ac:dyDescent="0.3">
      <c r="A249" t="s">
        <v>893</v>
      </c>
      <c r="B249" t="s">
        <v>51</v>
      </c>
      <c r="C249" t="s">
        <v>37</v>
      </c>
      <c r="D249" t="s">
        <v>52</v>
      </c>
      <c r="E249">
        <v>2002</v>
      </c>
      <c r="F249" t="s">
        <v>31</v>
      </c>
      <c r="G249" t="s">
        <v>31</v>
      </c>
      <c r="H249" t="s">
        <v>2647</v>
      </c>
      <c r="I249" t="s">
        <v>47</v>
      </c>
      <c r="J249" t="s">
        <v>2967</v>
      </c>
      <c r="K249" t="s">
        <v>31</v>
      </c>
      <c r="L249" t="s">
        <v>31</v>
      </c>
      <c r="M249" t="s">
        <v>27</v>
      </c>
      <c r="N249" t="s">
        <v>27</v>
      </c>
      <c r="O249" t="s">
        <v>27</v>
      </c>
      <c r="P249" t="s">
        <v>31</v>
      </c>
      <c r="Q249" t="s">
        <v>31</v>
      </c>
      <c r="R249" t="s">
        <v>31</v>
      </c>
      <c r="S249" t="s">
        <v>31</v>
      </c>
      <c r="T249" t="s">
        <v>31</v>
      </c>
    </row>
    <row r="250" spans="1:20" hidden="1" x14ac:dyDescent="0.3">
      <c r="A250" t="s">
        <v>894</v>
      </c>
      <c r="B250" t="s">
        <v>39</v>
      </c>
      <c r="C250" t="s">
        <v>157</v>
      </c>
      <c r="D250" t="s">
        <v>157</v>
      </c>
      <c r="E250">
        <v>2002</v>
      </c>
      <c r="F250" t="s">
        <v>31</v>
      </c>
      <c r="G250" t="s">
        <v>31</v>
      </c>
      <c r="H250" t="s">
        <v>2656</v>
      </c>
      <c r="I250" t="s">
        <v>119</v>
      </c>
      <c r="J250" t="s">
        <v>2968</v>
      </c>
      <c r="K250" t="s">
        <v>31</v>
      </c>
      <c r="L250" t="s">
        <v>31</v>
      </c>
      <c r="M250" t="s">
        <v>27</v>
      </c>
      <c r="N250" t="s">
        <v>27</v>
      </c>
      <c r="O250" t="s">
        <v>33</v>
      </c>
      <c r="P250" t="s">
        <v>31</v>
      </c>
      <c r="Q250" t="s">
        <v>31</v>
      </c>
      <c r="R250" t="s">
        <v>31</v>
      </c>
      <c r="S250" t="s">
        <v>31</v>
      </c>
      <c r="T250" t="s">
        <v>31</v>
      </c>
    </row>
    <row r="251" spans="1:20" hidden="1" x14ac:dyDescent="0.3">
      <c r="A251" t="s">
        <v>895</v>
      </c>
      <c r="B251" t="s">
        <v>39</v>
      </c>
      <c r="C251" t="s">
        <v>157</v>
      </c>
      <c r="D251" t="s">
        <v>157</v>
      </c>
      <c r="E251">
        <v>2002</v>
      </c>
      <c r="F251" t="s">
        <v>31</v>
      </c>
      <c r="G251" t="s">
        <v>31</v>
      </c>
      <c r="H251" t="s">
        <v>2678</v>
      </c>
      <c r="I251" t="s">
        <v>53</v>
      </c>
      <c r="J251" t="s">
        <v>2969</v>
      </c>
      <c r="K251" t="s">
        <v>31</v>
      </c>
      <c r="L251" t="s">
        <v>31</v>
      </c>
      <c r="M251" t="s">
        <v>27</v>
      </c>
      <c r="N251" t="s">
        <v>27</v>
      </c>
      <c r="O251" t="s">
        <v>27</v>
      </c>
      <c r="P251" t="s">
        <v>31</v>
      </c>
      <c r="Q251" t="s">
        <v>31</v>
      </c>
      <c r="R251" t="s">
        <v>31</v>
      </c>
      <c r="S251" t="s">
        <v>31</v>
      </c>
      <c r="T251" t="s">
        <v>31</v>
      </c>
    </row>
    <row r="252" spans="1:20" hidden="1" x14ac:dyDescent="0.3">
      <c r="A252" t="s">
        <v>1448</v>
      </c>
      <c r="B252" t="s">
        <v>51</v>
      </c>
      <c r="C252" t="s">
        <v>37</v>
      </c>
      <c r="D252" t="s">
        <v>121</v>
      </c>
      <c r="E252">
        <v>2002</v>
      </c>
      <c r="F252">
        <v>100000</v>
      </c>
      <c r="G252" t="s">
        <v>31</v>
      </c>
      <c r="H252" t="s">
        <v>2669</v>
      </c>
      <c r="I252" t="s">
        <v>111</v>
      </c>
      <c r="J252" t="s">
        <v>2970</v>
      </c>
      <c r="K252" t="s">
        <v>2649</v>
      </c>
      <c r="L252" t="s">
        <v>181</v>
      </c>
      <c r="M252" t="s">
        <v>27</v>
      </c>
      <c r="N252" t="s">
        <v>27</v>
      </c>
      <c r="O252" t="s">
        <v>27</v>
      </c>
      <c r="P252">
        <v>4171</v>
      </c>
      <c r="Q252" t="s">
        <v>31</v>
      </c>
      <c r="R252" t="s">
        <v>31</v>
      </c>
      <c r="S252" t="s">
        <v>31</v>
      </c>
      <c r="T252" t="s">
        <v>2971</v>
      </c>
    </row>
    <row r="253" spans="1:20" hidden="1" x14ac:dyDescent="0.3">
      <c r="A253" t="s">
        <v>1455</v>
      </c>
      <c r="B253" t="s">
        <v>28</v>
      </c>
      <c r="C253" t="s">
        <v>29</v>
      </c>
      <c r="D253" t="s">
        <v>67</v>
      </c>
      <c r="E253">
        <v>2002</v>
      </c>
      <c r="F253" t="s">
        <v>31</v>
      </c>
      <c r="G253" t="s">
        <v>31</v>
      </c>
      <c r="H253" t="s">
        <v>2645</v>
      </c>
      <c r="I253" t="s">
        <v>34</v>
      </c>
      <c r="J253" t="s">
        <v>2972</v>
      </c>
      <c r="K253" t="s">
        <v>31</v>
      </c>
      <c r="L253" t="s">
        <v>290</v>
      </c>
      <c r="M253" t="s">
        <v>27</v>
      </c>
      <c r="N253" t="s">
        <v>27</v>
      </c>
      <c r="O253" t="s">
        <v>27</v>
      </c>
      <c r="P253" t="s">
        <v>31</v>
      </c>
      <c r="Q253">
        <v>114</v>
      </c>
      <c r="R253" t="s">
        <v>31</v>
      </c>
      <c r="S253" t="s">
        <v>31</v>
      </c>
      <c r="T253" t="s">
        <v>31</v>
      </c>
    </row>
    <row r="254" spans="1:20" hidden="1" x14ac:dyDescent="0.3">
      <c r="A254" t="s">
        <v>1456</v>
      </c>
      <c r="B254" t="s">
        <v>91</v>
      </c>
      <c r="C254" t="s">
        <v>2712</v>
      </c>
      <c r="D254" t="s">
        <v>105</v>
      </c>
      <c r="E254">
        <v>2002</v>
      </c>
      <c r="F254" t="s">
        <v>31</v>
      </c>
      <c r="G254" t="s">
        <v>31</v>
      </c>
      <c r="H254" t="s">
        <v>2672</v>
      </c>
      <c r="I254" t="s">
        <v>73</v>
      </c>
      <c r="J254" t="s">
        <v>2973</v>
      </c>
      <c r="K254" t="s">
        <v>31</v>
      </c>
      <c r="L254" t="s">
        <v>31</v>
      </c>
      <c r="M254" t="s">
        <v>27</v>
      </c>
      <c r="N254" t="s">
        <v>27</v>
      </c>
      <c r="O254" t="s">
        <v>27</v>
      </c>
      <c r="P254" t="s">
        <v>31</v>
      </c>
      <c r="Q254" t="s">
        <v>31</v>
      </c>
      <c r="R254">
        <v>19.513999999999999</v>
      </c>
      <c r="S254">
        <v>-103.62</v>
      </c>
      <c r="T254" t="s">
        <v>31</v>
      </c>
    </row>
    <row r="255" spans="1:20" hidden="1" x14ac:dyDescent="0.3">
      <c r="A255" t="s">
        <v>1457</v>
      </c>
      <c r="B255" t="s">
        <v>51</v>
      </c>
      <c r="C255" t="s">
        <v>37</v>
      </c>
      <c r="D255" t="s">
        <v>121</v>
      </c>
      <c r="E255">
        <v>2002</v>
      </c>
      <c r="F255" t="s">
        <v>31</v>
      </c>
      <c r="G255" t="s">
        <v>31</v>
      </c>
      <c r="H255" t="s">
        <v>2656</v>
      </c>
      <c r="I255" t="s">
        <v>119</v>
      </c>
      <c r="J255" t="s">
        <v>2974</v>
      </c>
      <c r="K255" t="s">
        <v>2649</v>
      </c>
      <c r="L255" t="s">
        <v>54</v>
      </c>
      <c r="M255" t="s">
        <v>27</v>
      </c>
      <c r="N255" t="s">
        <v>27</v>
      </c>
      <c r="O255" t="s">
        <v>27</v>
      </c>
      <c r="P255" t="s">
        <v>31</v>
      </c>
      <c r="Q255">
        <v>2250</v>
      </c>
      <c r="R255" t="s">
        <v>31</v>
      </c>
      <c r="S255" t="s">
        <v>31</v>
      </c>
      <c r="T255" t="s">
        <v>2975</v>
      </c>
    </row>
    <row r="256" spans="1:20" hidden="1" x14ac:dyDescent="0.3">
      <c r="A256" t="s">
        <v>1458</v>
      </c>
      <c r="B256" t="s">
        <v>51</v>
      </c>
      <c r="C256" t="s">
        <v>37</v>
      </c>
      <c r="D256" t="s">
        <v>52</v>
      </c>
      <c r="E256">
        <v>2002</v>
      </c>
      <c r="F256">
        <v>3000</v>
      </c>
      <c r="G256" t="s">
        <v>31</v>
      </c>
      <c r="H256" t="s">
        <v>2666</v>
      </c>
      <c r="I256" t="s">
        <v>109</v>
      </c>
      <c r="J256" t="s">
        <v>2976</v>
      </c>
      <c r="K256" t="s">
        <v>31</v>
      </c>
      <c r="L256" t="s">
        <v>31</v>
      </c>
      <c r="M256" t="s">
        <v>27</v>
      </c>
      <c r="N256" t="s">
        <v>27</v>
      </c>
      <c r="O256" t="s">
        <v>27</v>
      </c>
      <c r="P256" t="s">
        <v>31</v>
      </c>
      <c r="Q256" t="s">
        <v>31</v>
      </c>
      <c r="R256" t="s">
        <v>31</v>
      </c>
      <c r="S256" t="s">
        <v>31</v>
      </c>
      <c r="T256" t="s">
        <v>31</v>
      </c>
    </row>
    <row r="257" spans="1:20" hidden="1" x14ac:dyDescent="0.3">
      <c r="A257" t="s">
        <v>1459</v>
      </c>
      <c r="B257" t="s">
        <v>51</v>
      </c>
      <c r="C257" t="s">
        <v>37</v>
      </c>
      <c r="D257" t="s">
        <v>121</v>
      </c>
      <c r="E257">
        <v>2002</v>
      </c>
      <c r="F257">
        <v>500</v>
      </c>
      <c r="G257" t="s">
        <v>31</v>
      </c>
      <c r="H257" t="s">
        <v>2774</v>
      </c>
      <c r="I257" t="s">
        <v>166</v>
      </c>
      <c r="J257" t="s">
        <v>2977</v>
      </c>
      <c r="K257" t="s">
        <v>2664</v>
      </c>
      <c r="L257" t="s">
        <v>31</v>
      </c>
      <c r="M257" t="s">
        <v>27</v>
      </c>
      <c r="N257" t="s">
        <v>27</v>
      </c>
      <c r="O257" t="s">
        <v>27</v>
      </c>
      <c r="P257" t="s">
        <v>31</v>
      </c>
      <c r="Q257" t="s">
        <v>31</v>
      </c>
      <c r="R257" t="s">
        <v>31</v>
      </c>
      <c r="S257" t="s">
        <v>31</v>
      </c>
      <c r="T257" t="s">
        <v>31</v>
      </c>
    </row>
    <row r="258" spans="1:20" hidden="1" x14ac:dyDescent="0.3">
      <c r="A258" t="s">
        <v>1460</v>
      </c>
      <c r="B258" t="s">
        <v>28</v>
      </c>
      <c r="C258" t="s">
        <v>29</v>
      </c>
      <c r="D258" t="s">
        <v>97</v>
      </c>
      <c r="E258">
        <v>2002</v>
      </c>
      <c r="F258">
        <v>4000</v>
      </c>
      <c r="G258" t="s">
        <v>31</v>
      </c>
      <c r="H258" t="s">
        <v>2645</v>
      </c>
      <c r="I258" t="s">
        <v>34</v>
      </c>
      <c r="J258" t="s">
        <v>2978</v>
      </c>
      <c r="K258" t="s">
        <v>31</v>
      </c>
      <c r="L258" t="s">
        <v>31</v>
      </c>
      <c r="M258" t="s">
        <v>27</v>
      </c>
      <c r="N258" t="s">
        <v>27</v>
      </c>
      <c r="O258" t="s">
        <v>27</v>
      </c>
      <c r="P258" t="s">
        <v>31</v>
      </c>
      <c r="Q258" t="s">
        <v>31</v>
      </c>
      <c r="R258" t="s">
        <v>31</v>
      </c>
      <c r="S258" t="s">
        <v>31</v>
      </c>
      <c r="T258" t="s">
        <v>31</v>
      </c>
    </row>
    <row r="259" spans="1:20" hidden="1" x14ac:dyDescent="0.3">
      <c r="A259" t="s">
        <v>1461</v>
      </c>
      <c r="B259" t="s">
        <v>39</v>
      </c>
      <c r="C259" t="s">
        <v>40</v>
      </c>
      <c r="D259" t="s">
        <v>41</v>
      </c>
      <c r="E259">
        <v>2002</v>
      </c>
      <c r="F259" t="s">
        <v>31</v>
      </c>
      <c r="G259" t="s">
        <v>31</v>
      </c>
      <c r="H259" t="s">
        <v>2645</v>
      </c>
      <c r="I259" t="s">
        <v>34</v>
      </c>
      <c r="J259" t="s">
        <v>2979</v>
      </c>
      <c r="K259" t="s">
        <v>31</v>
      </c>
      <c r="L259" t="s">
        <v>31</v>
      </c>
      <c r="M259" t="s">
        <v>27</v>
      </c>
      <c r="N259" t="s">
        <v>27</v>
      </c>
      <c r="O259" t="s">
        <v>27</v>
      </c>
      <c r="P259" t="s">
        <v>31</v>
      </c>
      <c r="Q259">
        <v>414</v>
      </c>
      <c r="R259" t="s">
        <v>31</v>
      </c>
      <c r="S259" t="s">
        <v>31</v>
      </c>
      <c r="T259" t="s">
        <v>31</v>
      </c>
    </row>
    <row r="260" spans="1:20" hidden="1" x14ac:dyDescent="0.3">
      <c r="A260" t="s">
        <v>1462</v>
      </c>
      <c r="B260" t="s">
        <v>51</v>
      </c>
      <c r="C260" t="s">
        <v>37</v>
      </c>
      <c r="D260" t="s">
        <v>121</v>
      </c>
      <c r="E260">
        <v>2002</v>
      </c>
      <c r="F260" t="s">
        <v>31</v>
      </c>
      <c r="G260" t="s">
        <v>31</v>
      </c>
      <c r="H260" t="s">
        <v>2647</v>
      </c>
      <c r="I260" t="s">
        <v>47</v>
      </c>
      <c r="J260" t="s">
        <v>2980</v>
      </c>
      <c r="K260" t="s">
        <v>2664</v>
      </c>
      <c r="L260" t="s">
        <v>54</v>
      </c>
      <c r="M260" t="s">
        <v>27</v>
      </c>
      <c r="N260" t="s">
        <v>27</v>
      </c>
      <c r="O260" t="s">
        <v>27</v>
      </c>
      <c r="P260" t="s">
        <v>31</v>
      </c>
      <c r="Q260">
        <v>369950</v>
      </c>
      <c r="R260" t="s">
        <v>31</v>
      </c>
      <c r="S260" t="s">
        <v>31</v>
      </c>
      <c r="T260" t="s">
        <v>2981</v>
      </c>
    </row>
    <row r="261" spans="1:20" hidden="1" x14ac:dyDescent="0.3">
      <c r="A261" t="s">
        <v>1463</v>
      </c>
      <c r="B261" t="s">
        <v>43</v>
      </c>
      <c r="C261" t="s">
        <v>2665</v>
      </c>
      <c r="D261" t="s">
        <v>44</v>
      </c>
      <c r="E261">
        <v>2002</v>
      </c>
      <c r="F261" t="s">
        <v>31</v>
      </c>
      <c r="G261" t="s">
        <v>31</v>
      </c>
      <c r="H261" t="s">
        <v>2774</v>
      </c>
      <c r="I261" t="s">
        <v>166</v>
      </c>
      <c r="J261" t="s">
        <v>2982</v>
      </c>
      <c r="K261" t="s">
        <v>31</v>
      </c>
      <c r="L261" t="s">
        <v>31</v>
      </c>
      <c r="M261" t="s">
        <v>27</v>
      </c>
      <c r="N261" t="s">
        <v>27</v>
      </c>
      <c r="O261" t="s">
        <v>27</v>
      </c>
      <c r="P261" t="s">
        <v>31</v>
      </c>
      <c r="Q261" t="s">
        <v>31</v>
      </c>
      <c r="R261" t="s">
        <v>31</v>
      </c>
      <c r="S261" t="s">
        <v>31</v>
      </c>
      <c r="T261" t="s">
        <v>31</v>
      </c>
    </row>
    <row r="262" spans="1:20" hidden="1" x14ac:dyDescent="0.3">
      <c r="A262" t="s">
        <v>1464</v>
      </c>
      <c r="B262" t="s">
        <v>51</v>
      </c>
      <c r="C262" t="s">
        <v>37</v>
      </c>
      <c r="D262" t="s">
        <v>121</v>
      </c>
      <c r="E262">
        <v>2002</v>
      </c>
      <c r="F262" t="s">
        <v>31</v>
      </c>
      <c r="G262" t="s">
        <v>31</v>
      </c>
      <c r="H262" t="s">
        <v>2656</v>
      </c>
      <c r="I262" t="s">
        <v>119</v>
      </c>
      <c r="J262" t="s">
        <v>2983</v>
      </c>
      <c r="K262" t="s">
        <v>2664</v>
      </c>
      <c r="L262" t="s">
        <v>402</v>
      </c>
      <c r="M262" t="s">
        <v>27</v>
      </c>
      <c r="N262" t="s">
        <v>27</v>
      </c>
      <c r="O262" t="s">
        <v>27</v>
      </c>
      <c r="P262" t="s">
        <v>31</v>
      </c>
      <c r="Q262">
        <v>18940</v>
      </c>
      <c r="R262" t="s">
        <v>31</v>
      </c>
      <c r="S262" t="s">
        <v>31</v>
      </c>
      <c r="T262" t="s">
        <v>2984</v>
      </c>
    </row>
    <row r="263" spans="1:20" hidden="1" x14ac:dyDescent="0.3">
      <c r="A263" t="s">
        <v>1465</v>
      </c>
      <c r="B263" t="s">
        <v>28</v>
      </c>
      <c r="C263" t="s">
        <v>29</v>
      </c>
      <c r="D263" t="s">
        <v>67</v>
      </c>
      <c r="E263">
        <v>2002</v>
      </c>
      <c r="F263" t="s">
        <v>31</v>
      </c>
      <c r="G263" t="s">
        <v>31</v>
      </c>
      <c r="H263" t="s">
        <v>2678</v>
      </c>
      <c r="I263" t="s">
        <v>53</v>
      </c>
      <c r="J263" t="s">
        <v>2985</v>
      </c>
      <c r="K263" t="s">
        <v>31</v>
      </c>
      <c r="L263" t="s">
        <v>31</v>
      </c>
      <c r="M263" t="s">
        <v>27</v>
      </c>
      <c r="N263" t="s">
        <v>27</v>
      </c>
      <c r="O263" t="s">
        <v>27</v>
      </c>
      <c r="P263">
        <v>2179</v>
      </c>
      <c r="Q263" t="s">
        <v>31</v>
      </c>
      <c r="R263" t="s">
        <v>31</v>
      </c>
      <c r="S263" t="s">
        <v>31</v>
      </c>
      <c r="T263" t="s">
        <v>31</v>
      </c>
    </row>
    <row r="264" spans="1:20" hidden="1" x14ac:dyDescent="0.3">
      <c r="A264" t="s">
        <v>1466</v>
      </c>
      <c r="B264" t="s">
        <v>28</v>
      </c>
      <c r="C264" t="s">
        <v>2685</v>
      </c>
      <c r="D264" t="s">
        <v>68</v>
      </c>
      <c r="E264">
        <v>2002</v>
      </c>
      <c r="F264" t="s">
        <v>31</v>
      </c>
      <c r="G264" t="s">
        <v>31</v>
      </c>
      <c r="H264" t="s">
        <v>2701</v>
      </c>
      <c r="I264" t="s">
        <v>60</v>
      </c>
      <c r="J264" t="s">
        <v>2986</v>
      </c>
      <c r="K264" t="s">
        <v>31</v>
      </c>
      <c r="L264" t="s">
        <v>31</v>
      </c>
      <c r="M264" t="s">
        <v>27</v>
      </c>
      <c r="N264" t="s">
        <v>27</v>
      </c>
      <c r="O264" t="s">
        <v>27</v>
      </c>
      <c r="P264" t="s">
        <v>31</v>
      </c>
      <c r="Q264" t="s">
        <v>31</v>
      </c>
      <c r="R264" t="s">
        <v>31</v>
      </c>
      <c r="S264" t="s">
        <v>31</v>
      </c>
      <c r="T264" t="s">
        <v>31</v>
      </c>
    </row>
    <row r="265" spans="1:20" hidden="1" x14ac:dyDescent="0.3">
      <c r="A265" t="s">
        <v>1467</v>
      </c>
      <c r="B265" t="s">
        <v>51</v>
      </c>
      <c r="C265" t="s">
        <v>37</v>
      </c>
      <c r="D265" t="s">
        <v>194</v>
      </c>
      <c r="E265">
        <v>2002</v>
      </c>
      <c r="F265" t="s">
        <v>31</v>
      </c>
      <c r="G265" t="s">
        <v>31</v>
      </c>
      <c r="H265" t="s">
        <v>2753</v>
      </c>
      <c r="I265" t="s">
        <v>49</v>
      </c>
      <c r="J265" t="s">
        <v>2987</v>
      </c>
      <c r="K265" t="s">
        <v>31</v>
      </c>
      <c r="L265" t="s">
        <v>31</v>
      </c>
      <c r="M265" t="s">
        <v>27</v>
      </c>
      <c r="N265" t="s">
        <v>27</v>
      </c>
      <c r="O265" t="s">
        <v>27</v>
      </c>
      <c r="P265" t="s">
        <v>31</v>
      </c>
      <c r="Q265" t="s">
        <v>31</v>
      </c>
      <c r="R265" t="s">
        <v>31</v>
      </c>
      <c r="S265" t="s">
        <v>31</v>
      </c>
      <c r="T265" t="s">
        <v>31</v>
      </c>
    </row>
    <row r="266" spans="1:20" hidden="1" x14ac:dyDescent="0.3">
      <c r="A266" t="s">
        <v>1468</v>
      </c>
      <c r="B266" t="s">
        <v>39</v>
      </c>
      <c r="C266" t="s">
        <v>40</v>
      </c>
      <c r="D266" t="s">
        <v>41</v>
      </c>
      <c r="E266">
        <v>2002</v>
      </c>
      <c r="F266" t="s">
        <v>31</v>
      </c>
      <c r="G266" t="s">
        <v>31</v>
      </c>
      <c r="H266" t="s">
        <v>2645</v>
      </c>
      <c r="I266" t="s">
        <v>34</v>
      </c>
      <c r="J266" t="s">
        <v>2988</v>
      </c>
      <c r="K266" t="s">
        <v>31</v>
      </c>
      <c r="L266" t="s">
        <v>31</v>
      </c>
      <c r="M266" t="s">
        <v>27</v>
      </c>
      <c r="N266" t="s">
        <v>27</v>
      </c>
      <c r="O266" t="s">
        <v>27</v>
      </c>
      <c r="P266" t="s">
        <v>31</v>
      </c>
      <c r="Q266">
        <v>93</v>
      </c>
      <c r="R266" t="s">
        <v>31</v>
      </c>
      <c r="S266" t="s">
        <v>31</v>
      </c>
      <c r="T266" t="s">
        <v>31</v>
      </c>
    </row>
    <row r="267" spans="1:20" hidden="1" x14ac:dyDescent="0.3">
      <c r="A267" t="s">
        <v>1469</v>
      </c>
      <c r="B267" t="s">
        <v>28</v>
      </c>
      <c r="C267" t="s">
        <v>29</v>
      </c>
      <c r="D267" t="s">
        <v>30</v>
      </c>
      <c r="E267">
        <v>2002</v>
      </c>
      <c r="F267">
        <v>30</v>
      </c>
      <c r="G267" t="s">
        <v>31</v>
      </c>
      <c r="H267" t="s">
        <v>2751</v>
      </c>
      <c r="I267" t="s">
        <v>234</v>
      </c>
      <c r="J267" t="s">
        <v>2989</v>
      </c>
      <c r="K267" t="s">
        <v>31</v>
      </c>
      <c r="L267" t="s">
        <v>37</v>
      </c>
      <c r="M267" t="s">
        <v>27</v>
      </c>
      <c r="N267" t="s">
        <v>27</v>
      </c>
      <c r="O267" t="s">
        <v>27</v>
      </c>
      <c r="P267" t="s">
        <v>31</v>
      </c>
      <c r="Q267">
        <v>100</v>
      </c>
      <c r="R267" t="s">
        <v>31</v>
      </c>
      <c r="S267" t="s">
        <v>31</v>
      </c>
      <c r="T267" t="s">
        <v>31</v>
      </c>
    </row>
    <row r="268" spans="1:20" hidden="1" x14ac:dyDescent="0.3">
      <c r="A268" t="s">
        <v>1470</v>
      </c>
      <c r="B268" t="s">
        <v>28</v>
      </c>
      <c r="C268" t="s">
        <v>29</v>
      </c>
      <c r="D268" t="s">
        <v>30</v>
      </c>
      <c r="E268">
        <v>2002</v>
      </c>
      <c r="F268" t="s">
        <v>31</v>
      </c>
      <c r="G268" t="s">
        <v>31</v>
      </c>
      <c r="H268" t="s">
        <v>2672</v>
      </c>
      <c r="I268" t="s">
        <v>73</v>
      </c>
      <c r="J268" t="s">
        <v>2990</v>
      </c>
      <c r="K268" t="s">
        <v>31</v>
      </c>
      <c r="L268" t="s">
        <v>31</v>
      </c>
      <c r="M268" t="s">
        <v>27</v>
      </c>
      <c r="N268" t="s">
        <v>27</v>
      </c>
      <c r="O268" t="s">
        <v>27</v>
      </c>
      <c r="P268" t="s">
        <v>31</v>
      </c>
      <c r="Q268" t="s">
        <v>31</v>
      </c>
      <c r="R268" t="s">
        <v>31</v>
      </c>
      <c r="S268" t="s">
        <v>31</v>
      </c>
      <c r="T268" t="s">
        <v>31</v>
      </c>
    </row>
    <row r="269" spans="1:20" hidden="1" x14ac:dyDescent="0.3">
      <c r="A269" t="s">
        <v>1471</v>
      </c>
      <c r="B269" t="s">
        <v>28</v>
      </c>
      <c r="C269" t="s">
        <v>29</v>
      </c>
      <c r="D269" t="s">
        <v>30</v>
      </c>
      <c r="E269">
        <v>2002</v>
      </c>
      <c r="F269">
        <v>200000</v>
      </c>
      <c r="G269" t="s">
        <v>31</v>
      </c>
      <c r="H269" t="s">
        <v>2672</v>
      </c>
      <c r="I269" t="s">
        <v>73</v>
      </c>
      <c r="J269" t="s">
        <v>2991</v>
      </c>
      <c r="K269" t="s">
        <v>31</v>
      </c>
      <c r="L269" t="s">
        <v>31</v>
      </c>
      <c r="M269" t="s">
        <v>27</v>
      </c>
      <c r="N269" t="s">
        <v>27</v>
      </c>
      <c r="O269" t="s">
        <v>27</v>
      </c>
      <c r="P269">
        <v>450</v>
      </c>
      <c r="Q269">
        <v>225</v>
      </c>
      <c r="R269" t="s">
        <v>31</v>
      </c>
      <c r="S269" t="s">
        <v>31</v>
      </c>
      <c r="T269" t="s">
        <v>31</v>
      </c>
    </row>
    <row r="270" spans="1:20" hidden="1" x14ac:dyDescent="0.3">
      <c r="A270" t="s">
        <v>1472</v>
      </c>
      <c r="B270" t="s">
        <v>91</v>
      </c>
      <c r="C270" t="s">
        <v>2712</v>
      </c>
      <c r="D270" t="s">
        <v>105</v>
      </c>
      <c r="E270">
        <v>2002</v>
      </c>
      <c r="F270" t="s">
        <v>31</v>
      </c>
      <c r="G270" t="s">
        <v>31</v>
      </c>
      <c r="H270" t="s">
        <v>2666</v>
      </c>
      <c r="I270" t="s">
        <v>109</v>
      </c>
      <c r="J270" t="s">
        <v>2992</v>
      </c>
      <c r="K270" t="s">
        <v>31</v>
      </c>
      <c r="L270" t="s">
        <v>31</v>
      </c>
      <c r="M270" t="s">
        <v>27</v>
      </c>
      <c r="N270" t="s">
        <v>27</v>
      </c>
      <c r="O270" t="s">
        <v>33</v>
      </c>
      <c r="P270">
        <v>1614</v>
      </c>
      <c r="Q270" t="s">
        <v>31</v>
      </c>
      <c r="R270" t="s">
        <v>31</v>
      </c>
      <c r="S270" t="s">
        <v>31</v>
      </c>
      <c r="T270" t="s">
        <v>31</v>
      </c>
    </row>
    <row r="271" spans="1:20" hidden="1" x14ac:dyDescent="0.3">
      <c r="A271" t="s">
        <v>1473</v>
      </c>
      <c r="B271" t="s">
        <v>28</v>
      </c>
      <c r="C271" t="s">
        <v>29</v>
      </c>
      <c r="D271" t="s">
        <v>97</v>
      </c>
      <c r="E271">
        <v>2002</v>
      </c>
      <c r="F271">
        <v>700000</v>
      </c>
      <c r="G271" t="s">
        <v>31</v>
      </c>
      <c r="H271" t="s">
        <v>2645</v>
      </c>
      <c r="I271" t="s">
        <v>34</v>
      </c>
      <c r="J271" t="s">
        <v>2993</v>
      </c>
      <c r="K271" t="s">
        <v>31</v>
      </c>
      <c r="L271" t="s">
        <v>31</v>
      </c>
      <c r="M271" t="s">
        <v>27</v>
      </c>
      <c r="N271" t="s">
        <v>27</v>
      </c>
      <c r="O271" t="s">
        <v>27</v>
      </c>
      <c r="P271" t="s">
        <v>31</v>
      </c>
      <c r="Q271">
        <v>200</v>
      </c>
      <c r="R271" t="s">
        <v>31</v>
      </c>
      <c r="S271" t="s">
        <v>31</v>
      </c>
      <c r="T271" t="s">
        <v>31</v>
      </c>
    </row>
    <row r="272" spans="1:20" hidden="1" x14ac:dyDescent="0.3">
      <c r="A272" t="s">
        <v>1474</v>
      </c>
      <c r="B272" t="s">
        <v>51</v>
      </c>
      <c r="C272" t="s">
        <v>37</v>
      </c>
      <c r="D272" t="s">
        <v>52</v>
      </c>
      <c r="E272">
        <v>2002</v>
      </c>
      <c r="F272">
        <v>500</v>
      </c>
      <c r="G272" t="s">
        <v>31</v>
      </c>
      <c r="H272" t="s">
        <v>2888</v>
      </c>
      <c r="I272" t="s">
        <v>75</v>
      </c>
      <c r="J272" t="s">
        <v>2994</v>
      </c>
      <c r="K272" t="s">
        <v>31</v>
      </c>
      <c r="L272" t="s">
        <v>31</v>
      </c>
      <c r="M272" t="s">
        <v>27</v>
      </c>
      <c r="N272" t="s">
        <v>27</v>
      </c>
      <c r="O272" t="s">
        <v>27</v>
      </c>
      <c r="P272" t="s">
        <v>31</v>
      </c>
      <c r="Q272" t="s">
        <v>31</v>
      </c>
      <c r="R272" t="s">
        <v>31</v>
      </c>
      <c r="S272" t="s">
        <v>31</v>
      </c>
      <c r="T272" t="s">
        <v>31</v>
      </c>
    </row>
    <row r="273" spans="1:20" hidden="1" x14ac:dyDescent="0.3">
      <c r="A273" t="s">
        <v>1476</v>
      </c>
      <c r="B273" t="s">
        <v>51</v>
      </c>
      <c r="C273" t="s">
        <v>37</v>
      </c>
      <c r="D273" t="s">
        <v>121</v>
      </c>
      <c r="E273">
        <v>2002</v>
      </c>
      <c r="F273" t="s">
        <v>31</v>
      </c>
      <c r="G273" t="s">
        <v>31</v>
      </c>
      <c r="H273" t="s">
        <v>2658</v>
      </c>
      <c r="I273" t="s">
        <v>130</v>
      </c>
      <c r="J273" t="s">
        <v>2995</v>
      </c>
      <c r="K273" t="s">
        <v>2664</v>
      </c>
      <c r="L273" t="s">
        <v>31</v>
      </c>
      <c r="M273" t="s">
        <v>27</v>
      </c>
      <c r="N273" t="s">
        <v>27</v>
      </c>
      <c r="O273" t="s">
        <v>27</v>
      </c>
      <c r="P273" t="s">
        <v>31</v>
      </c>
      <c r="Q273" t="s">
        <v>31</v>
      </c>
      <c r="R273" t="s">
        <v>31</v>
      </c>
      <c r="S273" t="s">
        <v>31</v>
      </c>
      <c r="T273" t="s">
        <v>2996</v>
      </c>
    </row>
    <row r="274" spans="1:20" hidden="1" x14ac:dyDescent="0.3">
      <c r="A274" t="s">
        <v>1477</v>
      </c>
      <c r="B274" t="s">
        <v>28</v>
      </c>
      <c r="C274" t="s">
        <v>29</v>
      </c>
      <c r="D274" t="s">
        <v>30</v>
      </c>
      <c r="E274">
        <v>2002</v>
      </c>
      <c r="F274" t="s">
        <v>31</v>
      </c>
      <c r="G274" t="s">
        <v>31</v>
      </c>
      <c r="H274" t="s">
        <v>2680</v>
      </c>
      <c r="I274" t="s">
        <v>115</v>
      </c>
      <c r="J274" t="s">
        <v>2997</v>
      </c>
      <c r="K274" t="s">
        <v>31</v>
      </c>
      <c r="L274" t="s">
        <v>31</v>
      </c>
      <c r="M274" t="s">
        <v>27</v>
      </c>
      <c r="N274" t="s">
        <v>27</v>
      </c>
      <c r="O274" t="s">
        <v>27</v>
      </c>
      <c r="P274" t="s">
        <v>31</v>
      </c>
      <c r="Q274" t="s">
        <v>31</v>
      </c>
      <c r="R274" t="s">
        <v>31</v>
      </c>
      <c r="S274" t="s">
        <v>31</v>
      </c>
      <c r="T274" t="s">
        <v>31</v>
      </c>
    </row>
    <row r="275" spans="1:20" hidden="1" x14ac:dyDescent="0.3">
      <c r="A275" t="s">
        <v>1478</v>
      </c>
      <c r="B275" t="s">
        <v>28</v>
      </c>
      <c r="C275" t="s">
        <v>29</v>
      </c>
      <c r="D275" t="s">
        <v>189</v>
      </c>
      <c r="E275">
        <v>2002</v>
      </c>
      <c r="F275" t="s">
        <v>31</v>
      </c>
      <c r="G275" t="s">
        <v>31</v>
      </c>
      <c r="H275" t="s">
        <v>2645</v>
      </c>
      <c r="I275" t="s">
        <v>34</v>
      </c>
      <c r="J275" t="s">
        <v>2998</v>
      </c>
      <c r="K275" t="s">
        <v>31</v>
      </c>
      <c r="L275" t="s">
        <v>31</v>
      </c>
      <c r="M275" t="s">
        <v>27</v>
      </c>
      <c r="N275" t="s">
        <v>27</v>
      </c>
      <c r="O275" t="s">
        <v>27</v>
      </c>
      <c r="P275" t="s">
        <v>31</v>
      </c>
      <c r="Q275" t="s">
        <v>31</v>
      </c>
      <c r="R275" t="s">
        <v>31</v>
      </c>
      <c r="S275" t="s">
        <v>31</v>
      </c>
      <c r="T275" t="s">
        <v>31</v>
      </c>
    </row>
    <row r="276" spans="1:20" hidden="1" x14ac:dyDescent="0.3">
      <c r="A276" t="s">
        <v>1479</v>
      </c>
      <c r="B276" t="s">
        <v>39</v>
      </c>
      <c r="C276" t="s">
        <v>157</v>
      </c>
      <c r="D276" t="s">
        <v>157</v>
      </c>
      <c r="E276">
        <v>2002</v>
      </c>
      <c r="F276" t="s">
        <v>31</v>
      </c>
      <c r="G276" t="s">
        <v>31</v>
      </c>
      <c r="H276" t="s">
        <v>2753</v>
      </c>
      <c r="I276" t="s">
        <v>49</v>
      </c>
      <c r="J276" t="s">
        <v>2999</v>
      </c>
      <c r="K276" t="s">
        <v>31</v>
      </c>
      <c r="L276" t="s">
        <v>31</v>
      </c>
      <c r="M276" t="s">
        <v>27</v>
      </c>
      <c r="N276" t="s">
        <v>27</v>
      </c>
      <c r="O276" t="s">
        <v>33</v>
      </c>
      <c r="P276" t="s">
        <v>31</v>
      </c>
      <c r="Q276">
        <v>128</v>
      </c>
      <c r="R276" t="s">
        <v>31</v>
      </c>
      <c r="S276" t="s">
        <v>31</v>
      </c>
      <c r="T276" t="s">
        <v>31</v>
      </c>
    </row>
    <row r="277" spans="1:20" hidden="1" x14ac:dyDescent="0.3">
      <c r="A277" t="s">
        <v>2167</v>
      </c>
      <c r="B277" t="s">
        <v>51</v>
      </c>
      <c r="C277" t="s">
        <v>37</v>
      </c>
      <c r="D277" t="s">
        <v>121</v>
      </c>
      <c r="E277">
        <v>2002</v>
      </c>
      <c r="F277" t="s">
        <v>31</v>
      </c>
      <c r="G277" t="s">
        <v>31</v>
      </c>
      <c r="H277" t="s">
        <v>2719</v>
      </c>
      <c r="I277" t="s">
        <v>90</v>
      </c>
      <c r="J277" t="s">
        <v>3000</v>
      </c>
      <c r="K277" t="s">
        <v>2649</v>
      </c>
      <c r="L277" t="s">
        <v>31</v>
      </c>
      <c r="M277" t="s">
        <v>27</v>
      </c>
      <c r="N277" t="s">
        <v>27</v>
      </c>
      <c r="O277" t="s">
        <v>27</v>
      </c>
      <c r="P277" t="s">
        <v>31</v>
      </c>
      <c r="Q277" t="s">
        <v>31</v>
      </c>
      <c r="R277" t="s">
        <v>31</v>
      </c>
      <c r="S277" t="s">
        <v>31</v>
      </c>
      <c r="T277" t="s">
        <v>31</v>
      </c>
    </row>
    <row r="278" spans="1:20" hidden="1" x14ac:dyDescent="0.3">
      <c r="A278" t="s">
        <v>2168</v>
      </c>
      <c r="B278" t="s">
        <v>28</v>
      </c>
      <c r="C278" t="s">
        <v>29</v>
      </c>
      <c r="D278" t="s">
        <v>67</v>
      </c>
      <c r="E278">
        <v>2002</v>
      </c>
      <c r="F278" t="s">
        <v>31</v>
      </c>
      <c r="G278" t="s">
        <v>31</v>
      </c>
      <c r="H278" t="s">
        <v>2645</v>
      </c>
      <c r="I278" t="s">
        <v>34</v>
      </c>
      <c r="J278" t="s">
        <v>3001</v>
      </c>
      <c r="K278" t="s">
        <v>31</v>
      </c>
      <c r="L278" t="s">
        <v>290</v>
      </c>
      <c r="M278" t="s">
        <v>27</v>
      </c>
      <c r="N278" t="s">
        <v>27</v>
      </c>
      <c r="O278" t="s">
        <v>27</v>
      </c>
      <c r="P278" t="s">
        <v>31</v>
      </c>
      <c r="Q278" t="s">
        <v>31</v>
      </c>
      <c r="R278" t="s">
        <v>31</v>
      </c>
      <c r="S278" t="s">
        <v>31</v>
      </c>
      <c r="T278" t="s">
        <v>31</v>
      </c>
    </row>
    <row r="279" spans="1:20" hidden="1" x14ac:dyDescent="0.3">
      <c r="A279" t="s">
        <v>2169</v>
      </c>
      <c r="B279" t="s">
        <v>39</v>
      </c>
      <c r="C279" t="s">
        <v>40</v>
      </c>
      <c r="D279" t="s">
        <v>41</v>
      </c>
      <c r="E279">
        <v>2002</v>
      </c>
      <c r="F279">
        <v>5000</v>
      </c>
      <c r="G279" t="s">
        <v>31</v>
      </c>
      <c r="H279" t="s">
        <v>2645</v>
      </c>
      <c r="I279" t="s">
        <v>34</v>
      </c>
      <c r="J279" t="s">
        <v>3002</v>
      </c>
      <c r="K279" t="s">
        <v>31</v>
      </c>
      <c r="L279" t="s">
        <v>31</v>
      </c>
      <c r="M279" t="s">
        <v>27</v>
      </c>
      <c r="N279" t="s">
        <v>27</v>
      </c>
      <c r="O279" t="s">
        <v>27</v>
      </c>
      <c r="P279" t="s">
        <v>31</v>
      </c>
      <c r="Q279">
        <v>149</v>
      </c>
      <c r="R279" t="s">
        <v>31</v>
      </c>
      <c r="S279" t="s">
        <v>31</v>
      </c>
      <c r="T279" t="s">
        <v>31</v>
      </c>
    </row>
    <row r="280" spans="1:20" hidden="1" x14ac:dyDescent="0.3">
      <c r="A280" t="s">
        <v>2170</v>
      </c>
      <c r="B280" t="s">
        <v>51</v>
      </c>
      <c r="C280" t="s">
        <v>37</v>
      </c>
      <c r="D280" t="s">
        <v>121</v>
      </c>
      <c r="E280">
        <v>2002</v>
      </c>
      <c r="F280">
        <v>13000</v>
      </c>
      <c r="G280" t="s">
        <v>31</v>
      </c>
      <c r="H280" t="s">
        <v>2645</v>
      </c>
      <c r="I280" t="s">
        <v>34</v>
      </c>
      <c r="J280" t="s">
        <v>3003</v>
      </c>
      <c r="K280" t="s">
        <v>2664</v>
      </c>
      <c r="L280" t="s">
        <v>31</v>
      </c>
      <c r="M280" t="s">
        <v>27</v>
      </c>
      <c r="N280" t="s">
        <v>27</v>
      </c>
      <c r="O280" t="s">
        <v>27</v>
      </c>
      <c r="P280" t="s">
        <v>31</v>
      </c>
      <c r="Q280" t="s">
        <v>31</v>
      </c>
      <c r="R280" t="s">
        <v>31</v>
      </c>
      <c r="S280" t="s">
        <v>31</v>
      </c>
      <c r="T280" t="s">
        <v>3004</v>
      </c>
    </row>
    <row r="281" spans="1:20" hidden="1" x14ac:dyDescent="0.3">
      <c r="A281" t="s">
        <v>2171</v>
      </c>
      <c r="B281" t="s">
        <v>51</v>
      </c>
      <c r="C281" t="s">
        <v>37</v>
      </c>
      <c r="D281" t="s">
        <v>121</v>
      </c>
      <c r="E281">
        <v>2002</v>
      </c>
      <c r="F281" t="s">
        <v>31</v>
      </c>
      <c r="G281" t="s">
        <v>31</v>
      </c>
      <c r="H281" t="s">
        <v>2769</v>
      </c>
      <c r="I281" t="s">
        <v>117</v>
      </c>
      <c r="J281" t="s">
        <v>3005</v>
      </c>
      <c r="K281" t="s">
        <v>2664</v>
      </c>
      <c r="L281" t="s">
        <v>402</v>
      </c>
      <c r="M281" t="s">
        <v>27</v>
      </c>
      <c r="N281" t="s">
        <v>27</v>
      </c>
      <c r="O281" t="s">
        <v>27</v>
      </c>
      <c r="P281">
        <v>20</v>
      </c>
      <c r="Q281">
        <v>20250</v>
      </c>
      <c r="R281" t="s">
        <v>31</v>
      </c>
      <c r="S281" t="s">
        <v>31</v>
      </c>
      <c r="T281" t="s">
        <v>31</v>
      </c>
    </row>
    <row r="282" spans="1:20" hidden="1" x14ac:dyDescent="0.3">
      <c r="A282" t="s">
        <v>2172</v>
      </c>
      <c r="B282" t="s">
        <v>28</v>
      </c>
      <c r="C282" t="s">
        <v>29</v>
      </c>
      <c r="D282" t="s">
        <v>97</v>
      </c>
      <c r="E282">
        <v>2002</v>
      </c>
      <c r="F282">
        <v>2200000</v>
      </c>
      <c r="G282" t="s">
        <v>31</v>
      </c>
      <c r="H282" t="s">
        <v>2645</v>
      </c>
      <c r="I282" t="s">
        <v>34</v>
      </c>
      <c r="J282" t="s">
        <v>3006</v>
      </c>
      <c r="K282" t="s">
        <v>31</v>
      </c>
      <c r="L282" t="s">
        <v>31</v>
      </c>
      <c r="M282" t="s">
        <v>27</v>
      </c>
      <c r="N282" t="s">
        <v>27</v>
      </c>
      <c r="O282" t="s">
        <v>33</v>
      </c>
      <c r="P282" t="s">
        <v>31</v>
      </c>
      <c r="Q282">
        <v>290</v>
      </c>
      <c r="R282" t="s">
        <v>31</v>
      </c>
      <c r="S282" t="s">
        <v>31</v>
      </c>
      <c r="T282" t="s">
        <v>31</v>
      </c>
    </row>
    <row r="283" spans="1:20" hidden="1" x14ac:dyDescent="0.3">
      <c r="A283" t="s">
        <v>2173</v>
      </c>
      <c r="B283" t="s">
        <v>51</v>
      </c>
      <c r="C283" t="s">
        <v>37</v>
      </c>
      <c r="D283" t="s">
        <v>121</v>
      </c>
      <c r="E283">
        <v>2002</v>
      </c>
      <c r="F283">
        <v>50</v>
      </c>
      <c r="G283" t="s">
        <v>31</v>
      </c>
      <c r="H283" t="s">
        <v>2675</v>
      </c>
      <c r="I283" t="s">
        <v>81</v>
      </c>
      <c r="J283" t="s">
        <v>3007</v>
      </c>
      <c r="K283" t="s">
        <v>2664</v>
      </c>
      <c r="L283" t="s">
        <v>31</v>
      </c>
      <c r="M283" t="s">
        <v>27</v>
      </c>
      <c r="N283" t="s">
        <v>27</v>
      </c>
      <c r="O283" t="s">
        <v>27</v>
      </c>
      <c r="P283">
        <v>1584</v>
      </c>
      <c r="Q283" t="s">
        <v>31</v>
      </c>
      <c r="R283" t="s">
        <v>31</v>
      </c>
      <c r="S283" t="s">
        <v>31</v>
      </c>
      <c r="T283" t="s">
        <v>31</v>
      </c>
    </row>
    <row r="284" spans="1:20" hidden="1" x14ac:dyDescent="0.3">
      <c r="A284" t="s">
        <v>2174</v>
      </c>
      <c r="B284" t="s">
        <v>51</v>
      </c>
      <c r="C284" t="s">
        <v>37</v>
      </c>
      <c r="D284" t="s">
        <v>121</v>
      </c>
      <c r="E284">
        <v>2002</v>
      </c>
      <c r="F284" t="s">
        <v>31</v>
      </c>
      <c r="G284" t="s">
        <v>31</v>
      </c>
      <c r="H284" t="s">
        <v>2739</v>
      </c>
      <c r="I284" t="s">
        <v>77</v>
      </c>
      <c r="J284" t="s">
        <v>3008</v>
      </c>
      <c r="K284" t="s">
        <v>2664</v>
      </c>
      <c r="L284" t="s">
        <v>31</v>
      </c>
      <c r="M284" t="s">
        <v>27</v>
      </c>
      <c r="N284" t="s">
        <v>27</v>
      </c>
      <c r="O284" t="s">
        <v>27</v>
      </c>
      <c r="P284" t="s">
        <v>31</v>
      </c>
      <c r="Q284">
        <v>5530</v>
      </c>
      <c r="R284" t="s">
        <v>31</v>
      </c>
      <c r="S284" t="s">
        <v>31</v>
      </c>
      <c r="T284" t="s">
        <v>31</v>
      </c>
    </row>
    <row r="285" spans="1:20" hidden="1" x14ac:dyDescent="0.3">
      <c r="A285" t="s">
        <v>2175</v>
      </c>
      <c r="B285" t="s">
        <v>28</v>
      </c>
      <c r="C285" t="s">
        <v>2685</v>
      </c>
      <c r="D285" t="s">
        <v>68</v>
      </c>
      <c r="E285">
        <v>2002</v>
      </c>
      <c r="F285" t="s">
        <v>31</v>
      </c>
      <c r="G285" t="s">
        <v>31</v>
      </c>
      <c r="H285" t="s">
        <v>2658</v>
      </c>
      <c r="I285" t="s">
        <v>130</v>
      </c>
      <c r="J285" t="s">
        <v>3009</v>
      </c>
      <c r="K285" t="s">
        <v>31</v>
      </c>
      <c r="L285" t="s">
        <v>31</v>
      </c>
      <c r="M285" t="s">
        <v>27</v>
      </c>
      <c r="N285" t="s">
        <v>27</v>
      </c>
      <c r="O285" t="s">
        <v>27</v>
      </c>
      <c r="P285" t="s">
        <v>31</v>
      </c>
      <c r="Q285" t="s">
        <v>31</v>
      </c>
      <c r="R285" t="s">
        <v>31</v>
      </c>
      <c r="S285" t="s">
        <v>31</v>
      </c>
      <c r="T285" t="s">
        <v>31</v>
      </c>
    </row>
    <row r="286" spans="1:20" hidden="1" x14ac:dyDescent="0.3">
      <c r="A286" t="s">
        <v>2176</v>
      </c>
      <c r="B286" t="s">
        <v>43</v>
      </c>
      <c r="C286" t="s">
        <v>2665</v>
      </c>
      <c r="D286" t="s">
        <v>114</v>
      </c>
      <c r="E286">
        <v>2002</v>
      </c>
      <c r="F286" t="s">
        <v>31</v>
      </c>
      <c r="G286" t="s">
        <v>31</v>
      </c>
      <c r="H286" t="s">
        <v>2666</v>
      </c>
      <c r="I286" t="s">
        <v>109</v>
      </c>
      <c r="J286" t="s">
        <v>3010</v>
      </c>
      <c r="K286" t="s">
        <v>31</v>
      </c>
      <c r="L286" t="s">
        <v>31</v>
      </c>
      <c r="M286" t="s">
        <v>27</v>
      </c>
      <c r="N286" t="s">
        <v>27</v>
      </c>
      <c r="O286" t="s">
        <v>27</v>
      </c>
      <c r="P286" t="s">
        <v>31</v>
      </c>
      <c r="Q286" t="s">
        <v>31</v>
      </c>
      <c r="R286" t="s">
        <v>31</v>
      </c>
      <c r="S286" t="s">
        <v>31</v>
      </c>
      <c r="T286" t="s">
        <v>31</v>
      </c>
    </row>
    <row r="287" spans="1:20" hidden="1" x14ac:dyDescent="0.3">
      <c r="A287" t="s">
        <v>2177</v>
      </c>
      <c r="B287" t="s">
        <v>28</v>
      </c>
      <c r="C287" t="s">
        <v>29</v>
      </c>
      <c r="D287" t="s">
        <v>97</v>
      </c>
      <c r="E287">
        <v>2002</v>
      </c>
      <c r="F287">
        <v>20000</v>
      </c>
      <c r="G287" t="s">
        <v>31</v>
      </c>
      <c r="H287" t="s">
        <v>2645</v>
      </c>
      <c r="I287" t="s">
        <v>34</v>
      </c>
      <c r="J287" t="s">
        <v>3011</v>
      </c>
      <c r="K287" t="s">
        <v>31</v>
      </c>
      <c r="L287" t="s">
        <v>31</v>
      </c>
      <c r="M287" t="s">
        <v>27</v>
      </c>
      <c r="N287" t="s">
        <v>27</v>
      </c>
      <c r="O287" t="s">
        <v>27</v>
      </c>
      <c r="P287" t="s">
        <v>31</v>
      </c>
      <c r="Q287" t="s">
        <v>31</v>
      </c>
      <c r="R287" t="s">
        <v>31</v>
      </c>
      <c r="S287" t="s">
        <v>31</v>
      </c>
      <c r="T287" t="s">
        <v>31</v>
      </c>
    </row>
    <row r="288" spans="1:20" hidden="1" x14ac:dyDescent="0.3">
      <c r="A288" t="s">
        <v>2178</v>
      </c>
      <c r="B288" t="s">
        <v>28</v>
      </c>
      <c r="C288" t="s">
        <v>29</v>
      </c>
      <c r="D288" t="s">
        <v>30</v>
      </c>
      <c r="E288">
        <v>2002</v>
      </c>
      <c r="F288">
        <v>23000</v>
      </c>
      <c r="G288" t="s">
        <v>31</v>
      </c>
      <c r="H288" t="s">
        <v>2716</v>
      </c>
      <c r="I288" t="s">
        <v>242</v>
      </c>
      <c r="J288" t="s">
        <v>3012</v>
      </c>
      <c r="K288" t="s">
        <v>31</v>
      </c>
      <c r="L288" t="s">
        <v>31</v>
      </c>
      <c r="M288" t="s">
        <v>27</v>
      </c>
      <c r="N288" t="s">
        <v>27</v>
      </c>
      <c r="O288" t="s">
        <v>27</v>
      </c>
      <c r="P288" t="s">
        <v>31</v>
      </c>
      <c r="Q288">
        <v>165</v>
      </c>
      <c r="R288" t="s">
        <v>31</v>
      </c>
      <c r="S288" t="s">
        <v>31</v>
      </c>
      <c r="T288" t="s">
        <v>31</v>
      </c>
    </row>
    <row r="289" spans="1:20" hidden="1" x14ac:dyDescent="0.3">
      <c r="A289" t="s">
        <v>2179</v>
      </c>
      <c r="B289" t="s">
        <v>39</v>
      </c>
      <c r="C289" t="s">
        <v>40</v>
      </c>
      <c r="D289" t="s">
        <v>41</v>
      </c>
      <c r="E289">
        <v>2002</v>
      </c>
      <c r="F289" t="s">
        <v>31</v>
      </c>
      <c r="G289" t="s">
        <v>31</v>
      </c>
      <c r="H289" t="s">
        <v>2645</v>
      </c>
      <c r="I289" t="s">
        <v>34</v>
      </c>
      <c r="J289" t="s">
        <v>3013</v>
      </c>
      <c r="K289" t="s">
        <v>31</v>
      </c>
      <c r="L289" t="s">
        <v>31</v>
      </c>
      <c r="M289" t="s">
        <v>27</v>
      </c>
      <c r="N289" t="s">
        <v>27</v>
      </c>
      <c r="O289" t="s">
        <v>27</v>
      </c>
      <c r="P289" t="s">
        <v>31</v>
      </c>
      <c r="Q289">
        <v>2023</v>
      </c>
      <c r="R289" t="s">
        <v>31</v>
      </c>
      <c r="S289" t="s">
        <v>31</v>
      </c>
      <c r="T289" t="s">
        <v>31</v>
      </c>
    </row>
    <row r="290" spans="1:20" hidden="1" x14ac:dyDescent="0.3">
      <c r="A290" t="s">
        <v>2180</v>
      </c>
      <c r="B290" t="s">
        <v>28</v>
      </c>
      <c r="C290" t="s">
        <v>29</v>
      </c>
      <c r="D290" t="s">
        <v>30</v>
      </c>
      <c r="E290">
        <v>2002</v>
      </c>
      <c r="F290">
        <v>23000</v>
      </c>
      <c r="G290" t="s">
        <v>31</v>
      </c>
      <c r="H290" t="s">
        <v>2716</v>
      </c>
      <c r="I290" t="s">
        <v>242</v>
      </c>
      <c r="J290" t="s">
        <v>3014</v>
      </c>
      <c r="K290" t="s">
        <v>31</v>
      </c>
      <c r="L290" t="s">
        <v>31</v>
      </c>
      <c r="M290" t="s">
        <v>27</v>
      </c>
      <c r="N290" t="s">
        <v>27</v>
      </c>
      <c r="O290" t="s">
        <v>27</v>
      </c>
      <c r="P290" t="s">
        <v>31</v>
      </c>
      <c r="Q290">
        <v>173</v>
      </c>
      <c r="R290" t="s">
        <v>31</v>
      </c>
      <c r="S290" t="s">
        <v>31</v>
      </c>
      <c r="T290" t="s">
        <v>31</v>
      </c>
    </row>
    <row r="291" spans="1:20" hidden="1" x14ac:dyDescent="0.3">
      <c r="A291" t="s">
        <v>2181</v>
      </c>
      <c r="B291" t="s">
        <v>28</v>
      </c>
      <c r="C291" t="s">
        <v>29</v>
      </c>
      <c r="D291" t="s">
        <v>30</v>
      </c>
      <c r="E291">
        <v>2002</v>
      </c>
      <c r="F291">
        <v>1000</v>
      </c>
      <c r="G291" t="s">
        <v>31</v>
      </c>
      <c r="H291" t="s">
        <v>2751</v>
      </c>
      <c r="I291" t="s">
        <v>234</v>
      </c>
      <c r="J291" t="s">
        <v>3015</v>
      </c>
      <c r="K291" t="s">
        <v>31</v>
      </c>
      <c r="L291" t="s">
        <v>31</v>
      </c>
      <c r="M291" t="s">
        <v>27</v>
      </c>
      <c r="N291" t="s">
        <v>27</v>
      </c>
      <c r="O291" t="s">
        <v>27</v>
      </c>
      <c r="P291" t="s">
        <v>31</v>
      </c>
      <c r="Q291" t="s">
        <v>31</v>
      </c>
      <c r="R291" t="s">
        <v>31</v>
      </c>
      <c r="S291" t="s">
        <v>31</v>
      </c>
      <c r="T291" t="s">
        <v>31</v>
      </c>
    </row>
    <row r="292" spans="1:20" hidden="1" x14ac:dyDescent="0.3">
      <c r="A292" t="s">
        <v>2182</v>
      </c>
      <c r="B292" t="s">
        <v>28</v>
      </c>
      <c r="C292" t="s">
        <v>29</v>
      </c>
      <c r="D292" t="s">
        <v>30</v>
      </c>
      <c r="E292">
        <v>2002</v>
      </c>
      <c r="F292" t="s">
        <v>31</v>
      </c>
      <c r="G292" t="s">
        <v>31</v>
      </c>
      <c r="H292" t="s">
        <v>2749</v>
      </c>
      <c r="I292" t="s">
        <v>45</v>
      </c>
      <c r="J292" t="s">
        <v>2891</v>
      </c>
      <c r="K292" t="s">
        <v>31</v>
      </c>
      <c r="L292" t="s">
        <v>37</v>
      </c>
      <c r="M292" t="s">
        <v>27</v>
      </c>
      <c r="N292" t="s">
        <v>27</v>
      </c>
      <c r="O292" t="s">
        <v>27</v>
      </c>
      <c r="P292" t="s">
        <v>31</v>
      </c>
      <c r="Q292">
        <v>150</v>
      </c>
      <c r="R292" t="s">
        <v>31</v>
      </c>
      <c r="S292" t="s">
        <v>31</v>
      </c>
      <c r="T292" t="s">
        <v>31</v>
      </c>
    </row>
    <row r="293" spans="1:20" hidden="1" x14ac:dyDescent="0.3">
      <c r="A293" t="s">
        <v>2183</v>
      </c>
      <c r="B293" t="s">
        <v>43</v>
      </c>
      <c r="C293" t="s">
        <v>2665</v>
      </c>
      <c r="D293" t="s">
        <v>114</v>
      </c>
      <c r="E293">
        <v>2002</v>
      </c>
      <c r="F293" t="s">
        <v>31</v>
      </c>
      <c r="G293" t="s">
        <v>31</v>
      </c>
      <c r="H293" t="s">
        <v>2739</v>
      </c>
      <c r="I293" t="s">
        <v>77</v>
      </c>
      <c r="J293" t="s">
        <v>3016</v>
      </c>
      <c r="K293" t="s">
        <v>31</v>
      </c>
      <c r="L293" t="s">
        <v>31</v>
      </c>
      <c r="M293" t="s">
        <v>27</v>
      </c>
      <c r="N293" t="s">
        <v>27</v>
      </c>
      <c r="O293" t="s">
        <v>27</v>
      </c>
      <c r="P293" t="s">
        <v>31</v>
      </c>
      <c r="Q293" t="s">
        <v>31</v>
      </c>
      <c r="R293" t="s">
        <v>31</v>
      </c>
      <c r="S293" t="s">
        <v>31</v>
      </c>
      <c r="T293" t="s">
        <v>31</v>
      </c>
    </row>
    <row r="294" spans="1:20" hidden="1" x14ac:dyDescent="0.3">
      <c r="A294" t="s">
        <v>2184</v>
      </c>
      <c r="B294" t="s">
        <v>28</v>
      </c>
      <c r="C294" t="s">
        <v>29</v>
      </c>
      <c r="D294" t="s">
        <v>189</v>
      </c>
      <c r="E294">
        <v>2002</v>
      </c>
      <c r="F294" t="s">
        <v>31</v>
      </c>
      <c r="G294" t="s">
        <v>31</v>
      </c>
      <c r="H294" t="s">
        <v>2658</v>
      </c>
      <c r="I294" t="s">
        <v>130</v>
      </c>
      <c r="J294" t="s">
        <v>3017</v>
      </c>
      <c r="K294" t="s">
        <v>31</v>
      </c>
      <c r="L294" t="s">
        <v>31</v>
      </c>
      <c r="M294" t="s">
        <v>27</v>
      </c>
      <c r="N294" t="s">
        <v>27</v>
      </c>
      <c r="O294" t="s">
        <v>27</v>
      </c>
      <c r="P294" t="s">
        <v>31</v>
      </c>
      <c r="Q294" t="s">
        <v>31</v>
      </c>
      <c r="R294" t="s">
        <v>31</v>
      </c>
      <c r="S294" t="s">
        <v>31</v>
      </c>
      <c r="T294" t="s">
        <v>31</v>
      </c>
    </row>
    <row r="295" spans="1:20" hidden="1" x14ac:dyDescent="0.3">
      <c r="A295" t="s">
        <v>2185</v>
      </c>
      <c r="B295" t="s">
        <v>28</v>
      </c>
      <c r="C295" t="s">
        <v>29</v>
      </c>
      <c r="D295" t="s">
        <v>30</v>
      </c>
      <c r="E295">
        <v>2002</v>
      </c>
      <c r="F295">
        <v>2000000</v>
      </c>
      <c r="G295" t="s">
        <v>31</v>
      </c>
      <c r="H295" t="s">
        <v>2645</v>
      </c>
      <c r="I295" t="s">
        <v>34</v>
      </c>
      <c r="J295" t="s">
        <v>3018</v>
      </c>
      <c r="K295" t="s">
        <v>31</v>
      </c>
      <c r="L295" t="s">
        <v>37</v>
      </c>
      <c r="M295" t="s">
        <v>27</v>
      </c>
      <c r="N295" t="s">
        <v>27</v>
      </c>
      <c r="O295" t="s">
        <v>27</v>
      </c>
      <c r="P295" t="s">
        <v>31</v>
      </c>
      <c r="Q295" t="s">
        <v>31</v>
      </c>
      <c r="R295" t="s">
        <v>31</v>
      </c>
      <c r="S295" t="s">
        <v>31</v>
      </c>
      <c r="T295" t="s">
        <v>31</v>
      </c>
    </row>
    <row r="296" spans="1:20" hidden="1" x14ac:dyDescent="0.3">
      <c r="A296" t="s">
        <v>2186</v>
      </c>
      <c r="B296" t="s">
        <v>28</v>
      </c>
      <c r="C296" t="s">
        <v>29</v>
      </c>
      <c r="D296" t="s">
        <v>67</v>
      </c>
      <c r="E296">
        <v>2002</v>
      </c>
      <c r="F296" t="s">
        <v>31</v>
      </c>
      <c r="G296" t="s">
        <v>31</v>
      </c>
      <c r="H296" t="s">
        <v>2645</v>
      </c>
      <c r="I296" t="s">
        <v>34</v>
      </c>
      <c r="J296" t="s">
        <v>3019</v>
      </c>
      <c r="K296" t="s">
        <v>31</v>
      </c>
      <c r="L296" t="s">
        <v>31</v>
      </c>
      <c r="M296" t="s">
        <v>27</v>
      </c>
      <c r="N296" t="s">
        <v>27</v>
      </c>
      <c r="O296" t="s">
        <v>27</v>
      </c>
      <c r="P296" t="s">
        <v>31</v>
      </c>
      <c r="Q296" t="s">
        <v>31</v>
      </c>
      <c r="R296" t="s">
        <v>31</v>
      </c>
      <c r="S296" t="s">
        <v>31</v>
      </c>
      <c r="T296" t="s">
        <v>31</v>
      </c>
    </row>
    <row r="297" spans="1:20" hidden="1" x14ac:dyDescent="0.3">
      <c r="A297" t="s">
        <v>2187</v>
      </c>
      <c r="B297" t="s">
        <v>28</v>
      </c>
      <c r="C297" t="s">
        <v>2685</v>
      </c>
      <c r="D297" t="s">
        <v>68</v>
      </c>
      <c r="E297">
        <v>2002</v>
      </c>
      <c r="F297" t="s">
        <v>31</v>
      </c>
      <c r="G297" t="s">
        <v>31</v>
      </c>
      <c r="H297" t="s">
        <v>2672</v>
      </c>
      <c r="I297" t="s">
        <v>73</v>
      </c>
      <c r="J297" t="s">
        <v>3020</v>
      </c>
      <c r="K297" t="s">
        <v>31</v>
      </c>
      <c r="L297" t="s">
        <v>31</v>
      </c>
      <c r="M297" t="s">
        <v>27</v>
      </c>
      <c r="N297" t="s">
        <v>27</v>
      </c>
      <c r="O297" t="s">
        <v>27</v>
      </c>
      <c r="P297" t="s">
        <v>31</v>
      </c>
      <c r="Q297">
        <v>-10</v>
      </c>
      <c r="R297" t="s">
        <v>31</v>
      </c>
      <c r="S297" t="s">
        <v>31</v>
      </c>
      <c r="T297" t="s">
        <v>31</v>
      </c>
    </row>
    <row r="298" spans="1:20" hidden="1" x14ac:dyDescent="0.3">
      <c r="A298" t="s">
        <v>2188</v>
      </c>
      <c r="B298" t="s">
        <v>51</v>
      </c>
      <c r="C298" t="s">
        <v>37</v>
      </c>
      <c r="D298" t="s">
        <v>121</v>
      </c>
      <c r="E298">
        <v>2002</v>
      </c>
      <c r="F298" t="s">
        <v>31</v>
      </c>
      <c r="G298" t="s">
        <v>31</v>
      </c>
      <c r="H298" t="s">
        <v>2647</v>
      </c>
      <c r="I298" t="s">
        <v>47</v>
      </c>
      <c r="J298" t="s">
        <v>3021</v>
      </c>
      <c r="K298" t="s">
        <v>2664</v>
      </c>
      <c r="L298" t="s">
        <v>402</v>
      </c>
      <c r="M298" t="s">
        <v>27</v>
      </c>
      <c r="N298" t="s">
        <v>27</v>
      </c>
      <c r="O298" t="s">
        <v>27</v>
      </c>
      <c r="P298" t="s">
        <v>31</v>
      </c>
      <c r="Q298" t="s">
        <v>31</v>
      </c>
      <c r="R298" t="s">
        <v>31</v>
      </c>
      <c r="S298" t="s">
        <v>31</v>
      </c>
      <c r="T298" t="s">
        <v>3022</v>
      </c>
    </row>
    <row r="299" spans="1:20" hidden="1" x14ac:dyDescent="0.3">
      <c r="A299" t="s">
        <v>2189</v>
      </c>
      <c r="B299" t="s">
        <v>91</v>
      </c>
      <c r="C299" t="s">
        <v>2712</v>
      </c>
      <c r="D299" t="s">
        <v>105</v>
      </c>
      <c r="E299">
        <v>2002</v>
      </c>
      <c r="F299" t="s">
        <v>31</v>
      </c>
      <c r="G299" t="s">
        <v>31</v>
      </c>
      <c r="H299" t="s">
        <v>2666</v>
      </c>
      <c r="I299" t="s">
        <v>109</v>
      </c>
      <c r="J299" t="s">
        <v>3023</v>
      </c>
      <c r="K299" t="s">
        <v>31</v>
      </c>
      <c r="L299" t="s">
        <v>31</v>
      </c>
      <c r="M299" t="s">
        <v>27</v>
      </c>
      <c r="N299" t="s">
        <v>27</v>
      </c>
      <c r="O299" t="s">
        <v>27</v>
      </c>
      <c r="P299" t="s">
        <v>31</v>
      </c>
      <c r="Q299" t="s">
        <v>31</v>
      </c>
      <c r="R299">
        <v>-1.4670000000000001</v>
      </c>
      <c r="S299">
        <v>-78.441999999999993</v>
      </c>
      <c r="T299" t="s">
        <v>31</v>
      </c>
    </row>
    <row r="300" spans="1:20" hidden="1" x14ac:dyDescent="0.3">
      <c r="A300" t="s">
        <v>2190</v>
      </c>
      <c r="B300" t="s">
        <v>51</v>
      </c>
      <c r="C300" t="s">
        <v>37</v>
      </c>
      <c r="D300" t="s">
        <v>121</v>
      </c>
      <c r="E300">
        <v>2002</v>
      </c>
      <c r="F300" t="s">
        <v>31</v>
      </c>
      <c r="G300" t="s">
        <v>31</v>
      </c>
      <c r="H300" t="s">
        <v>2701</v>
      </c>
      <c r="I300" t="s">
        <v>60</v>
      </c>
      <c r="J300" t="s">
        <v>3024</v>
      </c>
      <c r="K300" t="s">
        <v>2664</v>
      </c>
      <c r="L300" t="s">
        <v>31</v>
      </c>
      <c r="M300" t="s">
        <v>27</v>
      </c>
      <c r="N300" t="s">
        <v>27</v>
      </c>
      <c r="O300" t="s">
        <v>27</v>
      </c>
      <c r="P300" t="s">
        <v>31</v>
      </c>
      <c r="Q300" t="s">
        <v>31</v>
      </c>
      <c r="R300" t="s">
        <v>31</v>
      </c>
      <c r="S300" t="s">
        <v>31</v>
      </c>
      <c r="T300" t="s">
        <v>31</v>
      </c>
    </row>
    <row r="301" spans="1:20" hidden="1" x14ac:dyDescent="0.3">
      <c r="A301" t="s">
        <v>2191</v>
      </c>
      <c r="B301" t="s">
        <v>28</v>
      </c>
      <c r="C301" t="s">
        <v>29</v>
      </c>
      <c r="D301" t="s">
        <v>30</v>
      </c>
      <c r="E301">
        <v>2002</v>
      </c>
      <c r="F301">
        <v>100</v>
      </c>
      <c r="G301" t="s">
        <v>31</v>
      </c>
      <c r="H301" t="s">
        <v>2719</v>
      </c>
      <c r="I301" t="s">
        <v>90</v>
      </c>
      <c r="J301" t="s">
        <v>3025</v>
      </c>
      <c r="K301" t="s">
        <v>31</v>
      </c>
      <c r="L301" t="s">
        <v>31</v>
      </c>
      <c r="M301" t="s">
        <v>27</v>
      </c>
      <c r="N301" t="s">
        <v>27</v>
      </c>
      <c r="O301" t="s">
        <v>27</v>
      </c>
      <c r="P301" t="s">
        <v>31</v>
      </c>
      <c r="Q301" t="s">
        <v>31</v>
      </c>
      <c r="R301" t="s">
        <v>31</v>
      </c>
      <c r="S301" t="s">
        <v>31</v>
      </c>
      <c r="T301" t="s">
        <v>31</v>
      </c>
    </row>
    <row r="302" spans="1:20" hidden="1" x14ac:dyDescent="0.3">
      <c r="A302" t="s">
        <v>2192</v>
      </c>
      <c r="B302" t="s">
        <v>28</v>
      </c>
      <c r="C302" t="s">
        <v>29</v>
      </c>
      <c r="D302" t="s">
        <v>30</v>
      </c>
      <c r="E302">
        <v>2002</v>
      </c>
      <c r="F302">
        <v>1000</v>
      </c>
      <c r="G302" t="s">
        <v>31</v>
      </c>
      <c r="H302" t="s">
        <v>2675</v>
      </c>
      <c r="I302" t="s">
        <v>81</v>
      </c>
      <c r="J302" t="s">
        <v>3026</v>
      </c>
      <c r="K302" t="s">
        <v>31</v>
      </c>
      <c r="L302" t="s">
        <v>31</v>
      </c>
      <c r="M302" t="s">
        <v>27</v>
      </c>
      <c r="N302" t="s">
        <v>27</v>
      </c>
      <c r="O302" t="s">
        <v>27</v>
      </c>
      <c r="P302" t="s">
        <v>31</v>
      </c>
      <c r="Q302" t="s">
        <v>31</v>
      </c>
      <c r="R302" t="s">
        <v>31</v>
      </c>
      <c r="S302" t="s">
        <v>31</v>
      </c>
      <c r="T302" t="s">
        <v>31</v>
      </c>
    </row>
    <row r="303" spans="1:20" hidden="1" x14ac:dyDescent="0.3">
      <c r="A303" t="s">
        <v>2193</v>
      </c>
      <c r="B303" t="s">
        <v>39</v>
      </c>
      <c r="C303" t="s">
        <v>157</v>
      </c>
      <c r="D303" t="s">
        <v>157</v>
      </c>
      <c r="E303">
        <v>2002</v>
      </c>
      <c r="F303">
        <v>210000</v>
      </c>
      <c r="G303" t="s">
        <v>31</v>
      </c>
      <c r="H303" t="s">
        <v>2672</v>
      </c>
      <c r="I303" t="s">
        <v>73</v>
      </c>
      <c r="J303" t="s">
        <v>3027</v>
      </c>
      <c r="K303" t="s">
        <v>31</v>
      </c>
      <c r="L303" t="s">
        <v>31</v>
      </c>
      <c r="M303" t="s">
        <v>27</v>
      </c>
      <c r="N303" t="s">
        <v>27</v>
      </c>
      <c r="O303" t="s">
        <v>27</v>
      </c>
      <c r="P303" t="s">
        <v>31</v>
      </c>
      <c r="Q303" t="s">
        <v>31</v>
      </c>
      <c r="R303" t="s">
        <v>31</v>
      </c>
      <c r="S303" t="s">
        <v>31</v>
      </c>
      <c r="T303" t="s">
        <v>31</v>
      </c>
    </row>
    <row r="304" spans="1:20" hidden="1" x14ac:dyDescent="0.3">
      <c r="A304" t="s">
        <v>516</v>
      </c>
      <c r="B304" t="s">
        <v>51</v>
      </c>
      <c r="C304" t="s">
        <v>37</v>
      </c>
      <c r="D304" t="s">
        <v>121</v>
      </c>
      <c r="E304">
        <v>2003</v>
      </c>
      <c r="F304" t="s">
        <v>31</v>
      </c>
      <c r="G304" t="s">
        <v>31</v>
      </c>
      <c r="H304" t="s">
        <v>2669</v>
      </c>
      <c r="I304" t="s">
        <v>111</v>
      </c>
      <c r="J304" t="s">
        <v>3028</v>
      </c>
      <c r="K304" t="s">
        <v>3029</v>
      </c>
      <c r="L304" t="s">
        <v>31</v>
      </c>
      <c r="M304" t="s">
        <v>27</v>
      </c>
      <c r="N304" t="s">
        <v>27</v>
      </c>
      <c r="O304" t="s">
        <v>27</v>
      </c>
      <c r="P304" t="s">
        <v>31</v>
      </c>
      <c r="Q304">
        <v>19480</v>
      </c>
      <c r="R304" t="s">
        <v>31</v>
      </c>
      <c r="S304" t="s">
        <v>31</v>
      </c>
      <c r="T304" t="s">
        <v>3030</v>
      </c>
    </row>
    <row r="305" spans="1:20" hidden="1" x14ac:dyDescent="0.3">
      <c r="A305" t="s">
        <v>518</v>
      </c>
      <c r="B305" t="s">
        <v>51</v>
      </c>
      <c r="C305" t="s">
        <v>37</v>
      </c>
      <c r="D305" t="s">
        <v>121</v>
      </c>
      <c r="E305">
        <v>2003</v>
      </c>
      <c r="F305">
        <v>106000</v>
      </c>
      <c r="G305" t="s">
        <v>31</v>
      </c>
      <c r="H305" t="s">
        <v>2645</v>
      </c>
      <c r="I305" t="s">
        <v>34</v>
      </c>
      <c r="J305" t="s">
        <v>3031</v>
      </c>
      <c r="K305" t="s">
        <v>2649</v>
      </c>
      <c r="L305" t="s">
        <v>181</v>
      </c>
      <c r="M305" t="s">
        <v>27</v>
      </c>
      <c r="N305" t="s">
        <v>27</v>
      </c>
      <c r="O305" t="s">
        <v>27</v>
      </c>
      <c r="P305" t="s">
        <v>31</v>
      </c>
      <c r="Q305">
        <v>150500</v>
      </c>
      <c r="R305" t="s">
        <v>31</v>
      </c>
      <c r="S305" t="s">
        <v>31</v>
      </c>
      <c r="T305" t="s">
        <v>3032</v>
      </c>
    </row>
    <row r="306" spans="1:20" hidden="1" x14ac:dyDescent="0.3">
      <c r="A306" t="s">
        <v>519</v>
      </c>
      <c r="B306" t="s">
        <v>28</v>
      </c>
      <c r="C306" t="s">
        <v>2685</v>
      </c>
      <c r="D306" t="s">
        <v>68</v>
      </c>
      <c r="E306">
        <v>2003</v>
      </c>
      <c r="F306" t="s">
        <v>31</v>
      </c>
      <c r="G306" t="s">
        <v>31</v>
      </c>
      <c r="H306" t="s">
        <v>2678</v>
      </c>
      <c r="I306" t="s">
        <v>53</v>
      </c>
      <c r="J306" t="s">
        <v>3033</v>
      </c>
      <c r="K306" t="s">
        <v>31</v>
      </c>
      <c r="L306" t="s">
        <v>355</v>
      </c>
      <c r="M306" t="s">
        <v>33</v>
      </c>
      <c r="N306" t="s">
        <v>27</v>
      </c>
      <c r="O306" t="s">
        <v>27</v>
      </c>
      <c r="P306" t="s">
        <v>31</v>
      </c>
      <c r="Q306">
        <v>-28</v>
      </c>
      <c r="R306" t="s">
        <v>31</v>
      </c>
      <c r="S306" t="s">
        <v>31</v>
      </c>
      <c r="T306" t="s">
        <v>31</v>
      </c>
    </row>
    <row r="307" spans="1:20" hidden="1" x14ac:dyDescent="0.3">
      <c r="A307" t="s">
        <v>520</v>
      </c>
      <c r="B307" t="s">
        <v>51</v>
      </c>
      <c r="C307" t="s">
        <v>37</v>
      </c>
      <c r="D307" t="s">
        <v>56</v>
      </c>
      <c r="E307">
        <v>2003</v>
      </c>
      <c r="F307">
        <v>10000</v>
      </c>
      <c r="G307" t="s">
        <v>31</v>
      </c>
      <c r="H307" t="s">
        <v>2739</v>
      </c>
      <c r="I307" t="s">
        <v>77</v>
      </c>
      <c r="J307" t="s">
        <v>3034</v>
      </c>
      <c r="K307" t="s">
        <v>2652</v>
      </c>
      <c r="L307" t="s">
        <v>31</v>
      </c>
      <c r="M307" t="s">
        <v>27</v>
      </c>
      <c r="N307" t="s">
        <v>27</v>
      </c>
      <c r="O307" t="s">
        <v>27</v>
      </c>
      <c r="P307" t="s">
        <v>31</v>
      </c>
      <c r="Q307">
        <v>1990</v>
      </c>
      <c r="R307" t="s">
        <v>31</v>
      </c>
      <c r="S307" t="s">
        <v>31</v>
      </c>
      <c r="T307" t="s">
        <v>3035</v>
      </c>
    </row>
    <row r="308" spans="1:20" hidden="1" x14ac:dyDescent="0.3">
      <c r="A308" t="s">
        <v>521</v>
      </c>
      <c r="B308" t="s">
        <v>28</v>
      </c>
      <c r="C308" t="s">
        <v>29</v>
      </c>
      <c r="D308" t="s">
        <v>30</v>
      </c>
      <c r="E308">
        <v>2003</v>
      </c>
      <c r="F308">
        <v>100000</v>
      </c>
      <c r="G308" t="s">
        <v>31</v>
      </c>
      <c r="H308" t="s">
        <v>2672</v>
      </c>
      <c r="I308" t="s">
        <v>73</v>
      </c>
      <c r="J308" t="s">
        <v>3036</v>
      </c>
      <c r="K308" t="s">
        <v>31</v>
      </c>
      <c r="L308" t="s">
        <v>382</v>
      </c>
      <c r="M308" t="s">
        <v>27</v>
      </c>
      <c r="N308" t="s">
        <v>27</v>
      </c>
      <c r="O308" t="s">
        <v>27</v>
      </c>
      <c r="P308" t="s">
        <v>31</v>
      </c>
      <c r="Q308">
        <v>166</v>
      </c>
      <c r="R308" t="s">
        <v>31</v>
      </c>
      <c r="S308" t="s">
        <v>31</v>
      </c>
      <c r="T308" t="s">
        <v>31</v>
      </c>
    </row>
    <row r="309" spans="1:20" hidden="1" x14ac:dyDescent="0.3">
      <c r="A309" t="s">
        <v>522</v>
      </c>
      <c r="B309" t="s">
        <v>51</v>
      </c>
      <c r="C309" t="s">
        <v>37</v>
      </c>
      <c r="D309" t="s">
        <v>194</v>
      </c>
      <c r="E309">
        <v>2003</v>
      </c>
      <c r="F309" t="s">
        <v>31</v>
      </c>
      <c r="G309" t="s">
        <v>31</v>
      </c>
      <c r="H309" t="s">
        <v>2672</v>
      </c>
      <c r="I309" t="s">
        <v>73</v>
      </c>
      <c r="J309" t="s">
        <v>3037</v>
      </c>
      <c r="K309" t="s">
        <v>3038</v>
      </c>
      <c r="L309" t="s">
        <v>31</v>
      </c>
      <c r="M309" t="s">
        <v>27</v>
      </c>
      <c r="N309" t="s">
        <v>27</v>
      </c>
      <c r="O309" t="s">
        <v>27</v>
      </c>
      <c r="P309" t="s">
        <v>31</v>
      </c>
      <c r="Q309" t="s">
        <v>31</v>
      </c>
      <c r="R309" t="s">
        <v>31</v>
      </c>
      <c r="S309" t="s">
        <v>31</v>
      </c>
      <c r="T309" t="s">
        <v>31</v>
      </c>
    </row>
    <row r="310" spans="1:20" hidden="1" x14ac:dyDescent="0.3">
      <c r="A310" t="s">
        <v>523</v>
      </c>
      <c r="B310" t="s">
        <v>51</v>
      </c>
      <c r="C310" t="s">
        <v>37</v>
      </c>
      <c r="D310" t="s">
        <v>121</v>
      </c>
      <c r="E310">
        <v>2003</v>
      </c>
      <c r="F310">
        <v>15000</v>
      </c>
      <c r="G310" t="s">
        <v>31</v>
      </c>
      <c r="H310" t="s">
        <v>2739</v>
      </c>
      <c r="I310" t="s">
        <v>77</v>
      </c>
      <c r="J310" t="s">
        <v>3039</v>
      </c>
      <c r="K310" t="s">
        <v>2649</v>
      </c>
      <c r="L310" t="s">
        <v>31</v>
      </c>
      <c r="M310" t="s">
        <v>27</v>
      </c>
      <c r="N310" t="s">
        <v>27</v>
      </c>
      <c r="O310" t="s">
        <v>33</v>
      </c>
      <c r="P310" t="s">
        <v>31</v>
      </c>
      <c r="Q310" t="s">
        <v>31</v>
      </c>
      <c r="R310" t="s">
        <v>31</v>
      </c>
      <c r="S310" t="s">
        <v>31</v>
      </c>
      <c r="T310" t="s">
        <v>3040</v>
      </c>
    </row>
    <row r="311" spans="1:20" hidden="1" x14ac:dyDescent="0.3">
      <c r="A311" t="s">
        <v>524</v>
      </c>
      <c r="B311" t="s">
        <v>39</v>
      </c>
      <c r="C311" t="s">
        <v>40</v>
      </c>
      <c r="D311" t="s">
        <v>41</v>
      </c>
      <c r="E311">
        <v>2003</v>
      </c>
      <c r="F311" t="s">
        <v>31</v>
      </c>
      <c r="G311" t="s">
        <v>31</v>
      </c>
      <c r="H311" t="s">
        <v>2672</v>
      </c>
      <c r="I311" t="s">
        <v>73</v>
      </c>
      <c r="J311" t="s">
        <v>3041</v>
      </c>
      <c r="K311" t="s">
        <v>31</v>
      </c>
      <c r="L311" t="s">
        <v>31</v>
      </c>
      <c r="M311" t="s">
        <v>27</v>
      </c>
      <c r="N311" t="s">
        <v>27</v>
      </c>
      <c r="O311" t="s">
        <v>27</v>
      </c>
      <c r="P311" t="s">
        <v>31</v>
      </c>
      <c r="Q311" t="s">
        <v>31</v>
      </c>
      <c r="R311" t="s">
        <v>31</v>
      </c>
      <c r="S311" t="s">
        <v>31</v>
      </c>
      <c r="T311" t="s">
        <v>31</v>
      </c>
    </row>
    <row r="312" spans="1:20" hidden="1" x14ac:dyDescent="0.3">
      <c r="A312" t="s">
        <v>525</v>
      </c>
      <c r="B312" t="s">
        <v>91</v>
      </c>
      <c r="C312" t="s">
        <v>92</v>
      </c>
      <c r="D312" t="s">
        <v>93</v>
      </c>
      <c r="E312">
        <v>2003</v>
      </c>
      <c r="F312" t="s">
        <v>31</v>
      </c>
      <c r="G312" t="s">
        <v>3042</v>
      </c>
      <c r="H312" t="s">
        <v>2695</v>
      </c>
      <c r="I312" t="s">
        <v>161</v>
      </c>
      <c r="J312" t="s">
        <v>3043</v>
      </c>
      <c r="K312" t="s">
        <v>31</v>
      </c>
      <c r="L312" t="s">
        <v>31</v>
      </c>
      <c r="M312" t="s">
        <v>27</v>
      </c>
      <c r="N312" t="s">
        <v>27</v>
      </c>
      <c r="O312" t="s">
        <v>27</v>
      </c>
      <c r="P312" t="s">
        <v>31</v>
      </c>
      <c r="Q312">
        <v>6.5</v>
      </c>
      <c r="R312">
        <v>8.4160000000000004</v>
      </c>
      <c r="S312">
        <v>-82.823999999999998</v>
      </c>
      <c r="T312" t="s">
        <v>31</v>
      </c>
    </row>
    <row r="313" spans="1:20" hidden="1" x14ac:dyDescent="0.3">
      <c r="A313" t="s">
        <v>526</v>
      </c>
      <c r="B313" t="s">
        <v>51</v>
      </c>
      <c r="C313" t="s">
        <v>37</v>
      </c>
      <c r="D313" t="s">
        <v>56</v>
      </c>
      <c r="E313">
        <v>2003</v>
      </c>
      <c r="F313" t="s">
        <v>31</v>
      </c>
      <c r="G313" t="s">
        <v>31</v>
      </c>
      <c r="H313" t="s">
        <v>2645</v>
      </c>
      <c r="I313" t="s">
        <v>34</v>
      </c>
      <c r="J313" t="s">
        <v>3044</v>
      </c>
      <c r="K313" t="s">
        <v>2652</v>
      </c>
      <c r="L313" t="s">
        <v>31</v>
      </c>
      <c r="M313" t="s">
        <v>27</v>
      </c>
      <c r="N313" t="s">
        <v>27</v>
      </c>
      <c r="O313" t="s">
        <v>33</v>
      </c>
      <c r="P313" t="s">
        <v>31</v>
      </c>
      <c r="Q313">
        <v>250</v>
      </c>
      <c r="R313" t="s">
        <v>31</v>
      </c>
      <c r="S313" t="s">
        <v>31</v>
      </c>
      <c r="T313" t="s">
        <v>31</v>
      </c>
    </row>
    <row r="314" spans="1:20" x14ac:dyDescent="0.3">
      <c r="A314" t="s">
        <v>527</v>
      </c>
      <c r="B314" t="s">
        <v>51</v>
      </c>
      <c r="C314" t="s">
        <v>37</v>
      </c>
      <c r="D314" t="s">
        <v>121</v>
      </c>
      <c r="E314">
        <v>2003</v>
      </c>
      <c r="F314">
        <v>303000</v>
      </c>
      <c r="G314" t="s">
        <v>31</v>
      </c>
      <c r="H314" t="s">
        <v>2656</v>
      </c>
      <c r="I314" t="s">
        <v>119</v>
      </c>
      <c r="J314" t="s">
        <v>2595</v>
      </c>
      <c r="K314" t="s">
        <v>2649</v>
      </c>
      <c r="L314" t="s">
        <v>54</v>
      </c>
      <c r="M314" t="s">
        <v>33</v>
      </c>
      <c r="N314" t="s">
        <v>27</v>
      </c>
      <c r="O314" t="s">
        <v>27</v>
      </c>
      <c r="P314" t="s">
        <v>31</v>
      </c>
      <c r="Q314" t="s">
        <v>31</v>
      </c>
      <c r="R314" t="s">
        <v>31</v>
      </c>
      <c r="S314" t="s">
        <v>31</v>
      </c>
      <c r="T314" t="s">
        <v>31</v>
      </c>
    </row>
    <row r="315" spans="1:20" hidden="1" x14ac:dyDescent="0.3">
      <c r="A315" t="s">
        <v>528</v>
      </c>
      <c r="B315" t="s">
        <v>28</v>
      </c>
      <c r="C315" t="s">
        <v>29</v>
      </c>
      <c r="D315" t="s">
        <v>30</v>
      </c>
      <c r="E315">
        <v>2003</v>
      </c>
      <c r="F315" t="s">
        <v>31</v>
      </c>
      <c r="G315" t="s">
        <v>31</v>
      </c>
      <c r="H315" t="s">
        <v>2672</v>
      </c>
      <c r="I315" t="s">
        <v>73</v>
      </c>
      <c r="J315" t="s">
        <v>3045</v>
      </c>
      <c r="K315" t="s">
        <v>31</v>
      </c>
      <c r="L315" t="s">
        <v>181</v>
      </c>
      <c r="M315" t="s">
        <v>27</v>
      </c>
      <c r="N315" t="s">
        <v>27</v>
      </c>
      <c r="O315" t="s">
        <v>27</v>
      </c>
      <c r="P315" t="s">
        <v>31</v>
      </c>
      <c r="Q315" t="s">
        <v>31</v>
      </c>
      <c r="R315" t="s">
        <v>31</v>
      </c>
      <c r="S315" t="s">
        <v>31</v>
      </c>
      <c r="T315" t="s">
        <v>31</v>
      </c>
    </row>
    <row r="316" spans="1:20" hidden="1" x14ac:dyDescent="0.3">
      <c r="A316" t="s">
        <v>529</v>
      </c>
      <c r="B316" t="s">
        <v>51</v>
      </c>
      <c r="C316" t="s">
        <v>37</v>
      </c>
      <c r="D316" t="s">
        <v>121</v>
      </c>
      <c r="E316">
        <v>2003</v>
      </c>
      <c r="F316" t="s">
        <v>31</v>
      </c>
      <c r="G316" t="s">
        <v>31</v>
      </c>
      <c r="H316" t="s">
        <v>2672</v>
      </c>
      <c r="I316" t="s">
        <v>73</v>
      </c>
      <c r="J316" t="s">
        <v>3046</v>
      </c>
      <c r="K316" t="s">
        <v>2664</v>
      </c>
      <c r="L316" t="s">
        <v>530</v>
      </c>
      <c r="M316" t="s">
        <v>27</v>
      </c>
      <c r="N316" t="s">
        <v>27</v>
      </c>
      <c r="O316" t="s">
        <v>27</v>
      </c>
      <c r="P316" t="s">
        <v>31</v>
      </c>
      <c r="Q316">
        <v>1200</v>
      </c>
      <c r="R316" t="s">
        <v>31</v>
      </c>
      <c r="S316" t="s">
        <v>31</v>
      </c>
      <c r="T316" t="s">
        <v>3047</v>
      </c>
    </row>
    <row r="317" spans="1:20" hidden="1" x14ac:dyDescent="0.3">
      <c r="A317" t="s">
        <v>531</v>
      </c>
      <c r="B317" t="s">
        <v>51</v>
      </c>
      <c r="C317" t="s">
        <v>37</v>
      </c>
      <c r="D317" t="s">
        <v>121</v>
      </c>
      <c r="E317">
        <v>2003</v>
      </c>
      <c r="F317" t="s">
        <v>31</v>
      </c>
      <c r="G317" t="s">
        <v>31</v>
      </c>
      <c r="H317" t="s">
        <v>2656</v>
      </c>
      <c r="I317" t="s">
        <v>119</v>
      </c>
      <c r="J317" t="s">
        <v>3048</v>
      </c>
      <c r="K317" t="s">
        <v>2649</v>
      </c>
      <c r="L317" t="s">
        <v>54</v>
      </c>
      <c r="M317" t="s">
        <v>27</v>
      </c>
      <c r="N317" t="s">
        <v>27</v>
      </c>
      <c r="O317" t="s">
        <v>27</v>
      </c>
      <c r="P317" t="s">
        <v>31</v>
      </c>
      <c r="Q317">
        <v>75950</v>
      </c>
      <c r="R317" t="s">
        <v>31</v>
      </c>
      <c r="S317" t="s">
        <v>31</v>
      </c>
      <c r="T317" t="s">
        <v>3049</v>
      </c>
    </row>
    <row r="318" spans="1:20" hidden="1" x14ac:dyDescent="0.3">
      <c r="A318" t="s">
        <v>532</v>
      </c>
      <c r="B318" t="s">
        <v>51</v>
      </c>
      <c r="C318" t="s">
        <v>37</v>
      </c>
      <c r="D318" t="s">
        <v>121</v>
      </c>
      <c r="E318">
        <v>2003</v>
      </c>
      <c r="F318" t="s">
        <v>31</v>
      </c>
      <c r="G318" t="s">
        <v>31</v>
      </c>
      <c r="H318" t="s">
        <v>2716</v>
      </c>
      <c r="I318" t="s">
        <v>242</v>
      </c>
      <c r="J318" t="s">
        <v>3050</v>
      </c>
      <c r="K318" t="s">
        <v>2649</v>
      </c>
      <c r="L318" t="s">
        <v>31</v>
      </c>
      <c r="M318" t="s">
        <v>27</v>
      </c>
      <c r="N318" t="s">
        <v>27</v>
      </c>
      <c r="O318" t="s">
        <v>27</v>
      </c>
      <c r="P318" t="s">
        <v>31</v>
      </c>
      <c r="Q318" t="s">
        <v>31</v>
      </c>
      <c r="R318" t="s">
        <v>31</v>
      </c>
      <c r="S318" t="s">
        <v>31</v>
      </c>
      <c r="T318" t="s">
        <v>31</v>
      </c>
    </row>
    <row r="319" spans="1:20" hidden="1" x14ac:dyDescent="0.3">
      <c r="A319" t="s">
        <v>533</v>
      </c>
      <c r="B319" t="s">
        <v>51</v>
      </c>
      <c r="C319" t="s">
        <v>37</v>
      </c>
      <c r="D319" t="s">
        <v>121</v>
      </c>
      <c r="E319">
        <v>2003</v>
      </c>
      <c r="F319" t="s">
        <v>31</v>
      </c>
      <c r="G319" t="s">
        <v>31</v>
      </c>
      <c r="H319" t="s">
        <v>2666</v>
      </c>
      <c r="I319" t="s">
        <v>109</v>
      </c>
      <c r="J319" t="s">
        <v>3051</v>
      </c>
      <c r="K319" t="s">
        <v>2649</v>
      </c>
      <c r="L319" t="s">
        <v>31</v>
      </c>
      <c r="M319" t="s">
        <v>27</v>
      </c>
      <c r="N319" t="s">
        <v>27</v>
      </c>
      <c r="O319" t="s">
        <v>27</v>
      </c>
      <c r="P319" t="s">
        <v>31</v>
      </c>
      <c r="Q319" t="s">
        <v>31</v>
      </c>
      <c r="R319" t="s">
        <v>31</v>
      </c>
      <c r="S319" t="s">
        <v>31</v>
      </c>
      <c r="T319" t="s">
        <v>3052</v>
      </c>
    </row>
    <row r="320" spans="1:20" hidden="1" x14ac:dyDescent="0.3">
      <c r="A320" t="s">
        <v>534</v>
      </c>
      <c r="B320" t="s">
        <v>51</v>
      </c>
      <c r="C320" t="s">
        <v>37</v>
      </c>
      <c r="D320" t="s">
        <v>121</v>
      </c>
      <c r="E320">
        <v>2003</v>
      </c>
      <c r="F320" t="s">
        <v>31</v>
      </c>
      <c r="G320" t="s">
        <v>31</v>
      </c>
      <c r="H320" t="s">
        <v>2774</v>
      </c>
      <c r="I320" t="s">
        <v>166</v>
      </c>
      <c r="J320" t="s">
        <v>3053</v>
      </c>
      <c r="K320" t="s">
        <v>3054</v>
      </c>
      <c r="L320" t="s">
        <v>405</v>
      </c>
      <c r="M320" t="s">
        <v>27</v>
      </c>
      <c r="N320" t="s">
        <v>27</v>
      </c>
      <c r="O320" t="s">
        <v>27</v>
      </c>
      <c r="P320" t="s">
        <v>31</v>
      </c>
      <c r="Q320" t="s">
        <v>31</v>
      </c>
      <c r="R320" t="s">
        <v>31</v>
      </c>
      <c r="S320" t="s">
        <v>31</v>
      </c>
      <c r="T320" t="s">
        <v>3055</v>
      </c>
    </row>
    <row r="321" spans="1:20" hidden="1" x14ac:dyDescent="0.3">
      <c r="A321" t="s">
        <v>535</v>
      </c>
      <c r="B321" t="s">
        <v>39</v>
      </c>
      <c r="C321" t="s">
        <v>40</v>
      </c>
      <c r="D321" t="s">
        <v>41</v>
      </c>
      <c r="E321">
        <v>2003</v>
      </c>
      <c r="F321">
        <v>3500000</v>
      </c>
      <c r="G321" t="s">
        <v>31</v>
      </c>
      <c r="H321" t="s">
        <v>2645</v>
      </c>
      <c r="I321" t="s">
        <v>34</v>
      </c>
      <c r="J321" t="s">
        <v>3056</v>
      </c>
      <c r="K321" t="s">
        <v>31</v>
      </c>
      <c r="L321" t="s">
        <v>31</v>
      </c>
      <c r="M321" t="s">
        <v>27</v>
      </c>
      <c r="N321" t="s">
        <v>27</v>
      </c>
      <c r="O321" t="s">
        <v>27</v>
      </c>
      <c r="P321" t="s">
        <v>31</v>
      </c>
      <c r="Q321">
        <v>607</v>
      </c>
      <c r="R321" t="s">
        <v>31</v>
      </c>
      <c r="S321" t="s">
        <v>31</v>
      </c>
      <c r="T321" t="s">
        <v>31</v>
      </c>
    </row>
    <row r="322" spans="1:20" hidden="1" x14ac:dyDescent="0.3">
      <c r="A322" t="s">
        <v>537</v>
      </c>
      <c r="B322" t="s">
        <v>28</v>
      </c>
      <c r="C322" t="s">
        <v>29</v>
      </c>
      <c r="D322" t="s">
        <v>189</v>
      </c>
      <c r="E322">
        <v>2003</v>
      </c>
      <c r="F322">
        <v>2100000</v>
      </c>
      <c r="G322" t="s">
        <v>31</v>
      </c>
      <c r="H322" t="s">
        <v>2645</v>
      </c>
      <c r="I322" t="s">
        <v>34</v>
      </c>
      <c r="J322" t="s">
        <v>3057</v>
      </c>
      <c r="K322" t="s">
        <v>31</v>
      </c>
      <c r="L322" t="s">
        <v>538</v>
      </c>
      <c r="M322" t="s">
        <v>27</v>
      </c>
      <c r="N322" t="s">
        <v>27</v>
      </c>
      <c r="O322" t="s">
        <v>27</v>
      </c>
      <c r="P322" t="s">
        <v>31</v>
      </c>
      <c r="Q322" t="s">
        <v>31</v>
      </c>
      <c r="R322" t="s">
        <v>31</v>
      </c>
      <c r="S322" t="s">
        <v>31</v>
      </c>
      <c r="T322" t="s">
        <v>31</v>
      </c>
    </row>
    <row r="323" spans="1:20" hidden="1" x14ac:dyDescent="0.3">
      <c r="A323" t="s">
        <v>539</v>
      </c>
      <c r="B323" t="s">
        <v>39</v>
      </c>
      <c r="C323" t="s">
        <v>157</v>
      </c>
      <c r="D323" t="s">
        <v>157</v>
      </c>
      <c r="E323">
        <v>2003</v>
      </c>
      <c r="F323">
        <v>120000</v>
      </c>
      <c r="G323" t="s">
        <v>31</v>
      </c>
      <c r="H323" t="s">
        <v>2658</v>
      </c>
      <c r="I323" t="s">
        <v>130</v>
      </c>
      <c r="J323" t="s">
        <v>3058</v>
      </c>
      <c r="K323" t="s">
        <v>31</v>
      </c>
      <c r="L323" t="s">
        <v>31</v>
      </c>
      <c r="M323" t="s">
        <v>27</v>
      </c>
      <c r="N323" t="s">
        <v>27</v>
      </c>
      <c r="O323" t="s">
        <v>27</v>
      </c>
      <c r="P323" t="s">
        <v>31</v>
      </c>
      <c r="Q323" t="s">
        <v>31</v>
      </c>
      <c r="R323" t="s">
        <v>31</v>
      </c>
      <c r="S323" t="s">
        <v>31</v>
      </c>
      <c r="T323" t="s">
        <v>31</v>
      </c>
    </row>
    <row r="324" spans="1:20" hidden="1" x14ac:dyDescent="0.3">
      <c r="A324" t="s">
        <v>896</v>
      </c>
      <c r="B324" t="s">
        <v>51</v>
      </c>
      <c r="C324" t="s">
        <v>37</v>
      </c>
      <c r="D324" t="s">
        <v>121</v>
      </c>
      <c r="E324">
        <v>2003</v>
      </c>
      <c r="F324" t="s">
        <v>31</v>
      </c>
      <c r="G324" t="s">
        <v>31</v>
      </c>
      <c r="H324" t="s">
        <v>2656</v>
      </c>
      <c r="I324" t="s">
        <v>119</v>
      </c>
      <c r="J324" t="s">
        <v>3059</v>
      </c>
      <c r="K324" t="s">
        <v>2649</v>
      </c>
      <c r="L324" t="s">
        <v>54</v>
      </c>
      <c r="M324" t="s">
        <v>33</v>
      </c>
      <c r="N324" t="s">
        <v>27</v>
      </c>
      <c r="O324" t="s">
        <v>33</v>
      </c>
      <c r="P324" t="s">
        <v>31</v>
      </c>
      <c r="Q324">
        <v>6740</v>
      </c>
      <c r="R324" t="s">
        <v>31</v>
      </c>
      <c r="S324" t="s">
        <v>31</v>
      </c>
      <c r="T324" t="s">
        <v>31</v>
      </c>
    </row>
    <row r="325" spans="1:20" hidden="1" x14ac:dyDescent="0.3">
      <c r="A325" t="s">
        <v>897</v>
      </c>
      <c r="B325" t="s">
        <v>28</v>
      </c>
      <c r="C325" t="s">
        <v>29</v>
      </c>
      <c r="D325" t="s">
        <v>67</v>
      </c>
      <c r="E325">
        <v>2003</v>
      </c>
      <c r="F325">
        <v>25000</v>
      </c>
      <c r="G325" t="s">
        <v>31</v>
      </c>
      <c r="H325" t="s">
        <v>2645</v>
      </c>
      <c r="I325" t="s">
        <v>34</v>
      </c>
      <c r="J325" t="s">
        <v>3060</v>
      </c>
      <c r="K325" t="s">
        <v>31</v>
      </c>
      <c r="L325" t="s">
        <v>290</v>
      </c>
      <c r="M325" t="s">
        <v>27</v>
      </c>
      <c r="N325" t="s">
        <v>27</v>
      </c>
      <c r="O325" t="s">
        <v>27</v>
      </c>
      <c r="P325" t="s">
        <v>31</v>
      </c>
      <c r="Q325" t="s">
        <v>31</v>
      </c>
      <c r="R325" t="s">
        <v>31</v>
      </c>
      <c r="S325" t="s">
        <v>31</v>
      </c>
      <c r="T325" t="s">
        <v>31</v>
      </c>
    </row>
    <row r="326" spans="1:20" hidden="1" x14ac:dyDescent="0.3">
      <c r="A326" t="s">
        <v>898</v>
      </c>
      <c r="B326" t="s">
        <v>51</v>
      </c>
      <c r="C326" t="s">
        <v>37</v>
      </c>
      <c r="D326" t="s">
        <v>121</v>
      </c>
      <c r="E326">
        <v>2003</v>
      </c>
      <c r="F326" t="s">
        <v>31</v>
      </c>
      <c r="G326" t="s">
        <v>31</v>
      </c>
      <c r="H326" t="s">
        <v>2658</v>
      </c>
      <c r="I326" t="s">
        <v>130</v>
      </c>
      <c r="J326" t="s">
        <v>3061</v>
      </c>
      <c r="K326" t="s">
        <v>2649</v>
      </c>
      <c r="L326" t="s">
        <v>31</v>
      </c>
      <c r="M326" t="s">
        <v>27</v>
      </c>
      <c r="N326" t="s">
        <v>27</v>
      </c>
      <c r="O326" t="s">
        <v>27</v>
      </c>
      <c r="P326" t="s">
        <v>31</v>
      </c>
      <c r="Q326" t="s">
        <v>31</v>
      </c>
      <c r="R326" t="s">
        <v>31</v>
      </c>
      <c r="S326" t="s">
        <v>31</v>
      </c>
      <c r="T326" t="s">
        <v>31</v>
      </c>
    </row>
    <row r="327" spans="1:20" hidden="1" x14ac:dyDescent="0.3">
      <c r="A327" t="s">
        <v>899</v>
      </c>
      <c r="B327" t="s">
        <v>51</v>
      </c>
      <c r="C327" t="s">
        <v>2655</v>
      </c>
      <c r="D327" t="s">
        <v>134</v>
      </c>
      <c r="E327">
        <v>2003</v>
      </c>
      <c r="F327" t="s">
        <v>31</v>
      </c>
      <c r="G327" t="s">
        <v>31</v>
      </c>
      <c r="H327" t="s">
        <v>2669</v>
      </c>
      <c r="I327" t="s">
        <v>111</v>
      </c>
      <c r="J327" t="s">
        <v>3062</v>
      </c>
      <c r="K327" t="s">
        <v>3063</v>
      </c>
      <c r="L327" t="s">
        <v>31</v>
      </c>
      <c r="M327" t="s">
        <v>33</v>
      </c>
      <c r="N327" t="s">
        <v>33</v>
      </c>
      <c r="O327" t="s">
        <v>33</v>
      </c>
      <c r="P327">
        <v>143</v>
      </c>
      <c r="Q327" t="s">
        <v>31</v>
      </c>
      <c r="R327" t="s">
        <v>31</v>
      </c>
      <c r="S327" t="s">
        <v>31</v>
      </c>
      <c r="T327" t="s">
        <v>31</v>
      </c>
    </row>
    <row r="328" spans="1:20" hidden="1" x14ac:dyDescent="0.3">
      <c r="A328" t="s">
        <v>900</v>
      </c>
      <c r="B328" t="s">
        <v>51</v>
      </c>
      <c r="C328" t="s">
        <v>37</v>
      </c>
      <c r="D328" t="s">
        <v>121</v>
      </c>
      <c r="E328">
        <v>2003</v>
      </c>
      <c r="F328">
        <v>1028210</v>
      </c>
      <c r="G328" t="s">
        <v>31</v>
      </c>
      <c r="H328" t="s">
        <v>2658</v>
      </c>
      <c r="I328" t="s">
        <v>130</v>
      </c>
      <c r="J328" t="s">
        <v>3064</v>
      </c>
      <c r="K328" t="s">
        <v>2649</v>
      </c>
      <c r="L328" t="s">
        <v>31</v>
      </c>
      <c r="M328" t="s">
        <v>33</v>
      </c>
      <c r="N328" t="s">
        <v>27</v>
      </c>
      <c r="O328" t="s">
        <v>33</v>
      </c>
      <c r="P328">
        <v>2636</v>
      </c>
      <c r="Q328">
        <v>202800</v>
      </c>
      <c r="R328" t="s">
        <v>31</v>
      </c>
      <c r="S328" t="s">
        <v>31</v>
      </c>
      <c r="T328" t="s">
        <v>3065</v>
      </c>
    </row>
    <row r="329" spans="1:20" hidden="1" x14ac:dyDescent="0.3">
      <c r="A329" t="s">
        <v>901</v>
      </c>
      <c r="B329" t="s">
        <v>51</v>
      </c>
      <c r="C329" t="s">
        <v>37</v>
      </c>
      <c r="D329" t="s">
        <v>121</v>
      </c>
      <c r="E329">
        <v>2003</v>
      </c>
      <c r="F329">
        <v>2100</v>
      </c>
      <c r="G329" t="s">
        <v>31</v>
      </c>
      <c r="H329" t="s">
        <v>2888</v>
      </c>
      <c r="I329" t="s">
        <v>75</v>
      </c>
      <c r="J329" t="s">
        <v>3066</v>
      </c>
      <c r="K329" t="s">
        <v>2649</v>
      </c>
      <c r="L329" t="s">
        <v>31</v>
      </c>
      <c r="M329" t="s">
        <v>27</v>
      </c>
      <c r="N329" t="s">
        <v>27</v>
      </c>
      <c r="O329" t="s">
        <v>27</v>
      </c>
      <c r="P329" t="s">
        <v>31</v>
      </c>
      <c r="Q329" t="s">
        <v>31</v>
      </c>
      <c r="R329" t="s">
        <v>31</v>
      </c>
      <c r="S329" t="s">
        <v>31</v>
      </c>
      <c r="T329" t="s">
        <v>3067</v>
      </c>
    </row>
    <row r="330" spans="1:20" hidden="1" x14ac:dyDescent="0.3">
      <c r="A330" t="s">
        <v>902</v>
      </c>
      <c r="B330" t="s">
        <v>51</v>
      </c>
      <c r="C330" t="s">
        <v>37</v>
      </c>
      <c r="D330" t="s">
        <v>121</v>
      </c>
      <c r="E330">
        <v>2003</v>
      </c>
      <c r="F330" t="s">
        <v>31</v>
      </c>
      <c r="G330" t="s">
        <v>31</v>
      </c>
      <c r="H330" t="s">
        <v>2647</v>
      </c>
      <c r="I330" t="s">
        <v>47</v>
      </c>
      <c r="J330" t="s">
        <v>3068</v>
      </c>
      <c r="K330" t="s">
        <v>2649</v>
      </c>
      <c r="L330" t="s">
        <v>54</v>
      </c>
      <c r="M330" t="s">
        <v>27</v>
      </c>
      <c r="N330" t="s">
        <v>27</v>
      </c>
      <c r="O330" t="s">
        <v>27</v>
      </c>
      <c r="P330" t="s">
        <v>31</v>
      </c>
      <c r="Q330">
        <v>3350</v>
      </c>
      <c r="R330" t="s">
        <v>31</v>
      </c>
      <c r="S330" t="s">
        <v>31</v>
      </c>
      <c r="T330" t="s">
        <v>3069</v>
      </c>
    </row>
    <row r="331" spans="1:20" hidden="1" x14ac:dyDescent="0.3">
      <c r="A331" t="s">
        <v>903</v>
      </c>
      <c r="B331" t="s">
        <v>91</v>
      </c>
      <c r="C331" t="s">
        <v>2712</v>
      </c>
      <c r="D331" t="s">
        <v>105</v>
      </c>
      <c r="E331">
        <v>2003</v>
      </c>
      <c r="F331" t="s">
        <v>31</v>
      </c>
      <c r="G331" t="s">
        <v>31</v>
      </c>
      <c r="H331" t="s">
        <v>2666</v>
      </c>
      <c r="I331" t="s">
        <v>109</v>
      </c>
      <c r="J331" t="s">
        <v>3070</v>
      </c>
      <c r="K331" t="s">
        <v>31</v>
      </c>
      <c r="L331" t="s">
        <v>176</v>
      </c>
      <c r="M331" t="s">
        <v>27</v>
      </c>
      <c r="N331" t="s">
        <v>27</v>
      </c>
      <c r="O331" t="s">
        <v>33</v>
      </c>
      <c r="P331" t="s">
        <v>31</v>
      </c>
      <c r="Q331" t="s">
        <v>31</v>
      </c>
      <c r="R331">
        <v>-1.4670000000000001</v>
      </c>
      <c r="S331">
        <v>-78.441999999999993</v>
      </c>
      <c r="T331" t="s">
        <v>31</v>
      </c>
    </row>
    <row r="332" spans="1:20" hidden="1" x14ac:dyDescent="0.3">
      <c r="A332" t="s">
        <v>904</v>
      </c>
      <c r="B332" t="s">
        <v>91</v>
      </c>
      <c r="C332" t="s">
        <v>92</v>
      </c>
      <c r="D332" t="s">
        <v>93</v>
      </c>
      <c r="E332">
        <v>2003</v>
      </c>
      <c r="F332" t="s">
        <v>31</v>
      </c>
      <c r="G332" t="s">
        <v>3071</v>
      </c>
      <c r="H332" t="s">
        <v>2888</v>
      </c>
      <c r="I332" t="s">
        <v>75</v>
      </c>
      <c r="J332" t="s">
        <v>3072</v>
      </c>
      <c r="K332" t="s">
        <v>31</v>
      </c>
      <c r="L332" t="s">
        <v>54</v>
      </c>
      <c r="M332" t="s">
        <v>27</v>
      </c>
      <c r="N332" t="s">
        <v>27</v>
      </c>
      <c r="O332" t="s">
        <v>27</v>
      </c>
      <c r="P332" t="s">
        <v>31</v>
      </c>
      <c r="Q332">
        <v>6.4</v>
      </c>
      <c r="R332">
        <v>19.777000000000001</v>
      </c>
      <c r="S332">
        <v>-70.673000000000002</v>
      </c>
      <c r="T332" t="s">
        <v>31</v>
      </c>
    </row>
    <row r="333" spans="1:20" hidden="1" x14ac:dyDescent="0.3">
      <c r="A333" t="s">
        <v>905</v>
      </c>
      <c r="B333" t="s">
        <v>28</v>
      </c>
      <c r="C333" t="s">
        <v>29</v>
      </c>
      <c r="D333" t="s">
        <v>189</v>
      </c>
      <c r="E333">
        <v>2003</v>
      </c>
      <c r="F333" t="s">
        <v>31</v>
      </c>
      <c r="G333" t="s">
        <v>31</v>
      </c>
      <c r="H333" t="s">
        <v>2749</v>
      </c>
      <c r="I333" t="s">
        <v>45</v>
      </c>
      <c r="J333" t="s">
        <v>3073</v>
      </c>
      <c r="K333" t="s">
        <v>31</v>
      </c>
      <c r="L333" t="s">
        <v>54</v>
      </c>
      <c r="M333" t="s">
        <v>27</v>
      </c>
      <c r="N333" t="s">
        <v>27</v>
      </c>
      <c r="O333" t="s">
        <v>27</v>
      </c>
      <c r="P333" t="s">
        <v>31</v>
      </c>
      <c r="Q333" t="s">
        <v>31</v>
      </c>
      <c r="R333" t="s">
        <v>31</v>
      </c>
      <c r="S333" t="s">
        <v>31</v>
      </c>
      <c r="T333" t="s">
        <v>31</v>
      </c>
    </row>
    <row r="334" spans="1:20" hidden="1" x14ac:dyDescent="0.3">
      <c r="A334" t="s">
        <v>906</v>
      </c>
      <c r="B334" t="s">
        <v>51</v>
      </c>
      <c r="C334" t="s">
        <v>37</v>
      </c>
      <c r="D334" t="s">
        <v>121</v>
      </c>
      <c r="E334">
        <v>2003</v>
      </c>
      <c r="F334" t="s">
        <v>31</v>
      </c>
      <c r="G334" t="s">
        <v>31</v>
      </c>
      <c r="H334" t="s">
        <v>2645</v>
      </c>
      <c r="I334" t="s">
        <v>34</v>
      </c>
      <c r="J334" t="s">
        <v>3074</v>
      </c>
      <c r="K334" t="s">
        <v>2649</v>
      </c>
      <c r="L334" t="s">
        <v>31</v>
      </c>
      <c r="M334" t="s">
        <v>27</v>
      </c>
      <c r="N334" t="s">
        <v>27</v>
      </c>
      <c r="O334" t="s">
        <v>27</v>
      </c>
      <c r="P334" t="s">
        <v>31</v>
      </c>
      <c r="Q334" t="s">
        <v>31</v>
      </c>
      <c r="R334" t="s">
        <v>31</v>
      </c>
      <c r="S334" t="s">
        <v>31</v>
      </c>
      <c r="T334" t="s">
        <v>3075</v>
      </c>
    </row>
    <row r="335" spans="1:20" hidden="1" x14ac:dyDescent="0.3">
      <c r="A335" t="s">
        <v>907</v>
      </c>
      <c r="B335" t="s">
        <v>28</v>
      </c>
      <c r="C335" t="s">
        <v>29</v>
      </c>
      <c r="D335" t="s">
        <v>189</v>
      </c>
      <c r="E335">
        <v>2003</v>
      </c>
      <c r="F335" t="s">
        <v>31</v>
      </c>
      <c r="G335" t="s">
        <v>31</v>
      </c>
      <c r="H335" t="s">
        <v>2645</v>
      </c>
      <c r="I335" t="s">
        <v>34</v>
      </c>
      <c r="J335" t="s">
        <v>3076</v>
      </c>
      <c r="K335" t="s">
        <v>31</v>
      </c>
      <c r="L335" t="s">
        <v>82</v>
      </c>
      <c r="M335" t="s">
        <v>27</v>
      </c>
      <c r="N335" t="s">
        <v>27</v>
      </c>
      <c r="O335" t="s">
        <v>27</v>
      </c>
      <c r="P335" t="s">
        <v>31</v>
      </c>
      <c r="Q335" t="s">
        <v>31</v>
      </c>
      <c r="R335" t="s">
        <v>31</v>
      </c>
      <c r="S335" t="s">
        <v>31</v>
      </c>
      <c r="T335" t="s">
        <v>31</v>
      </c>
    </row>
    <row r="336" spans="1:20" hidden="1" x14ac:dyDescent="0.3">
      <c r="A336" t="s">
        <v>908</v>
      </c>
      <c r="B336" t="s">
        <v>28</v>
      </c>
      <c r="C336" t="s">
        <v>29</v>
      </c>
      <c r="D336" t="s">
        <v>30</v>
      </c>
      <c r="E336">
        <v>2003</v>
      </c>
      <c r="F336" t="s">
        <v>31</v>
      </c>
      <c r="G336" t="s">
        <v>31</v>
      </c>
      <c r="H336" t="s">
        <v>2847</v>
      </c>
      <c r="I336" t="s">
        <v>62</v>
      </c>
      <c r="J336" t="s">
        <v>3077</v>
      </c>
      <c r="K336" t="s">
        <v>31</v>
      </c>
      <c r="L336" t="s">
        <v>37</v>
      </c>
      <c r="M336" t="s">
        <v>27</v>
      </c>
      <c r="N336" t="s">
        <v>27</v>
      </c>
      <c r="O336" t="s">
        <v>27</v>
      </c>
      <c r="P336" t="s">
        <v>31</v>
      </c>
      <c r="Q336" t="s">
        <v>31</v>
      </c>
      <c r="R336" t="s">
        <v>31</v>
      </c>
      <c r="S336" t="s">
        <v>31</v>
      </c>
      <c r="T336" t="s">
        <v>31</v>
      </c>
    </row>
    <row r="337" spans="1:20" hidden="1" x14ac:dyDescent="0.3">
      <c r="A337" t="s">
        <v>909</v>
      </c>
      <c r="B337" t="s">
        <v>28</v>
      </c>
      <c r="C337" t="s">
        <v>2685</v>
      </c>
      <c r="D337" t="s">
        <v>68</v>
      </c>
      <c r="E337">
        <v>2003</v>
      </c>
      <c r="F337" t="s">
        <v>31</v>
      </c>
      <c r="G337" t="s">
        <v>31</v>
      </c>
      <c r="H337" t="s">
        <v>2672</v>
      </c>
      <c r="I337" t="s">
        <v>73</v>
      </c>
      <c r="J337" t="s">
        <v>3078</v>
      </c>
      <c r="K337" t="s">
        <v>31</v>
      </c>
      <c r="L337" t="s">
        <v>31</v>
      </c>
      <c r="M337" t="s">
        <v>27</v>
      </c>
      <c r="N337" t="s">
        <v>27</v>
      </c>
      <c r="O337" t="s">
        <v>33</v>
      </c>
      <c r="P337" t="s">
        <v>31</v>
      </c>
      <c r="Q337">
        <v>-15</v>
      </c>
      <c r="R337" t="s">
        <v>31</v>
      </c>
      <c r="S337" t="s">
        <v>31</v>
      </c>
      <c r="T337" t="s">
        <v>31</v>
      </c>
    </row>
    <row r="338" spans="1:20" hidden="1" x14ac:dyDescent="0.3">
      <c r="A338" t="s">
        <v>910</v>
      </c>
      <c r="B338" t="s">
        <v>51</v>
      </c>
      <c r="C338" t="s">
        <v>37</v>
      </c>
      <c r="D338" t="s">
        <v>121</v>
      </c>
      <c r="E338">
        <v>2003</v>
      </c>
      <c r="F338" t="s">
        <v>31</v>
      </c>
      <c r="G338" t="s">
        <v>31</v>
      </c>
      <c r="H338" t="s">
        <v>2749</v>
      </c>
      <c r="I338" t="s">
        <v>45</v>
      </c>
      <c r="J338" t="s">
        <v>3079</v>
      </c>
      <c r="K338" t="s">
        <v>2649</v>
      </c>
      <c r="L338" t="s">
        <v>31</v>
      </c>
      <c r="M338" t="s">
        <v>27</v>
      </c>
      <c r="N338" t="s">
        <v>27</v>
      </c>
      <c r="O338" t="s">
        <v>27</v>
      </c>
      <c r="P338" t="s">
        <v>31</v>
      </c>
      <c r="Q338" t="s">
        <v>31</v>
      </c>
      <c r="R338" t="s">
        <v>31</v>
      </c>
      <c r="S338" t="s">
        <v>31</v>
      </c>
      <c r="T338" t="s">
        <v>3080</v>
      </c>
    </row>
    <row r="339" spans="1:20" hidden="1" x14ac:dyDescent="0.3">
      <c r="A339" t="s">
        <v>911</v>
      </c>
      <c r="B339" t="s">
        <v>39</v>
      </c>
      <c r="C339" t="s">
        <v>40</v>
      </c>
      <c r="D339" t="s">
        <v>41</v>
      </c>
      <c r="E339">
        <v>2003</v>
      </c>
      <c r="F339" t="s">
        <v>31</v>
      </c>
      <c r="G339" t="s">
        <v>31</v>
      </c>
      <c r="H339" t="s">
        <v>2719</v>
      </c>
      <c r="I339" t="s">
        <v>90</v>
      </c>
      <c r="J339" t="s">
        <v>3081</v>
      </c>
      <c r="K339" t="s">
        <v>31</v>
      </c>
      <c r="L339" t="s">
        <v>31</v>
      </c>
      <c r="M339" t="s">
        <v>27</v>
      </c>
      <c r="N339" t="s">
        <v>27</v>
      </c>
      <c r="O339" t="s">
        <v>33</v>
      </c>
      <c r="P339" t="s">
        <v>31</v>
      </c>
      <c r="Q339" t="s">
        <v>31</v>
      </c>
      <c r="R339" t="s">
        <v>31</v>
      </c>
      <c r="S339" t="s">
        <v>31</v>
      </c>
      <c r="T339" t="s">
        <v>31</v>
      </c>
    </row>
    <row r="340" spans="1:20" hidden="1" x14ac:dyDescent="0.3">
      <c r="A340" t="s">
        <v>912</v>
      </c>
      <c r="B340" t="s">
        <v>51</v>
      </c>
      <c r="C340" t="s">
        <v>37</v>
      </c>
      <c r="D340" t="s">
        <v>121</v>
      </c>
      <c r="E340">
        <v>2003</v>
      </c>
      <c r="F340">
        <v>20000</v>
      </c>
      <c r="G340" t="s">
        <v>31</v>
      </c>
      <c r="H340" t="s">
        <v>2753</v>
      </c>
      <c r="I340" t="s">
        <v>49</v>
      </c>
      <c r="J340" t="s">
        <v>3082</v>
      </c>
      <c r="K340" t="s">
        <v>2649</v>
      </c>
      <c r="L340" t="s">
        <v>31</v>
      </c>
      <c r="M340" t="s">
        <v>27</v>
      </c>
      <c r="N340" t="s">
        <v>27</v>
      </c>
      <c r="O340" t="s">
        <v>27</v>
      </c>
      <c r="P340" t="s">
        <v>31</v>
      </c>
      <c r="Q340">
        <v>5300</v>
      </c>
      <c r="R340" t="s">
        <v>31</v>
      </c>
      <c r="S340" t="s">
        <v>31</v>
      </c>
      <c r="T340" t="s">
        <v>3083</v>
      </c>
    </row>
    <row r="341" spans="1:20" hidden="1" x14ac:dyDescent="0.3">
      <c r="A341" t="s">
        <v>913</v>
      </c>
      <c r="B341" t="s">
        <v>51</v>
      </c>
      <c r="C341" t="s">
        <v>37</v>
      </c>
      <c r="D341" t="s">
        <v>56</v>
      </c>
      <c r="E341">
        <v>2003</v>
      </c>
      <c r="F341" t="s">
        <v>31</v>
      </c>
      <c r="G341" t="s">
        <v>31</v>
      </c>
      <c r="H341" t="s">
        <v>2672</v>
      </c>
      <c r="I341" t="s">
        <v>73</v>
      </c>
      <c r="J341" t="s">
        <v>3084</v>
      </c>
      <c r="K341" t="s">
        <v>2652</v>
      </c>
      <c r="L341" t="s">
        <v>31</v>
      </c>
      <c r="M341" t="s">
        <v>27</v>
      </c>
      <c r="N341" t="s">
        <v>27</v>
      </c>
      <c r="O341" t="s">
        <v>27</v>
      </c>
      <c r="P341" t="s">
        <v>31</v>
      </c>
      <c r="Q341">
        <v>60</v>
      </c>
      <c r="R341" t="s">
        <v>31</v>
      </c>
      <c r="S341" t="s">
        <v>31</v>
      </c>
      <c r="T341" t="s">
        <v>3085</v>
      </c>
    </row>
    <row r="342" spans="1:20" hidden="1" x14ac:dyDescent="0.3">
      <c r="A342" t="s">
        <v>914</v>
      </c>
      <c r="B342" t="s">
        <v>51</v>
      </c>
      <c r="C342" t="s">
        <v>37</v>
      </c>
      <c r="D342" t="s">
        <v>121</v>
      </c>
      <c r="E342">
        <v>2003</v>
      </c>
      <c r="F342" t="s">
        <v>31</v>
      </c>
      <c r="G342" t="s">
        <v>31</v>
      </c>
      <c r="H342" t="s">
        <v>2709</v>
      </c>
      <c r="I342" t="s">
        <v>70</v>
      </c>
      <c r="J342" t="s">
        <v>3086</v>
      </c>
      <c r="K342" t="s">
        <v>2664</v>
      </c>
      <c r="L342" t="s">
        <v>54</v>
      </c>
      <c r="M342" t="s">
        <v>27</v>
      </c>
      <c r="N342" t="s">
        <v>27</v>
      </c>
      <c r="O342" t="s">
        <v>27</v>
      </c>
      <c r="P342" t="s">
        <v>31</v>
      </c>
      <c r="Q342">
        <v>6240</v>
      </c>
      <c r="R342" t="s">
        <v>31</v>
      </c>
      <c r="S342" t="s">
        <v>31</v>
      </c>
      <c r="T342" t="s">
        <v>3087</v>
      </c>
    </row>
    <row r="343" spans="1:20" hidden="1" x14ac:dyDescent="0.3">
      <c r="A343" t="s">
        <v>915</v>
      </c>
      <c r="B343" t="s">
        <v>51</v>
      </c>
      <c r="C343" t="s">
        <v>37</v>
      </c>
      <c r="D343" t="s">
        <v>121</v>
      </c>
      <c r="E343">
        <v>2003</v>
      </c>
      <c r="F343" t="s">
        <v>31</v>
      </c>
      <c r="G343" t="s">
        <v>31</v>
      </c>
      <c r="H343" t="s">
        <v>2647</v>
      </c>
      <c r="I343" t="s">
        <v>47</v>
      </c>
      <c r="J343" t="s">
        <v>3088</v>
      </c>
      <c r="K343" t="s">
        <v>2725</v>
      </c>
      <c r="L343" t="s">
        <v>54</v>
      </c>
      <c r="M343" t="s">
        <v>27</v>
      </c>
      <c r="N343" t="s">
        <v>27</v>
      </c>
      <c r="O343" t="s">
        <v>27</v>
      </c>
      <c r="P343" t="s">
        <v>31</v>
      </c>
      <c r="Q343" t="s">
        <v>31</v>
      </c>
      <c r="R343" t="s">
        <v>31</v>
      </c>
      <c r="S343" t="s">
        <v>31</v>
      </c>
      <c r="T343" t="s">
        <v>31</v>
      </c>
    </row>
    <row r="344" spans="1:20" hidden="1" x14ac:dyDescent="0.3">
      <c r="A344" t="s">
        <v>916</v>
      </c>
      <c r="B344" t="s">
        <v>39</v>
      </c>
      <c r="C344" t="s">
        <v>157</v>
      </c>
      <c r="D344" t="s">
        <v>157</v>
      </c>
      <c r="E344">
        <v>2003</v>
      </c>
      <c r="F344" t="s">
        <v>31</v>
      </c>
      <c r="G344" t="s">
        <v>31</v>
      </c>
      <c r="H344" t="s">
        <v>2749</v>
      </c>
      <c r="I344" t="s">
        <v>45</v>
      </c>
      <c r="J344" t="s">
        <v>3089</v>
      </c>
      <c r="K344" t="s">
        <v>3090</v>
      </c>
      <c r="L344" t="s">
        <v>196</v>
      </c>
      <c r="M344" t="s">
        <v>27</v>
      </c>
      <c r="N344" t="s">
        <v>27</v>
      </c>
      <c r="O344" t="s">
        <v>27</v>
      </c>
      <c r="P344" t="s">
        <v>31</v>
      </c>
      <c r="Q344" t="s">
        <v>31</v>
      </c>
      <c r="R344" t="s">
        <v>31</v>
      </c>
      <c r="S344" t="s">
        <v>31</v>
      </c>
      <c r="T344" t="s">
        <v>31</v>
      </c>
    </row>
    <row r="345" spans="1:20" hidden="1" x14ac:dyDescent="0.3">
      <c r="A345" t="s">
        <v>1475</v>
      </c>
      <c r="B345" t="s">
        <v>28</v>
      </c>
      <c r="C345" t="s">
        <v>29</v>
      </c>
      <c r="D345" t="s">
        <v>67</v>
      </c>
      <c r="E345">
        <v>2003</v>
      </c>
      <c r="F345">
        <v>200000</v>
      </c>
      <c r="G345" t="s">
        <v>31</v>
      </c>
      <c r="H345" t="s">
        <v>2645</v>
      </c>
      <c r="I345" t="s">
        <v>34</v>
      </c>
      <c r="J345" t="s">
        <v>3091</v>
      </c>
      <c r="K345" t="s">
        <v>31</v>
      </c>
      <c r="L345" t="s">
        <v>31</v>
      </c>
      <c r="M345" t="s">
        <v>27</v>
      </c>
      <c r="N345" t="s">
        <v>27</v>
      </c>
      <c r="O345" t="s">
        <v>33</v>
      </c>
      <c r="P345" t="s">
        <v>31</v>
      </c>
      <c r="Q345" t="s">
        <v>31</v>
      </c>
      <c r="R345" t="s">
        <v>31</v>
      </c>
      <c r="S345" t="s">
        <v>31</v>
      </c>
      <c r="T345" t="s">
        <v>31</v>
      </c>
    </row>
    <row r="346" spans="1:20" hidden="1" x14ac:dyDescent="0.3">
      <c r="A346" t="s">
        <v>1480</v>
      </c>
      <c r="B346" t="s">
        <v>51</v>
      </c>
      <c r="C346" t="s">
        <v>37</v>
      </c>
      <c r="D346" t="s">
        <v>121</v>
      </c>
      <c r="E346">
        <v>2003</v>
      </c>
      <c r="F346" t="s">
        <v>31</v>
      </c>
      <c r="G346" t="s">
        <v>31</v>
      </c>
      <c r="H346" t="s">
        <v>2739</v>
      </c>
      <c r="I346" t="s">
        <v>77</v>
      </c>
      <c r="J346" t="s">
        <v>3092</v>
      </c>
      <c r="K346" t="s">
        <v>3093</v>
      </c>
      <c r="L346" t="s">
        <v>31</v>
      </c>
      <c r="M346" t="s">
        <v>27</v>
      </c>
      <c r="N346" t="s">
        <v>27</v>
      </c>
      <c r="O346" t="s">
        <v>33</v>
      </c>
      <c r="P346" t="s">
        <v>31</v>
      </c>
      <c r="Q346">
        <v>1000</v>
      </c>
      <c r="R346" t="s">
        <v>31</v>
      </c>
      <c r="S346" t="s">
        <v>31</v>
      </c>
      <c r="T346" t="s">
        <v>3094</v>
      </c>
    </row>
    <row r="347" spans="1:20" hidden="1" x14ac:dyDescent="0.3">
      <c r="A347" t="s">
        <v>1481</v>
      </c>
      <c r="B347" t="s">
        <v>51</v>
      </c>
      <c r="C347" t="s">
        <v>37</v>
      </c>
      <c r="D347" t="s">
        <v>121</v>
      </c>
      <c r="E347">
        <v>2003</v>
      </c>
      <c r="F347" t="s">
        <v>31</v>
      </c>
      <c r="G347" t="s">
        <v>31</v>
      </c>
      <c r="H347" t="s">
        <v>2678</v>
      </c>
      <c r="I347" t="s">
        <v>53</v>
      </c>
      <c r="J347" t="s">
        <v>3095</v>
      </c>
      <c r="K347" t="s">
        <v>2649</v>
      </c>
      <c r="L347" t="s">
        <v>54</v>
      </c>
      <c r="M347" t="s">
        <v>33</v>
      </c>
      <c r="N347" t="s">
        <v>27</v>
      </c>
      <c r="O347" t="s">
        <v>33</v>
      </c>
      <c r="P347">
        <v>325</v>
      </c>
      <c r="Q347">
        <v>78940</v>
      </c>
      <c r="R347" t="s">
        <v>31</v>
      </c>
      <c r="S347" t="s">
        <v>31</v>
      </c>
      <c r="T347" t="s">
        <v>3096</v>
      </c>
    </row>
    <row r="348" spans="1:20" hidden="1" x14ac:dyDescent="0.3">
      <c r="A348" t="s">
        <v>1482</v>
      </c>
      <c r="B348" t="s">
        <v>51</v>
      </c>
      <c r="C348" t="s">
        <v>2655</v>
      </c>
      <c r="D348" t="s">
        <v>150</v>
      </c>
      <c r="E348">
        <v>2003</v>
      </c>
      <c r="F348" t="s">
        <v>31</v>
      </c>
      <c r="G348" t="s">
        <v>31</v>
      </c>
      <c r="H348" t="s">
        <v>2647</v>
      </c>
      <c r="I348" t="s">
        <v>47</v>
      </c>
      <c r="J348" t="s">
        <v>3097</v>
      </c>
      <c r="K348" t="s">
        <v>2649</v>
      </c>
      <c r="L348" t="s">
        <v>31</v>
      </c>
      <c r="M348" t="s">
        <v>27</v>
      </c>
      <c r="N348" t="s">
        <v>27</v>
      </c>
      <c r="O348" t="s">
        <v>27</v>
      </c>
      <c r="P348" t="s">
        <v>31</v>
      </c>
      <c r="Q348" t="s">
        <v>31</v>
      </c>
      <c r="R348" t="s">
        <v>31</v>
      </c>
      <c r="S348" t="s">
        <v>31</v>
      </c>
      <c r="T348" t="s">
        <v>31</v>
      </c>
    </row>
    <row r="349" spans="1:20" hidden="1" x14ac:dyDescent="0.3">
      <c r="A349" t="s">
        <v>1483</v>
      </c>
      <c r="B349" t="s">
        <v>28</v>
      </c>
      <c r="C349" t="s">
        <v>29</v>
      </c>
      <c r="D349" t="s">
        <v>97</v>
      </c>
      <c r="E349">
        <v>2003</v>
      </c>
      <c r="F349">
        <v>5000000</v>
      </c>
      <c r="G349" t="s">
        <v>31</v>
      </c>
      <c r="H349" t="s">
        <v>2645</v>
      </c>
      <c r="I349" t="s">
        <v>34</v>
      </c>
      <c r="J349" t="s">
        <v>3098</v>
      </c>
      <c r="K349" t="s">
        <v>31</v>
      </c>
      <c r="L349" t="s">
        <v>100</v>
      </c>
      <c r="M349" t="s">
        <v>27</v>
      </c>
      <c r="N349" t="s">
        <v>27</v>
      </c>
      <c r="O349" t="s">
        <v>27</v>
      </c>
      <c r="P349" t="s">
        <v>31</v>
      </c>
      <c r="Q349" t="s">
        <v>31</v>
      </c>
      <c r="R349" t="s">
        <v>31</v>
      </c>
      <c r="S349" t="s">
        <v>31</v>
      </c>
      <c r="T349" t="s">
        <v>31</v>
      </c>
    </row>
    <row r="350" spans="1:20" hidden="1" x14ac:dyDescent="0.3">
      <c r="A350" t="s">
        <v>1484</v>
      </c>
      <c r="B350" t="s">
        <v>51</v>
      </c>
      <c r="C350" t="s">
        <v>2655</v>
      </c>
      <c r="D350" t="s">
        <v>134</v>
      </c>
      <c r="E350">
        <v>2003</v>
      </c>
      <c r="F350" t="s">
        <v>31</v>
      </c>
      <c r="G350" t="s">
        <v>31</v>
      </c>
      <c r="H350" t="s">
        <v>2719</v>
      </c>
      <c r="I350" t="s">
        <v>90</v>
      </c>
      <c r="J350" t="s">
        <v>3099</v>
      </c>
      <c r="K350" t="s">
        <v>2649</v>
      </c>
      <c r="L350" t="s">
        <v>31</v>
      </c>
      <c r="M350" t="s">
        <v>27</v>
      </c>
      <c r="N350" t="s">
        <v>27</v>
      </c>
      <c r="O350" t="s">
        <v>27</v>
      </c>
      <c r="P350" t="s">
        <v>31</v>
      </c>
      <c r="Q350" t="s">
        <v>31</v>
      </c>
      <c r="R350" t="s">
        <v>31</v>
      </c>
      <c r="S350" t="s">
        <v>31</v>
      </c>
      <c r="T350" t="s">
        <v>31</v>
      </c>
    </row>
    <row r="351" spans="1:20" hidden="1" x14ac:dyDescent="0.3">
      <c r="A351" t="s">
        <v>1485</v>
      </c>
      <c r="B351" t="s">
        <v>51</v>
      </c>
      <c r="C351" t="s">
        <v>37</v>
      </c>
      <c r="D351" t="s">
        <v>121</v>
      </c>
      <c r="E351">
        <v>2003</v>
      </c>
      <c r="F351">
        <v>10000</v>
      </c>
      <c r="G351" t="s">
        <v>31</v>
      </c>
      <c r="H351" t="s">
        <v>2739</v>
      </c>
      <c r="I351" t="s">
        <v>77</v>
      </c>
      <c r="J351" t="s">
        <v>3100</v>
      </c>
      <c r="K351" t="s">
        <v>3101</v>
      </c>
      <c r="L351" t="s">
        <v>31</v>
      </c>
      <c r="M351" t="s">
        <v>27</v>
      </c>
      <c r="N351" t="s">
        <v>27</v>
      </c>
      <c r="O351" t="s">
        <v>27</v>
      </c>
      <c r="P351" t="s">
        <v>31</v>
      </c>
      <c r="Q351">
        <v>13530</v>
      </c>
      <c r="R351" t="s">
        <v>31</v>
      </c>
      <c r="S351" t="s">
        <v>31</v>
      </c>
      <c r="T351" t="s">
        <v>3102</v>
      </c>
    </row>
    <row r="352" spans="1:20" hidden="1" x14ac:dyDescent="0.3">
      <c r="A352" t="s">
        <v>1486</v>
      </c>
      <c r="B352" t="s">
        <v>28</v>
      </c>
      <c r="C352" t="s">
        <v>29</v>
      </c>
      <c r="D352" t="s">
        <v>97</v>
      </c>
      <c r="E352">
        <v>2003</v>
      </c>
      <c r="F352" t="s">
        <v>31</v>
      </c>
      <c r="G352" t="s">
        <v>31</v>
      </c>
      <c r="H352" t="s">
        <v>2645</v>
      </c>
      <c r="I352" t="s">
        <v>34</v>
      </c>
      <c r="J352" t="s">
        <v>3103</v>
      </c>
      <c r="K352" t="s">
        <v>31</v>
      </c>
      <c r="L352" t="s">
        <v>31</v>
      </c>
      <c r="M352" t="s">
        <v>27</v>
      </c>
      <c r="N352" t="s">
        <v>27</v>
      </c>
      <c r="O352" t="s">
        <v>27</v>
      </c>
      <c r="P352" t="s">
        <v>31</v>
      </c>
      <c r="Q352" t="s">
        <v>31</v>
      </c>
      <c r="R352" t="s">
        <v>31</v>
      </c>
      <c r="S352" t="s">
        <v>31</v>
      </c>
      <c r="T352" t="s">
        <v>31</v>
      </c>
    </row>
    <row r="353" spans="1:20" hidden="1" x14ac:dyDescent="0.3">
      <c r="A353" t="s">
        <v>1487</v>
      </c>
      <c r="B353" t="s">
        <v>39</v>
      </c>
      <c r="C353" t="s">
        <v>40</v>
      </c>
      <c r="D353" t="s">
        <v>41</v>
      </c>
      <c r="E353">
        <v>2003</v>
      </c>
      <c r="F353" t="s">
        <v>31</v>
      </c>
      <c r="G353" t="s">
        <v>31</v>
      </c>
      <c r="H353" t="s">
        <v>2645</v>
      </c>
      <c r="I353" t="s">
        <v>34</v>
      </c>
      <c r="J353" t="s">
        <v>3104</v>
      </c>
      <c r="K353" t="s">
        <v>31</v>
      </c>
      <c r="L353" t="s">
        <v>31</v>
      </c>
      <c r="M353" t="s">
        <v>27</v>
      </c>
      <c r="N353" t="s">
        <v>27</v>
      </c>
      <c r="O353" t="s">
        <v>27</v>
      </c>
      <c r="P353" t="s">
        <v>31</v>
      </c>
      <c r="Q353">
        <v>16</v>
      </c>
      <c r="R353" t="s">
        <v>31</v>
      </c>
      <c r="S353" t="s">
        <v>31</v>
      </c>
      <c r="T353" t="s">
        <v>31</v>
      </c>
    </row>
    <row r="354" spans="1:20" hidden="1" x14ac:dyDescent="0.3">
      <c r="A354" t="s">
        <v>1488</v>
      </c>
      <c r="B354" t="s">
        <v>39</v>
      </c>
      <c r="C354" t="s">
        <v>40</v>
      </c>
      <c r="D354" t="s">
        <v>41</v>
      </c>
      <c r="E354">
        <v>2003</v>
      </c>
      <c r="F354">
        <v>545000</v>
      </c>
      <c r="G354" t="s">
        <v>31</v>
      </c>
      <c r="H354" t="s">
        <v>2739</v>
      </c>
      <c r="I354" t="s">
        <v>77</v>
      </c>
      <c r="J354" t="s">
        <v>3105</v>
      </c>
      <c r="K354" t="s">
        <v>31</v>
      </c>
      <c r="L354" t="s">
        <v>31</v>
      </c>
      <c r="M354" t="s">
        <v>27</v>
      </c>
      <c r="N354" t="s">
        <v>27</v>
      </c>
      <c r="O354" t="s">
        <v>27</v>
      </c>
      <c r="P354" t="s">
        <v>31</v>
      </c>
      <c r="Q354">
        <v>2500</v>
      </c>
      <c r="R354" t="s">
        <v>31</v>
      </c>
      <c r="S354" t="s">
        <v>31</v>
      </c>
      <c r="T354" t="s">
        <v>31</v>
      </c>
    </row>
    <row r="355" spans="1:20" hidden="1" x14ac:dyDescent="0.3">
      <c r="A355" t="s">
        <v>1489</v>
      </c>
      <c r="B355" t="s">
        <v>43</v>
      </c>
      <c r="C355" t="s">
        <v>2665</v>
      </c>
      <c r="D355" t="s">
        <v>329</v>
      </c>
      <c r="E355">
        <v>2003</v>
      </c>
      <c r="F355" t="s">
        <v>31</v>
      </c>
      <c r="G355" t="s">
        <v>31</v>
      </c>
      <c r="H355" t="s">
        <v>2680</v>
      </c>
      <c r="I355" t="s">
        <v>115</v>
      </c>
      <c r="J355" t="s">
        <v>3106</v>
      </c>
      <c r="K355" t="s">
        <v>31</v>
      </c>
      <c r="L355" t="s">
        <v>31</v>
      </c>
      <c r="M355" t="s">
        <v>27</v>
      </c>
      <c r="N355" t="s">
        <v>27</v>
      </c>
      <c r="O355" t="s">
        <v>33</v>
      </c>
      <c r="P355" t="s">
        <v>31</v>
      </c>
      <c r="Q355" t="s">
        <v>31</v>
      </c>
      <c r="R355" t="s">
        <v>31</v>
      </c>
      <c r="S355" t="s">
        <v>31</v>
      </c>
      <c r="T355" t="s">
        <v>31</v>
      </c>
    </row>
    <row r="356" spans="1:20" hidden="1" x14ac:dyDescent="0.3">
      <c r="A356" t="s">
        <v>1490</v>
      </c>
      <c r="B356" t="s">
        <v>51</v>
      </c>
      <c r="C356" t="s">
        <v>2655</v>
      </c>
      <c r="D356" t="s">
        <v>134</v>
      </c>
      <c r="E356">
        <v>2003</v>
      </c>
      <c r="F356" t="s">
        <v>31</v>
      </c>
      <c r="G356" t="s">
        <v>31</v>
      </c>
      <c r="H356" t="s">
        <v>2672</v>
      </c>
      <c r="I356" t="s">
        <v>73</v>
      </c>
      <c r="J356" t="s">
        <v>3107</v>
      </c>
      <c r="K356" t="s">
        <v>2649</v>
      </c>
      <c r="L356" t="s">
        <v>31</v>
      </c>
      <c r="M356" t="s">
        <v>27</v>
      </c>
      <c r="N356" t="s">
        <v>27</v>
      </c>
      <c r="O356" t="s">
        <v>27</v>
      </c>
      <c r="P356" t="s">
        <v>31</v>
      </c>
      <c r="Q356" t="s">
        <v>31</v>
      </c>
      <c r="R356" t="s">
        <v>31</v>
      </c>
      <c r="S356" t="s">
        <v>31</v>
      </c>
      <c r="T356" t="s">
        <v>31</v>
      </c>
    </row>
    <row r="357" spans="1:20" hidden="1" x14ac:dyDescent="0.3">
      <c r="A357" t="s">
        <v>1491</v>
      </c>
      <c r="B357" t="s">
        <v>51</v>
      </c>
      <c r="C357" t="s">
        <v>37</v>
      </c>
      <c r="D357" t="s">
        <v>56</v>
      </c>
      <c r="E357">
        <v>2003</v>
      </c>
      <c r="F357" t="s">
        <v>31</v>
      </c>
      <c r="G357" t="s">
        <v>31</v>
      </c>
      <c r="H357" t="s">
        <v>2749</v>
      </c>
      <c r="I357" t="s">
        <v>45</v>
      </c>
      <c r="J357" t="s">
        <v>3108</v>
      </c>
      <c r="K357" t="s">
        <v>2649</v>
      </c>
      <c r="L357" t="s">
        <v>31</v>
      </c>
      <c r="M357" t="s">
        <v>33</v>
      </c>
      <c r="N357" t="s">
        <v>27</v>
      </c>
      <c r="O357" t="s">
        <v>27</v>
      </c>
      <c r="P357" t="s">
        <v>31</v>
      </c>
      <c r="Q357">
        <v>160</v>
      </c>
      <c r="R357" t="s">
        <v>31</v>
      </c>
      <c r="S357" t="s">
        <v>31</v>
      </c>
      <c r="T357" t="s">
        <v>3109</v>
      </c>
    </row>
    <row r="358" spans="1:20" hidden="1" x14ac:dyDescent="0.3">
      <c r="A358" t="s">
        <v>1492</v>
      </c>
      <c r="B358" t="s">
        <v>28</v>
      </c>
      <c r="C358" t="s">
        <v>29</v>
      </c>
      <c r="D358" t="s">
        <v>30</v>
      </c>
      <c r="E358">
        <v>2003</v>
      </c>
      <c r="F358">
        <v>300000</v>
      </c>
      <c r="G358" t="s">
        <v>31</v>
      </c>
      <c r="H358" t="s">
        <v>3110</v>
      </c>
      <c r="I358" t="s">
        <v>1493</v>
      </c>
      <c r="J358" t="s">
        <v>31</v>
      </c>
      <c r="K358" t="s">
        <v>31</v>
      </c>
      <c r="L358" t="s">
        <v>181</v>
      </c>
      <c r="M358" t="s">
        <v>27</v>
      </c>
      <c r="N358" t="s">
        <v>27</v>
      </c>
      <c r="O358" t="s">
        <v>27</v>
      </c>
      <c r="P358" t="s">
        <v>31</v>
      </c>
      <c r="Q358">
        <v>240</v>
      </c>
      <c r="R358" t="s">
        <v>31</v>
      </c>
      <c r="S358" t="s">
        <v>31</v>
      </c>
      <c r="T358" t="s">
        <v>31</v>
      </c>
    </row>
    <row r="359" spans="1:20" hidden="1" x14ac:dyDescent="0.3">
      <c r="A359" t="s">
        <v>1494</v>
      </c>
      <c r="B359" t="s">
        <v>28</v>
      </c>
      <c r="C359" t="s">
        <v>29</v>
      </c>
      <c r="D359" t="s">
        <v>30</v>
      </c>
      <c r="E359">
        <v>2003</v>
      </c>
      <c r="F359" t="s">
        <v>31</v>
      </c>
      <c r="G359" t="s">
        <v>31</v>
      </c>
      <c r="H359" t="s">
        <v>2739</v>
      </c>
      <c r="I359" t="s">
        <v>77</v>
      </c>
      <c r="J359" t="s">
        <v>3111</v>
      </c>
      <c r="K359" t="s">
        <v>31</v>
      </c>
      <c r="L359" t="s">
        <v>31</v>
      </c>
      <c r="M359" t="s">
        <v>27</v>
      </c>
      <c r="N359" t="s">
        <v>27</v>
      </c>
      <c r="O359" t="s">
        <v>27</v>
      </c>
      <c r="P359" t="s">
        <v>31</v>
      </c>
      <c r="Q359" t="s">
        <v>31</v>
      </c>
      <c r="R359" t="s">
        <v>31</v>
      </c>
      <c r="S359" t="s">
        <v>31</v>
      </c>
      <c r="T359" t="s">
        <v>31</v>
      </c>
    </row>
    <row r="360" spans="1:20" hidden="1" x14ac:dyDescent="0.3">
      <c r="A360" t="s">
        <v>1495</v>
      </c>
      <c r="B360" t="s">
        <v>28</v>
      </c>
      <c r="C360" t="s">
        <v>29</v>
      </c>
      <c r="D360" t="s">
        <v>30</v>
      </c>
      <c r="E360">
        <v>2003</v>
      </c>
      <c r="F360">
        <v>3370000</v>
      </c>
      <c r="G360" t="s">
        <v>31</v>
      </c>
      <c r="H360" t="s">
        <v>2645</v>
      </c>
      <c r="I360" t="s">
        <v>34</v>
      </c>
      <c r="J360" t="s">
        <v>3112</v>
      </c>
      <c r="K360" t="s">
        <v>31</v>
      </c>
      <c r="L360" t="s">
        <v>37</v>
      </c>
      <c r="M360" t="s">
        <v>27</v>
      </c>
      <c r="N360" t="s">
        <v>27</v>
      </c>
      <c r="O360" t="s">
        <v>33</v>
      </c>
      <c r="P360" t="s">
        <v>31</v>
      </c>
      <c r="Q360">
        <v>170</v>
      </c>
      <c r="R360" t="s">
        <v>31</v>
      </c>
      <c r="S360" t="s">
        <v>31</v>
      </c>
      <c r="T360" t="s">
        <v>31</v>
      </c>
    </row>
    <row r="361" spans="1:20" hidden="1" x14ac:dyDescent="0.3">
      <c r="A361" t="s">
        <v>1496</v>
      </c>
      <c r="B361" t="s">
        <v>39</v>
      </c>
      <c r="C361" t="s">
        <v>40</v>
      </c>
      <c r="D361" t="s">
        <v>41</v>
      </c>
      <c r="E361">
        <v>2003</v>
      </c>
      <c r="F361" t="s">
        <v>31</v>
      </c>
      <c r="G361" t="s">
        <v>31</v>
      </c>
      <c r="H361" t="s">
        <v>2645</v>
      </c>
      <c r="I361" t="s">
        <v>34</v>
      </c>
      <c r="J361" t="s">
        <v>3113</v>
      </c>
      <c r="K361" t="s">
        <v>31</v>
      </c>
      <c r="L361" t="s">
        <v>31</v>
      </c>
      <c r="M361" t="s">
        <v>27</v>
      </c>
      <c r="N361" t="s">
        <v>27</v>
      </c>
      <c r="O361" t="s">
        <v>33</v>
      </c>
      <c r="P361" t="s">
        <v>31</v>
      </c>
      <c r="Q361">
        <v>1133</v>
      </c>
      <c r="R361" t="s">
        <v>31</v>
      </c>
      <c r="S361" t="s">
        <v>31</v>
      </c>
      <c r="T361" t="s">
        <v>31</v>
      </c>
    </row>
    <row r="362" spans="1:20" hidden="1" x14ac:dyDescent="0.3">
      <c r="A362" t="s">
        <v>1497</v>
      </c>
      <c r="B362" t="s">
        <v>28</v>
      </c>
      <c r="C362" t="s">
        <v>29</v>
      </c>
      <c r="D362" t="s">
        <v>99</v>
      </c>
      <c r="E362">
        <v>2003</v>
      </c>
      <c r="F362" t="s">
        <v>31</v>
      </c>
      <c r="G362" t="s">
        <v>31</v>
      </c>
      <c r="H362" t="s">
        <v>2658</v>
      </c>
      <c r="I362" t="s">
        <v>130</v>
      </c>
      <c r="J362" t="s">
        <v>3114</v>
      </c>
      <c r="K362" t="s">
        <v>31</v>
      </c>
      <c r="L362" t="s">
        <v>100</v>
      </c>
      <c r="M362" t="s">
        <v>27</v>
      </c>
      <c r="N362" t="s">
        <v>27</v>
      </c>
      <c r="O362" t="s">
        <v>27</v>
      </c>
      <c r="P362" t="s">
        <v>31</v>
      </c>
      <c r="Q362" t="s">
        <v>31</v>
      </c>
      <c r="R362" t="s">
        <v>31</v>
      </c>
      <c r="S362" t="s">
        <v>31</v>
      </c>
      <c r="T362" t="s">
        <v>31</v>
      </c>
    </row>
    <row r="363" spans="1:20" hidden="1" x14ac:dyDescent="0.3">
      <c r="A363" t="s">
        <v>1498</v>
      </c>
      <c r="B363" t="s">
        <v>51</v>
      </c>
      <c r="C363" t="s">
        <v>37</v>
      </c>
      <c r="D363" t="s">
        <v>121</v>
      </c>
      <c r="E363">
        <v>2003</v>
      </c>
      <c r="F363" t="s">
        <v>31</v>
      </c>
      <c r="G363" t="s">
        <v>31</v>
      </c>
      <c r="H363" t="s">
        <v>2656</v>
      </c>
      <c r="I363" t="s">
        <v>119</v>
      </c>
      <c r="J363" t="s">
        <v>3115</v>
      </c>
      <c r="K363" t="s">
        <v>2649</v>
      </c>
      <c r="L363" t="s">
        <v>54</v>
      </c>
      <c r="M363" t="s">
        <v>27</v>
      </c>
      <c r="N363" t="s">
        <v>27</v>
      </c>
      <c r="O363" t="s">
        <v>33</v>
      </c>
      <c r="P363" t="s">
        <v>31</v>
      </c>
      <c r="Q363" t="s">
        <v>31</v>
      </c>
      <c r="R363" t="s">
        <v>31</v>
      </c>
      <c r="S363" t="s">
        <v>31</v>
      </c>
      <c r="T363" t="s">
        <v>31</v>
      </c>
    </row>
    <row r="364" spans="1:20" hidden="1" x14ac:dyDescent="0.3">
      <c r="A364" t="s">
        <v>1499</v>
      </c>
      <c r="B364" t="s">
        <v>28</v>
      </c>
      <c r="C364" t="s">
        <v>29</v>
      </c>
      <c r="D364" t="s">
        <v>30</v>
      </c>
      <c r="E364">
        <v>2003</v>
      </c>
      <c r="F364" t="s">
        <v>31</v>
      </c>
      <c r="G364" t="s">
        <v>31</v>
      </c>
      <c r="H364" t="s">
        <v>2888</v>
      </c>
      <c r="I364" t="s">
        <v>75</v>
      </c>
      <c r="J364" t="s">
        <v>3116</v>
      </c>
      <c r="K364" t="s">
        <v>31</v>
      </c>
      <c r="L364" t="s">
        <v>37</v>
      </c>
      <c r="M364" t="s">
        <v>27</v>
      </c>
      <c r="N364" t="s">
        <v>27</v>
      </c>
      <c r="O364" t="s">
        <v>27</v>
      </c>
      <c r="P364" t="s">
        <v>31</v>
      </c>
      <c r="Q364" t="s">
        <v>31</v>
      </c>
      <c r="R364" t="s">
        <v>31</v>
      </c>
      <c r="S364" t="s">
        <v>31</v>
      </c>
      <c r="T364" t="s">
        <v>31</v>
      </c>
    </row>
    <row r="365" spans="1:20" hidden="1" x14ac:dyDescent="0.3">
      <c r="A365" t="s">
        <v>1500</v>
      </c>
      <c r="B365" t="s">
        <v>91</v>
      </c>
      <c r="C365" t="s">
        <v>92</v>
      </c>
      <c r="D365" t="s">
        <v>93</v>
      </c>
      <c r="E365">
        <v>2003</v>
      </c>
      <c r="F365">
        <v>200000</v>
      </c>
      <c r="G365" t="s">
        <v>31</v>
      </c>
      <c r="H365" t="s">
        <v>2645</v>
      </c>
      <c r="I365" t="s">
        <v>34</v>
      </c>
      <c r="J365" t="s">
        <v>3117</v>
      </c>
      <c r="K365" t="s">
        <v>31</v>
      </c>
      <c r="L365" t="s">
        <v>31</v>
      </c>
      <c r="M365" t="s">
        <v>27</v>
      </c>
      <c r="N365" t="s">
        <v>27</v>
      </c>
      <c r="O365" t="s">
        <v>33</v>
      </c>
      <c r="P365" t="s">
        <v>31</v>
      </c>
      <c r="Q365">
        <v>6.5</v>
      </c>
      <c r="R365">
        <v>35.700499999999998</v>
      </c>
      <c r="S365">
        <v>-121.1005</v>
      </c>
      <c r="T365" t="s">
        <v>31</v>
      </c>
    </row>
    <row r="366" spans="1:20" hidden="1" x14ac:dyDescent="0.3">
      <c r="A366" t="s">
        <v>1501</v>
      </c>
      <c r="B366" t="s">
        <v>51</v>
      </c>
      <c r="C366" t="s">
        <v>37</v>
      </c>
      <c r="D366" t="s">
        <v>121</v>
      </c>
      <c r="E366">
        <v>2003</v>
      </c>
      <c r="F366" t="s">
        <v>31</v>
      </c>
      <c r="G366" t="s">
        <v>31</v>
      </c>
      <c r="H366" t="s">
        <v>2749</v>
      </c>
      <c r="I366" t="s">
        <v>45</v>
      </c>
      <c r="J366" t="s">
        <v>3118</v>
      </c>
      <c r="K366" t="s">
        <v>2649</v>
      </c>
      <c r="L366" t="s">
        <v>54</v>
      </c>
      <c r="M366" t="s">
        <v>27</v>
      </c>
      <c r="N366" t="s">
        <v>27</v>
      </c>
      <c r="O366" t="s">
        <v>27</v>
      </c>
      <c r="P366" t="s">
        <v>31</v>
      </c>
      <c r="Q366" t="s">
        <v>31</v>
      </c>
      <c r="R366" t="s">
        <v>31</v>
      </c>
      <c r="S366" t="s">
        <v>31</v>
      </c>
      <c r="T366" t="s">
        <v>31</v>
      </c>
    </row>
    <row r="367" spans="1:20" hidden="1" x14ac:dyDescent="0.3">
      <c r="A367" t="s">
        <v>1502</v>
      </c>
      <c r="B367" t="s">
        <v>51</v>
      </c>
      <c r="C367" t="s">
        <v>37</v>
      </c>
      <c r="D367" t="s">
        <v>121</v>
      </c>
      <c r="E367">
        <v>2003</v>
      </c>
      <c r="F367" t="s">
        <v>31</v>
      </c>
      <c r="G367" t="s">
        <v>31</v>
      </c>
      <c r="H367" t="s">
        <v>2678</v>
      </c>
      <c r="I367" t="s">
        <v>53</v>
      </c>
      <c r="J367" t="s">
        <v>3119</v>
      </c>
      <c r="K367" t="s">
        <v>2649</v>
      </c>
      <c r="L367" t="s">
        <v>405</v>
      </c>
      <c r="M367" t="s">
        <v>27</v>
      </c>
      <c r="N367" t="s">
        <v>27</v>
      </c>
      <c r="O367" t="s">
        <v>33</v>
      </c>
      <c r="P367" t="s">
        <v>31</v>
      </c>
      <c r="Q367">
        <v>73130</v>
      </c>
      <c r="R367" t="s">
        <v>31</v>
      </c>
      <c r="S367" t="s">
        <v>31</v>
      </c>
      <c r="T367" t="s">
        <v>3120</v>
      </c>
    </row>
    <row r="368" spans="1:20" hidden="1" x14ac:dyDescent="0.3">
      <c r="A368" t="s">
        <v>1503</v>
      </c>
      <c r="B368" t="s">
        <v>51</v>
      </c>
      <c r="C368" t="s">
        <v>37</v>
      </c>
      <c r="D368" t="s">
        <v>121</v>
      </c>
      <c r="E368">
        <v>2003</v>
      </c>
      <c r="F368" t="s">
        <v>31</v>
      </c>
      <c r="G368" t="s">
        <v>31</v>
      </c>
      <c r="H368" t="s">
        <v>2695</v>
      </c>
      <c r="I368" t="s">
        <v>161</v>
      </c>
      <c r="J368" t="s">
        <v>3121</v>
      </c>
      <c r="K368" t="s">
        <v>2664</v>
      </c>
      <c r="L368" t="s">
        <v>31</v>
      </c>
      <c r="M368" t="s">
        <v>27</v>
      </c>
      <c r="N368" t="s">
        <v>27</v>
      </c>
      <c r="O368" t="s">
        <v>27</v>
      </c>
      <c r="P368" t="s">
        <v>31</v>
      </c>
      <c r="Q368">
        <v>770</v>
      </c>
      <c r="R368" t="s">
        <v>31</v>
      </c>
      <c r="S368" t="s">
        <v>31</v>
      </c>
      <c r="T368" t="s">
        <v>3122</v>
      </c>
    </row>
    <row r="369" spans="1:20" hidden="1" x14ac:dyDescent="0.3">
      <c r="A369" t="s">
        <v>1504</v>
      </c>
      <c r="B369" t="s">
        <v>28</v>
      </c>
      <c r="C369" t="s">
        <v>29</v>
      </c>
      <c r="D369" t="s">
        <v>189</v>
      </c>
      <c r="E369">
        <v>2003</v>
      </c>
      <c r="F369">
        <v>400000</v>
      </c>
      <c r="G369" t="s">
        <v>31</v>
      </c>
      <c r="H369" t="s">
        <v>2645</v>
      </c>
      <c r="I369" t="s">
        <v>34</v>
      </c>
      <c r="J369" t="s">
        <v>3123</v>
      </c>
      <c r="K369" t="s">
        <v>3124</v>
      </c>
      <c r="L369" t="s">
        <v>37</v>
      </c>
      <c r="M369" t="s">
        <v>27</v>
      </c>
      <c r="N369" t="s">
        <v>27</v>
      </c>
      <c r="O369" t="s">
        <v>27</v>
      </c>
      <c r="P369" t="s">
        <v>31</v>
      </c>
      <c r="Q369" t="s">
        <v>31</v>
      </c>
      <c r="R369" t="s">
        <v>31</v>
      </c>
      <c r="S369" t="s">
        <v>31</v>
      </c>
      <c r="T369" t="s">
        <v>31</v>
      </c>
    </row>
    <row r="370" spans="1:20" hidden="1" x14ac:dyDescent="0.3">
      <c r="A370" t="s">
        <v>1505</v>
      </c>
      <c r="B370" t="s">
        <v>28</v>
      </c>
      <c r="C370" t="s">
        <v>29</v>
      </c>
      <c r="D370" t="s">
        <v>189</v>
      </c>
      <c r="E370">
        <v>2003</v>
      </c>
      <c r="F370" t="s">
        <v>31</v>
      </c>
      <c r="G370" t="s">
        <v>31</v>
      </c>
      <c r="H370" t="s">
        <v>2645</v>
      </c>
      <c r="I370" t="s">
        <v>34</v>
      </c>
      <c r="J370" t="s">
        <v>3125</v>
      </c>
      <c r="K370" t="s">
        <v>31</v>
      </c>
      <c r="L370" t="s">
        <v>31</v>
      </c>
      <c r="M370" t="s">
        <v>27</v>
      </c>
      <c r="N370" t="s">
        <v>27</v>
      </c>
      <c r="O370" t="s">
        <v>33</v>
      </c>
      <c r="P370" t="s">
        <v>31</v>
      </c>
      <c r="Q370" t="s">
        <v>31</v>
      </c>
      <c r="R370" t="s">
        <v>31</v>
      </c>
      <c r="S370" t="s">
        <v>31</v>
      </c>
      <c r="T370" t="s">
        <v>31</v>
      </c>
    </row>
    <row r="371" spans="1:20" hidden="1" x14ac:dyDescent="0.3">
      <c r="A371" t="s">
        <v>1506</v>
      </c>
      <c r="B371" t="s">
        <v>28</v>
      </c>
      <c r="C371" t="s">
        <v>29</v>
      </c>
      <c r="D371" t="s">
        <v>67</v>
      </c>
      <c r="E371">
        <v>2003</v>
      </c>
      <c r="F371" t="s">
        <v>31</v>
      </c>
      <c r="G371" t="s">
        <v>31</v>
      </c>
      <c r="H371" t="s">
        <v>2645</v>
      </c>
      <c r="I371" t="s">
        <v>34</v>
      </c>
      <c r="J371" t="s">
        <v>3126</v>
      </c>
      <c r="K371" t="s">
        <v>31</v>
      </c>
      <c r="L371" t="s">
        <v>290</v>
      </c>
      <c r="M371" t="s">
        <v>27</v>
      </c>
      <c r="N371" t="s">
        <v>27</v>
      </c>
      <c r="O371" t="s">
        <v>27</v>
      </c>
      <c r="P371" t="s">
        <v>31</v>
      </c>
      <c r="Q371" t="s">
        <v>31</v>
      </c>
      <c r="R371" t="s">
        <v>31</v>
      </c>
      <c r="S371" t="s">
        <v>31</v>
      </c>
      <c r="T371" t="s">
        <v>31</v>
      </c>
    </row>
    <row r="372" spans="1:20" hidden="1" x14ac:dyDescent="0.3">
      <c r="A372" t="s">
        <v>2194</v>
      </c>
      <c r="B372" t="s">
        <v>91</v>
      </c>
      <c r="C372" t="s">
        <v>92</v>
      </c>
      <c r="D372" t="s">
        <v>93</v>
      </c>
      <c r="E372">
        <v>2003</v>
      </c>
      <c r="F372">
        <v>116300</v>
      </c>
      <c r="G372" t="s">
        <v>3127</v>
      </c>
      <c r="H372" t="s">
        <v>2672</v>
      </c>
      <c r="I372" t="s">
        <v>73</v>
      </c>
      <c r="J372" t="s">
        <v>3128</v>
      </c>
      <c r="K372" t="s">
        <v>31</v>
      </c>
      <c r="L372" t="s">
        <v>54</v>
      </c>
      <c r="M372" t="s">
        <v>33</v>
      </c>
      <c r="N372" t="s">
        <v>27</v>
      </c>
      <c r="O372" t="s">
        <v>33</v>
      </c>
      <c r="P372">
        <v>229</v>
      </c>
      <c r="Q372">
        <v>7.6</v>
      </c>
      <c r="R372">
        <v>18.77</v>
      </c>
      <c r="S372">
        <v>-104.104</v>
      </c>
      <c r="T372" t="s">
        <v>31</v>
      </c>
    </row>
    <row r="373" spans="1:20" hidden="1" x14ac:dyDescent="0.3">
      <c r="A373" t="s">
        <v>2195</v>
      </c>
      <c r="B373" t="s">
        <v>39</v>
      </c>
      <c r="C373" t="s">
        <v>40</v>
      </c>
      <c r="D373" t="s">
        <v>59</v>
      </c>
      <c r="E373">
        <v>2003</v>
      </c>
      <c r="F373" t="s">
        <v>31</v>
      </c>
      <c r="G373" t="s">
        <v>31</v>
      </c>
      <c r="H373" t="s">
        <v>2701</v>
      </c>
      <c r="I373" t="s">
        <v>60</v>
      </c>
      <c r="J373" t="s">
        <v>3129</v>
      </c>
      <c r="K373" t="s">
        <v>31</v>
      </c>
      <c r="L373" t="s">
        <v>31</v>
      </c>
      <c r="M373" t="s">
        <v>27</v>
      </c>
      <c r="N373" t="s">
        <v>27</v>
      </c>
      <c r="O373" t="s">
        <v>27</v>
      </c>
      <c r="P373" t="s">
        <v>31</v>
      </c>
      <c r="Q373" t="s">
        <v>31</v>
      </c>
      <c r="R373" t="s">
        <v>31</v>
      </c>
      <c r="S373" t="s">
        <v>31</v>
      </c>
      <c r="T373" t="s">
        <v>31</v>
      </c>
    </row>
    <row r="374" spans="1:20" hidden="1" x14ac:dyDescent="0.3">
      <c r="A374" t="s">
        <v>2196</v>
      </c>
      <c r="B374" t="s">
        <v>51</v>
      </c>
      <c r="C374" t="s">
        <v>37</v>
      </c>
      <c r="D374" t="s">
        <v>56</v>
      </c>
      <c r="E374">
        <v>2003</v>
      </c>
      <c r="F374" t="s">
        <v>31</v>
      </c>
      <c r="G374" t="s">
        <v>31</v>
      </c>
      <c r="H374" t="s">
        <v>2669</v>
      </c>
      <c r="I374" t="s">
        <v>111</v>
      </c>
      <c r="J374" t="s">
        <v>2970</v>
      </c>
      <c r="K374" t="s">
        <v>2649</v>
      </c>
      <c r="L374" t="s">
        <v>54</v>
      </c>
      <c r="M374" t="s">
        <v>27</v>
      </c>
      <c r="N374" t="s">
        <v>27</v>
      </c>
      <c r="O374" t="s">
        <v>33</v>
      </c>
      <c r="P374" t="s">
        <v>31</v>
      </c>
      <c r="Q374">
        <v>210</v>
      </c>
      <c r="R374" t="s">
        <v>31</v>
      </c>
      <c r="S374" t="s">
        <v>31</v>
      </c>
      <c r="T374" t="s">
        <v>31</v>
      </c>
    </row>
    <row r="375" spans="1:20" hidden="1" x14ac:dyDescent="0.3">
      <c r="A375" t="s">
        <v>2197</v>
      </c>
      <c r="B375" t="s">
        <v>28</v>
      </c>
      <c r="C375" t="s">
        <v>29</v>
      </c>
      <c r="D375" t="s">
        <v>97</v>
      </c>
      <c r="E375">
        <v>2003</v>
      </c>
      <c r="F375">
        <v>4000000</v>
      </c>
      <c r="G375" t="s">
        <v>31</v>
      </c>
      <c r="H375" t="s">
        <v>2645</v>
      </c>
      <c r="I375" t="s">
        <v>34</v>
      </c>
      <c r="J375" t="s">
        <v>3130</v>
      </c>
      <c r="K375" t="s">
        <v>31</v>
      </c>
      <c r="L375" t="s">
        <v>31</v>
      </c>
      <c r="M375" t="s">
        <v>27</v>
      </c>
      <c r="N375" t="s">
        <v>27</v>
      </c>
      <c r="O375" t="s">
        <v>33</v>
      </c>
      <c r="P375" t="s">
        <v>31</v>
      </c>
      <c r="Q375" t="s">
        <v>31</v>
      </c>
      <c r="R375" t="s">
        <v>31</v>
      </c>
      <c r="S375" t="s">
        <v>31</v>
      </c>
      <c r="T375" t="s">
        <v>31</v>
      </c>
    </row>
    <row r="376" spans="1:20" hidden="1" x14ac:dyDescent="0.3">
      <c r="A376" t="s">
        <v>2198</v>
      </c>
      <c r="B376" t="s">
        <v>51</v>
      </c>
      <c r="C376" t="s">
        <v>37</v>
      </c>
      <c r="D376" t="s">
        <v>121</v>
      </c>
      <c r="E376">
        <v>2003</v>
      </c>
      <c r="F376" t="s">
        <v>31</v>
      </c>
      <c r="G376" t="s">
        <v>31</v>
      </c>
      <c r="H376" t="s">
        <v>2847</v>
      </c>
      <c r="I376" t="s">
        <v>62</v>
      </c>
      <c r="J376" t="s">
        <v>3131</v>
      </c>
      <c r="K376" t="s">
        <v>2649</v>
      </c>
      <c r="L376" t="s">
        <v>54</v>
      </c>
      <c r="M376" t="s">
        <v>27</v>
      </c>
      <c r="N376" t="s">
        <v>27</v>
      </c>
      <c r="O376" t="s">
        <v>33</v>
      </c>
      <c r="P376" t="s">
        <v>31</v>
      </c>
      <c r="Q376" t="s">
        <v>31</v>
      </c>
      <c r="R376" t="s">
        <v>31</v>
      </c>
      <c r="S376" t="s">
        <v>31</v>
      </c>
      <c r="T376" t="s">
        <v>3132</v>
      </c>
    </row>
    <row r="377" spans="1:20" hidden="1" x14ac:dyDescent="0.3">
      <c r="A377" t="s">
        <v>2199</v>
      </c>
      <c r="B377" t="s">
        <v>43</v>
      </c>
      <c r="C377" t="s">
        <v>2665</v>
      </c>
      <c r="D377" t="s">
        <v>114</v>
      </c>
      <c r="E377">
        <v>2003</v>
      </c>
      <c r="F377" t="s">
        <v>31</v>
      </c>
      <c r="G377" t="s">
        <v>31</v>
      </c>
      <c r="H377" t="s">
        <v>2749</v>
      </c>
      <c r="I377" t="s">
        <v>45</v>
      </c>
      <c r="J377" t="s">
        <v>3133</v>
      </c>
      <c r="K377" t="s">
        <v>31</v>
      </c>
      <c r="L377" t="s">
        <v>31</v>
      </c>
      <c r="M377" t="s">
        <v>27</v>
      </c>
      <c r="N377" t="s">
        <v>27</v>
      </c>
      <c r="O377" t="s">
        <v>27</v>
      </c>
      <c r="P377" t="s">
        <v>31</v>
      </c>
      <c r="Q377" t="s">
        <v>31</v>
      </c>
      <c r="R377" t="s">
        <v>31</v>
      </c>
      <c r="S377" t="s">
        <v>31</v>
      </c>
      <c r="T377" t="s">
        <v>31</v>
      </c>
    </row>
    <row r="378" spans="1:20" hidden="1" x14ac:dyDescent="0.3">
      <c r="A378" t="s">
        <v>2200</v>
      </c>
      <c r="B378" t="s">
        <v>91</v>
      </c>
      <c r="C378" t="s">
        <v>92</v>
      </c>
      <c r="D378" t="s">
        <v>93</v>
      </c>
      <c r="E378">
        <v>2003</v>
      </c>
      <c r="F378" t="s">
        <v>31</v>
      </c>
      <c r="G378" t="s">
        <v>3134</v>
      </c>
      <c r="H378" t="s">
        <v>2774</v>
      </c>
      <c r="I378" t="s">
        <v>166</v>
      </c>
      <c r="J378" t="s">
        <v>3135</v>
      </c>
      <c r="K378" t="s">
        <v>31</v>
      </c>
      <c r="L378" t="s">
        <v>31</v>
      </c>
      <c r="M378" t="s">
        <v>27</v>
      </c>
      <c r="N378" t="s">
        <v>27</v>
      </c>
      <c r="O378" t="s">
        <v>27</v>
      </c>
      <c r="P378" t="s">
        <v>31</v>
      </c>
      <c r="Q378">
        <v>5.4</v>
      </c>
      <c r="R378">
        <v>9.3550000000000004</v>
      </c>
      <c r="S378">
        <v>-79.941000000000003</v>
      </c>
      <c r="T378" t="s">
        <v>31</v>
      </c>
    </row>
    <row r="379" spans="1:20" hidden="1" x14ac:dyDescent="0.3">
      <c r="A379" t="s">
        <v>2201</v>
      </c>
      <c r="B379" t="s">
        <v>51</v>
      </c>
      <c r="C379" t="s">
        <v>37</v>
      </c>
      <c r="D379" t="s">
        <v>52</v>
      </c>
      <c r="E379">
        <v>2003</v>
      </c>
      <c r="F379" t="s">
        <v>31</v>
      </c>
      <c r="G379" t="s">
        <v>31</v>
      </c>
      <c r="H379" t="s">
        <v>2753</v>
      </c>
      <c r="I379" t="s">
        <v>49</v>
      </c>
      <c r="J379" t="s">
        <v>3136</v>
      </c>
      <c r="K379" t="s">
        <v>3137</v>
      </c>
      <c r="L379" t="s">
        <v>31</v>
      </c>
      <c r="M379" t="s">
        <v>27</v>
      </c>
      <c r="N379" t="s">
        <v>27</v>
      </c>
      <c r="O379" t="s">
        <v>27</v>
      </c>
      <c r="P379" t="s">
        <v>31</v>
      </c>
      <c r="Q379" t="s">
        <v>31</v>
      </c>
      <c r="R379" t="s">
        <v>31</v>
      </c>
      <c r="S379" t="s">
        <v>31</v>
      </c>
      <c r="T379" t="s">
        <v>3138</v>
      </c>
    </row>
    <row r="380" spans="1:20" hidden="1" x14ac:dyDescent="0.3">
      <c r="A380" t="s">
        <v>2202</v>
      </c>
      <c r="B380" t="s">
        <v>28</v>
      </c>
      <c r="C380" t="s">
        <v>29</v>
      </c>
      <c r="D380" t="s">
        <v>30</v>
      </c>
      <c r="E380">
        <v>2003</v>
      </c>
      <c r="F380">
        <v>110000</v>
      </c>
      <c r="G380" t="s">
        <v>31</v>
      </c>
      <c r="H380" t="s">
        <v>2739</v>
      </c>
      <c r="I380" t="s">
        <v>77</v>
      </c>
      <c r="J380" t="s">
        <v>3139</v>
      </c>
      <c r="K380" t="s">
        <v>31</v>
      </c>
      <c r="L380" t="s">
        <v>37</v>
      </c>
      <c r="M380" t="s">
        <v>27</v>
      </c>
      <c r="N380" t="s">
        <v>27</v>
      </c>
      <c r="O380" t="s">
        <v>33</v>
      </c>
      <c r="P380" t="s">
        <v>31</v>
      </c>
      <c r="Q380">
        <v>143</v>
      </c>
      <c r="R380" t="s">
        <v>31</v>
      </c>
      <c r="S380" t="s">
        <v>31</v>
      </c>
      <c r="T380" t="s">
        <v>31</v>
      </c>
    </row>
    <row r="381" spans="1:20" hidden="1" x14ac:dyDescent="0.3">
      <c r="A381" t="s">
        <v>2203</v>
      </c>
      <c r="B381" t="s">
        <v>51</v>
      </c>
      <c r="C381" t="s">
        <v>37</v>
      </c>
      <c r="D381" t="s">
        <v>121</v>
      </c>
      <c r="E381">
        <v>2003</v>
      </c>
      <c r="F381" t="s">
        <v>31</v>
      </c>
      <c r="G381" t="s">
        <v>31</v>
      </c>
      <c r="H381" t="s">
        <v>2656</v>
      </c>
      <c r="I381" t="s">
        <v>119</v>
      </c>
      <c r="J381" t="s">
        <v>2602</v>
      </c>
      <c r="K381" t="s">
        <v>2649</v>
      </c>
      <c r="L381" t="s">
        <v>31</v>
      </c>
      <c r="M381" t="s">
        <v>27</v>
      </c>
      <c r="N381" t="s">
        <v>27</v>
      </c>
      <c r="O381" t="s">
        <v>33</v>
      </c>
      <c r="P381" t="s">
        <v>31</v>
      </c>
      <c r="Q381">
        <v>73220</v>
      </c>
      <c r="R381" t="s">
        <v>31</v>
      </c>
      <c r="S381" t="s">
        <v>31</v>
      </c>
      <c r="T381" t="s">
        <v>3140</v>
      </c>
    </row>
    <row r="382" spans="1:20" hidden="1" x14ac:dyDescent="0.3">
      <c r="A382" t="s">
        <v>2204</v>
      </c>
      <c r="B382" t="s">
        <v>51</v>
      </c>
      <c r="C382" t="s">
        <v>37</v>
      </c>
      <c r="D382" t="s">
        <v>194</v>
      </c>
      <c r="E382">
        <v>2003</v>
      </c>
      <c r="F382">
        <v>42620</v>
      </c>
      <c r="G382" t="s">
        <v>31</v>
      </c>
      <c r="H382" t="s">
        <v>2888</v>
      </c>
      <c r="I382" t="s">
        <v>75</v>
      </c>
      <c r="J382" t="s">
        <v>3141</v>
      </c>
      <c r="K382" t="s">
        <v>3142</v>
      </c>
      <c r="L382" t="s">
        <v>473</v>
      </c>
      <c r="M382" t="s">
        <v>33</v>
      </c>
      <c r="N382" t="s">
        <v>27</v>
      </c>
      <c r="O382" t="s">
        <v>27</v>
      </c>
      <c r="P382">
        <v>1574</v>
      </c>
      <c r="Q382">
        <v>2000</v>
      </c>
      <c r="R382" t="s">
        <v>31</v>
      </c>
      <c r="S382" t="s">
        <v>31</v>
      </c>
      <c r="T382" t="s">
        <v>3143</v>
      </c>
    </row>
    <row r="383" spans="1:20" hidden="1" x14ac:dyDescent="0.3">
      <c r="A383" t="s">
        <v>2205</v>
      </c>
      <c r="B383" t="s">
        <v>51</v>
      </c>
      <c r="C383" t="s">
        <v>37</v>
      </c>
      <c r="D383" t="s">
        <v>121</v>
      </c>
      <c r="E383">
        <v>2003</v>
      </c>
      <c r="F383" t="s">
        <v>31</v>
      </c>
      <c r="G383" t="s">
        <v>31</v>
      </c>
      <c r="H383" t="s">
        <v>2647</v>
      </c>
      <c r="I383" t="s">
        <v>47</v>
      </c>
      <c r="J383" t="s">
        <v>3144</v>
      </c>
      <c r="K383" t="s">
        <v>3145</v>
      </c>
      <c r="L383" t="s">
        <v>405</v>
      </c>
      <c r="M383" t="s">
        <v>27</v>
      </c>
      <c r="N383" t="s">
        <v>27</v>
      </c>
      <c r="O383" t="s">
        <v>27</v>
      </c>
      <c r="P383" t="s">
        <v>31</v>
      </c>
      <c r="Q383" t="s">
        <v>31</v>
      </c>
      <c r="R383" t="s">
        <v>31</v>
      </c>
      <c r="S383" t="s">
        <v>31</v>
      </c>
      <c r="T383" t="s">
        <v>3146</v>
      </c>
    </row>
    <row r="384" spans="1:20" hidden="1" x14ac:dyDescent="0.3">
      <c r="A384" t="s">
        <v>2206</v>
      </c>
      <c r="B384" t="s">
        <v>28</v>
      </c>
      <c r="C384" t="s">
        <v>29</v>
      </c>
      <c r="D384" t="s">
        <v>67</v>
      </c>
      <c r="E384">
        <v>2003</v>
      </c>
      <c r="F384" t="s">
        <v>31</v>
      </c>
      <c r="G384" t="s">
        <v>31</v>
      </c>
      <c r="H384" t="s">
        <v>2645</v>
      </c>
      <c r="I384" t="s">
        <v>34</v>
      </c>
      <c r="J384" t="s">
        <v>3147</v>
      </c>
      <c r="K384" t="s">
        <v>31</v>
      </c>
      <c r="L384" t="s">
        <v>290</v>
      </c>
      <c r="M384" t="s">
        <v>27</v>
      </c>
      <c r="N384" t="s">
        <v>27</v>
      </c>
      <c r="O384" t="s">
        <v>27</v>
      </c>
      <c r="P384" t="s">
        <v>31</v>
      </c>
      <c r="Q384" t="s">
        <v>31</v>
      </c>
      <c r="R384" t="s">
        <v>31</v>
      </c>
      <c r="S384" t="s">
        <v>31</v>
      </c>
      <c r="T384" t="s">
        <v>31</v>
      </c>
    </row>
    <row r="385" spans="1:20" hidden="1" x14ac:dyDescent="0.3">
      <c r="A385" t="s">
        <v>2207</v>
      </c>
      <c r="B385" t="s">
        <v>51</v>
      </c>
      <c r="C385" t="s">
        <v>37</v>
      </c>
      <c r="D385" t="s">
        <v>121</v>
      </c>
      <c r="E385">
        <v>2003</v>
      </c>
      <c r="F385">
        <v>1000</v>
      </c>
      <c r="G385" t="s">
        <v>31</v>
      </c>
      <c r="H385" t="s">
        <v>2669</v>
      </c>
      <c r="I385" t="s">
        <v>111</v>
      </c>
      <c r="J385" t="s">
        <v>3148</v>
      </c>
      <c r="K385" t="s">
        <v>3149</v>
      </c>
      <c r="L385" t="s">
        <v>473</v>
      </c>
      <c r="M385" t="s">
        <v>27</v>
      </c>
      <c r="N385" t="s">
        <v>27</v>
      </c>
      <c r="O385" t="s">
        <v>33</v>
      </c>
      <c r="P385">
        <v>109</v>
      </c>
      <c r="Q385">
        <v>8230</v>
      </c>
      <c r="R385" t="s">
        <v>31</v>
      </c>
      <c r="S385" t="s">
        <v>31</v>
      </c>
      <c r="T385" t="s">
        <v>3150</v>
      </c>
    </row>
    <row r="386" spans="1:20" hidden="1" x14ac:dyDescent="0.3">
      <c r="A386" t="s">
        <v>2208</v>
      </c>
      <c r="B386" t="s">
        <v>91</v>
      </c>
      <c r="C386" t="s">
        <v>92</v>
      </c>
      <c r="D386" t="s">
        <v>93</v>
      </c>
      <c r="E386">
        <v>2003</v>
      </c>
      <c r="F386" t="s">
        <v>31</v>
      </c>
      <c r="G386" t="s">
        <v>3042</v>
      </c>
      <c r="H386" t="s">
        <v>2774</v>
      </c>
      <c r="I386" t="s">
        <v>166</v>
      </c>
      <c r="J386" t="s">
        <v>3151</v>
      </c>
      <c r="K386" t="s">
        <v>31</v>
      </c>
      <c r="L386" t="s">
        <v>31</v>
      </c>
      <c r="M386" t="s">
        <v>27</v>
      </c>
      <c r="N386" t="s">
        <v>27</v>
      </c>
      <c r="O386" t="s">
        <v>27</v>
      </c>
      <c r="P386" t="s">
        <v>31</v>
      </c>
      <c r="Q386">
        <v>6.5</v>
      </c>
      <c r="R386">
        <v>8.4160000000000004</v>
      </c>
      <c r="S386">
        <v>-82.823999999999998</v>
      </c>
      <c r="T386" t="s">
        <v>31</v>
      </c>
    </row>
    <row r="387" spans="1:20" hidden="1" x14ac:dyDescent="0.3">
      <c r="A387" t="s">
        <v>2209</v>
      </c>
      <c r="B387" t="s">
        <v>51</v>
      </c>
      <c r="C387" t="s">
        <v>2655</v>
      </c>
      <c r="D387" t="s">
        <v>150</v>
      </c>
      <c r="E387">
        <v>2003</v>
      </c>
      <c r="F387" t="s">
        <v>31</v>
      </c>
      <c r="G387" t="s">
        <v>31</v>
      </c>
      <c r="H387" t="s">
        <v>2645</v>
      </c>
      <c r="I387" t="s">
        <v>34</v>
      </c>
      <c r="J387" t="s">
        <v>3056</v>
      </c>
      <c r="K387" t="s">
        <v>2649</v>
      </c>
      <c r="L387" t="s">
        <v>31</v>
      </c>
      <c r="M387" t="s">
        <v>27</v>
      </c>
      <c r="N387" t="s">
        <v>27</v>
      </c>
      <c r="O387" t="s">
        <v>27</v>
      </c>
      <c r="P387" t="s">
        <v>31</v>
      </c>
      <c r="Q387" t="s">
        <v>31</v>
      </c>
      <c r="R387" t="s">
        <v>31</v>
      </c>
      <c r="S387" t="s">
        <v>31</v>
      </c>
      <c r="T387" t="s">
        <v>31</v>
      </c>
    </row>
    <row r="388" spans="1:20" hidden="1" x14ac:dyDescent="0.3">
      <c r="A388" t="s">
        <v>2210</v>
      </c>
      <c r="B388" t="s">
        <v>51</v>
      </c>
      <c r="C388" t="s">
        <v>37</v>
      </c>
      <c r="D388" t="s">
        <v>121</v>
      </c>
      <c r="E388">
        <v>2003</v>
      </c>
      <c r="F388">
        <v>17000</v>
      </c>
      <c r="G388" t="s">
        <v>31</v>
      </c>
      <c r="H388" t="s">
        <v>2645</v>
      </c>
      <c r="I388" t="s">
        <v>34</v>
      </c>
      <c r="J388" t="s">
        <v>3152</v>
      </c>
      <c r="K388" t="s">
        <v>2649</v>
      </c>
      <c r="L388" t="s">
        <v>31</v>
      </c>
      <c r="M388" t="s">
        <v>27</v>
      </c>
      <c r="N388" t="s">
        <v>27</v>
      </c>
      <c r="O388" t="s">
        <v>27</v>
      </c>
      <c r="P388" t="s">
        <v>31</v>
      </c>
      <c r="Q388">
        <v>272100</v>
      </c>
      <c r="R388" t="s">
        <v>31</v>
      </c>
      <c r="S388" t="s">
        <v>31</v>
      </c>
      <c r="T388" t="s">
        <v>31</v>
      </c>
    </row>
    <row r="389" spans="1:20" hidden="1" x14ac:dyDescent="0.3">
      <c r="A389" t="s">
        <v>2211</v>
      </c>
      <c r="B389" t="s">
        <v>51</v>
      </c>
      <c r="C389" t="s">
        <v>37</v>
      </c>
      <c r="D389" t="s">
        <v>121</v>
      </c>
      <c r="E389">
        <v>2003</v>
      </c>
      <c r="F389" t="s">
        <v>31</v>
      </c>
      <c r="G389" t="s">
        <v>31</v>
      </c>
      <c r="H389" t="s">
        <v>2730</v>
      </c>
      <c r="I389" t="s">
        <v>57</v>
      </c>
      <c r="J389" t="s">
        <v>3153</v>
      </c>
      <c r="K389" t="s">
        <v>2649</v>
      </c>
      <c r="L389" t="s">
        <v>181</v>
      </c>
      <c r="M389" t="s">
        <v>27</v>
      </c>
      <c r="N389" t="s">
        <v>27</v>
      </c>
      <c r="O389" t="s">
        <v>27</v>
      </c>
      <c r="P389" t="s">
        <v>31</v>
      </c>
      <c r="Q389" t="s">
        <v>31</v>
      </c>
      <c r="R389" t="s">
        <v>31</v>
      </c>
      <c r="S389" t="s">
        <v>31</v>
      </c>
      <c r="T389" t="s">
        <v>31</v>
      </c>
    </row>
    <row r="390" spans="1:20" hidden="1" x14ac:dyDescent="0.3">
      <c r="A390" t="s">
        <v>2212</v>
      </c>
      <c r="B390" t="s">
        <v>51</v>
      </c>
      <c r="C390" t="s">
        <v>37</v>
      </c>
      <c r="D390" t="s">
        <v>121</v>
      </c>
      <c r="E390">
        <v>2003</v>
      </c>
      <c r="F390" t="s">
        <v>31</v>
      </c>
      <c r="G390" t="s">
        <v>31</v>
      </c>
      <c r="H390" t="s">
        <v>2709</v>
      </c>
      <c r="I390" t="s">
        <v>70</v>
      </c>
      <c r="J390" t="s">
        <v>3154</v>
      </c>
      <c r="K390" t="s">
        <v>2649</v>
      </c>
      <c r="L390" t="s">
        <v>31</v>
      </c>
      <c r="M390" t="s">
        <v>27</v>
      </c>
      <c r="N390" t="s">
        <v>27</v>
      </c>
      <c r="O390" t="s">
        <v>27</v>
      </c>
      <c r="P390" t="s">
        <v>31</v>
      </c>
      <c r="Q390" t="s">
        <v>31</v>
      </c>
      <c r="R390" t="s">
        <v>31</v>
      </c>
      <c r="S390" t="s">
        <v>31</v>
      </c>
      <c r="T390" t="s">
        <v>3155</v>
      </c>
    </row>
    <row r="391" spans="1:20" hidden="1" x14ac:dyDescent="0.3">
      <c r="A391" t="s">
        <v>2213</v>
      </c>
      <c r="B391" t="s">
        <v>28</v>
      </c>
      <c r="C391" t="s">
        <v>29</v>
      </c>
      <c r="D391" t="s">
        <v>97</v>
      </c>
      <c r="E391">
        <v>2003</v>
      </c>
      <c r="F391" t="s">
        <v>31</v>
      </c>
      <c r="G391" t="s">
        <v>31</v>
      </c>
      <c r="H391" t="s">
        <v>2645</v>
      </c>
      <c r="I391" t="s">
        <v>34</v>
      </c>
      <c r="J391" t="s">
        <v>3156</v>
      </c>
      <c r="K391" t="s">
        <v>31</v>
      </c>
      <c r="L391" t="s">
        <v>31</v>
      </c>
      <c r="M391" t="s">
        <v>27</v>
      </c>
      <c r="N391" t="s">
        <v>27</v>
      </c>
      <c r="O391" t="s">
        <v>27</v>
      </c>
      <c r="P391" t="s">
        <v>31</v>
      </c>
      <c r="Q391" t="s">
        <v>31</v>
      </c>
      <c r="R391" t="s">
        <v>31</v>
      </c>
      <c r="S391" t="s">
        <v>31</v>
      </c>
      <c r="T391" t="s">
        <v>31</v>
      </c>
    </row>
    <row r="392" spans="1:20" hidden="1" x14ac:dyDescent="0.3">
      <c r="A392" t="s">
        <v>2214</v>
      </c>
      <c r="B392" t="s">
        <v>28</v>
      </c>
      <c r="C392" t="s">
        <v>29</v>
      </c>
      <c r="D392" t="s">
        <v>30</v>
      </c>
      <c r="E392">
        <v>2003</v>
      </c>
      <c r="F392">
        <v>50000</v>
      </c>
      <c r="G392" t="s">
        <v>31</v>
      </c>
      <c r="H392" t="s">
        <v>2645</v>
      </c>
      <c r="I392" t="s">
        <v>34</v>
      </c>
      <c r="J392" t="s">
        <v>3157</v>
      </c>
      <c r="K392" t="s">
        <v>31</v>
      </c>
      <c r="L392" t="s">
        <v>37</v>
      </c>
      <c r="M392" t="s">
        <v>27</v>
      </c>
      <c r="N392" t="s">
        <v>27</v>
      </c>
      <c r="O392" t="s">
        <v>33</v>
      </c>
      <c r="P392" t="s">
        <v>31</v>
      </c>
      <c r="Q392">
        <v>95</v>
      </c>
      <c r="R392" t="s">
        <v>31</v>
      </c>
      <c r="S392" t="s">
        <v>31</v>
      </c>
      <c r="T392" t="s">
        <v>31</v>
      </c>
    </row>
    <row r="393" spans="1:20" hidden="1" x14ac:dyDescent="0.3">
      <c r="A393" t="s">
        <v>536</v>
      </c>
      <c r="B393" t="s">
        <v>28</v>
      </c>
      <c r="C393" t="s">
        <v>29</v>
      </c>
      <c r="D393" t="s">
        <v>65</v>
      </c>
      <c r="E393">
        <v>2004</v>
      </c>
      <c r="F393">
        <v>1100000</v>
      </c>
      <c r="G393" t="s">
        <v>3158</v>
      </c>
      <c r="H393" t="s">
        <v>2645</v>
      </c>
      <c r="I393" t="s">
        <v>34</v>
      </c>
      <c r="J393" t="s">
        <v>3159</v>
      </c>
      <c r="K393" t="s">
        <v>31</v>
      </c>
      <c r="L393" t="s">
        <v>100</v>
      </c>
      <c r="M393" t="s">
        <v>27</v>
      </c>
      <c r="N393" t="s">
        <v>27</v>
      </c>
      <c r="O393" t="s">
        <v>27</v>
      </c>
      <c r="P393" t="s">
        <v>31</v>
      </c>
      <c r="Q393" t="s">
        <v>31</v>
      </c>
      <c r="R393" t="s">
        <v>31</v>
      </c>
      <c r="S393" t="s">
        <v>31</v>
      </c>
      <c r="T393" t="s">
        <v>31</v>
      </c>
    </row>
    <row r="394" spans="1:20" hidden="1" x14ac:dyDescent="0.3">
      <c r="A394" t="s">
        <v>540</v>
      </c>
      <c r="B394" t="s">
        <v>51</v>
      </c>
      <c r="C394" t="s">
        <v>37</v>
      </c>
      <c r="D394" t="s">
        <v>121</v>
      </c>
      <c r="E394">
        <v>2004</v>
      </c>
      <c r="F394" t="s">
        <v>31</v>
      </c>
      <c r="G394" t="s">
        <v>31</v>
      </c>
      <c r="H394" t="s">
        <v>2739</v>
      </c>
      <c r="I394" t="s">
        <v>77</v>
      </c>
      <c r="J394" t="s">
        <v>3160</v>
      </c>
      <c r="K394" t="s">
        <v>3161</v>
      </c>
      <c r="L394" t="s">
        <v>31</v>
      </c>
      <c r="M394" t="s">
        <v>27</v>
      </c>
      <c r="N394" t="s">
        <v>27</v>
      </c>
      <c r="O394" t="s">
        <v>27</v>
      </c>
      <c r="P394" t="s">
        <v>31</v>
      </c>
      <c r="Q394" t="s">
        <v>31</v>
      </c>
      <c r="R394" t="s">
        <v>31</v>
      </c>
      <c r="S394" t="s">
        <v>31</v>
      </c>
      <c r="T394" t="s">
        <v>3162</v>
      </c>
    </row>
    <row r="395" spans="1:20" hidden="1" x14ac:dyDescent="0.3">
      <c r="A395" t="s">
        <v>541</v>
      </c>
      <c r="B395" t="s">
        <v>51</v>
      </c>
      <c r="C395" t="s">
        <v>37</v>
      </c>
      <c r="D395" t="s">
        <v>121</v>
      </c>
      <c r="E395">
        <v>2004</v>
      </c>
      <c r="F395" t="s">
        <v>31</v>
      </c>
      <c r="G395" t="s">
        <v>31</v>
      </c>
      <c r="H395" t="s">
        <v>2647</v>
      </c>
      <c r="I395" t="s">
        <v>47</v>
      </c>
      <c r="J395" t="s">
        <v>3163</v>
      </c>
      <c r="K395" t="s">
        <v>2649</v>
      </c>
      <c r="L395" t="s">
        <v>54</v>
      </c>
      <c r="M395" t="s">
        <v>27</v>
      </c>
      <c r="N395" t="s">
        <v>27</v>
      </c>
      <c r="O395" t="s">
        <v>27</v>
      </c>
      <c r="P395" t="s">
        <v>31</v>
      </c>
      <c r="Q395">
        <v>108</v>
      </c>
      <c r="R395" t="s">
        <v>31</v>
      </c>
      <c r="S395" t="s">
        <v>31</v>
      </c>
      <c r="T395" t="s">
        <v>31</v>
      </c>
    </row>
    <row r="396" spans="1:20" hidden="1" x14ac:dyDescent="0.3">
      <c r="A396" t="s">
        <v>542</v>
      </c>
      <c r="B396" t="s">
        <v>51</v>
      </c>
      <c r="C396" t="s">
        <v>37</v>
      </c>
      <c r="D396" t="s">
        <v>121</v>
      </c>
      <c r="E396">
        <v>2004</v>
      </c>
      <c r="F396" t="s">
        <v>31</v>
      </c>
      <c r="G396" t="s">
        <v>3164</v>
      </c>
      <c r="H396" t="s">
        <v>2888</v>
      </c>
      <c r="I396" t="s">
        <v>75</v>
      </c>
      <c r="J396" t="s">
        <v>3165</v>
      </c>
      <c r="K396" t="s">
        <v>3054</v>
      </c>
      <c r="L396" t="s">
        <v>54</v>
      </c>
      <c r="M396" t="s">
        <v>33</v>
      </c>
      <c r="N396" t="s">
        <v>27</v>
      </c>
      <c r="O396" t="s">
        <v>27</v>
      </c>
      <c r="P396" t="s">
        <v>31</v>
      </c>
      <c r="Q396" t="s">
        <v>31</v>
      </c>
      <c r="R396" t="s">
        <v>31</v>
      </c>
      <c r="S396" t="s">
        <v>31</v>
      </c>
      <c r="T396" t="s">
        <v>3166</v>
      </c>
    </row>
    <row r="397" spans="1:20" hidden="1" x14ac:dyDescent="0.3">
      <c r="A397" t="s">
        <v>543</v>
      </c>
      <c r="B397" t="s">
        <v>51</v>
      </c>
      <c r="C397" t="s">
        <v>2655</v>
      </c>
      <c r="D397" t="s">
        <v>150</v>
      </c>
      <c r="E397">
        <v>2004</v>
      </c>
      <c r="F397" t="s">
        <v>31</v>
      </c>
      <c r="G397" t="s">
        <v>31</v>
      </c>
      <c r="H397" t="s">
        <v>2675</v>
      </c>
      <c r="I397" t="s">
        <v>81</v>
      </c>
      <c r="J397" t="s">
        <v>3167</v>
      </c>
      <c r="K397" t="s">
        <v>3168</v>
      </c>
      <c r="L397" t="s">
        <v>31</v>
      </c>
      <c r="M397" t="s">
        <v>33</v>
      </c>
      <c r="N397" t="s">
        <v>33</v>
      </c>
      <c r="O397" t="s">
        <v>33</v>
      </c>
      <c r="P397">
        <v>470</v>
      </c>
      <c r="Q397" t="s">
        <v>31</v>
      </c>
      <c r="R397" t="s">
        <v>31</v>
      </c>
      <c r="S397" t="s">
        <v>31</v>
      </c>
      <c r="T397" t="s">
        <v>3169</v>
      </c>
    </row>
    <row r="398" spans="1:20" hidden="1" x14ac:dyDescent="0.3">
      <c r="A398" t="s">
        <v>544</v>
      </c>
      <c r="B398" t="s">
        <v>51</v>
      </c>
      <c r="C398" t="s">
        <v>37</v>
      </c>
      <c r="D398" t="s">
        <v>121</v>
      </c>
      <c r="E398">
        <v>2004</v>
      </c>
      <c r="F398" t="s">
        <v>31</v>
      </c>
      <c r="G398" t="s">
        <v>31</v>
      </c>
      <c r="H398" t="s">
        <v>2701</v>
      </c>
      <c r="I398" t="s">
        <v>60</v>
      </c>
      <c r="J398" t="s">
        <v>3170</v>
      </c>
      <c r="K398" t="s">
        <v>2664</v>
      </c>
      <c r="L398" t="s">
        <v>31</v>
      </c>
      <c r="M398" t="s">
        <v>27</v>
      </c>
      <c r="N398" t="s">
        <v>27</v>
      </c>
      <c r="O398" t="s">
        <v>27</v>
      </c>
      <c r="P398" t="s">
        <v>31</v>
      </c>
      <c r="Q398">
        <v>4600</v>
      </c>
      <c r="R398" t="s">
        <v>31</v>
      </c>
      <c r="S398" t="s">
        <v>31</v>
      </c>
      <c r="T398" t="s">
        <v>3171</v>
      </c>
    </row>
    <row r="399" spans="1:20" hidden="1" x14ac:dyDescent="0.3">
      <c r="A399" t="s">
        <v>545</v>
      </c>
      <c r="B399" t="s">
        <v>28</v>
      </c>
      <c r="C399" t="s">
        <v>2685</v>
      </c>
      <c r="D399" t="s">
        <v>68</v>
      </c>
      <c r="E399">
        <v>2004</v>
      </c>
      <c r="F399" t="s">
        <v>31</v>
      </c>
      <c r="G399" t="s">
        <v>31</v>
      </c>
      <c r="H399" t="s">
        <v>2658</v>
      </c>
      <c r="I399" t="s">
        <v>130</v>
      </c>
      <c r="J399" t="s">
        <v>3172</v>
      </c>
      <c r="K399" t="s">
        <v>31</v>
      </c>
      <c r="L399" t="s">
        <v>355</v>
      </c>
      <c r="M399" t="s">
        <v>27</v>
      </c>
      <c r="N399" t="s">
        <v>27</v>
      </c>
      <c r="O399" t="s">
        <v>27</v>
      </c>
      <c r="P399" t="s">
        <v>31</v>
      </c>
      <c r="Q399">
        <v>-11</v>
      </c>
      <c r="R399" t="s">
        <v>31</v>
      </c>
      <c r="S399" t="s">
        <v>31</v>
      </c>
      <c r="T399" t="s">
        <v>31</v>
      </c>
    </row>
    <row r="400" spans="1:20" hidden="1" x14ac:dyDescent="0.3">
      <c r="A400" t="s">
        <v>546</v>
      </c>
      <c r="B400" t="s">
        <v>28</v>
      </c>
      <c r="C400" t="s">
        <v>2685</v>
      </c>
      <c r="D400" t="s">
        <v>68</v>
      </c>
      <c r="E400">
        <v>2004</v>
      </c>
      <c r="F400" t="s">
        <v>31</v>
      </c>
      <c r="G400" t="s">
        <v>31</v>
      </c>
      <c r="H400" t="s">
        <v>2656</v>
      </c>
      <c r="I400" t="s">
        <v>119</v>
      </c>
      <c r="J400" t="s">
        <v>3173</v>
      </c>
      <c r="K400" t="s">
        <v>31</v>
      </c>
      <c r="L400" t="s">
        <v>31</v>
      </c>
      <c r="M400" t="s">
        <v>27</v>
      </c>
      <c r="N400" t="s">
        <v>27</v>
      </c>
      <c r="O400" t="s">
        <v>27</v>
      </c>
      <c r="P400" t="s">
        <v>31</v>
      </c>
      <c r="Q400">
        <v>-7</v>
      </c>
      <c r="R400" t="s">
        <v>31</v>
      </c>
      <c r="S400" t="s">
        <v>31</v>
      </c>
      <c r="T400" t="s">
        <v>31</v>
      </c>
    </row>
    <row r="401" spans="1:20" hidden="1" x14ac:dyDescent="0.3">
      <c r="A401" t="s">
        <v>547</v>
      </c>
      <c r="B401" t="s">
        <v>28</v>
      </c>
      <c r="C401" t="s">
        <v>29</v>
      </c>
      <c r="D401" t="s">
        <v>99</v>
      </c>
      <c r="E401">
        <v>2004</v>
      </c>
      <c r="F401">
        <v>170</v>
      </c>
      <c r="G401" t="s">
        <v>31</v>
      </c>
      <c r="H401" t="s">
        <v>2645</v>
      </c>
      <c r="I401" t="s">
        <v>34</v>
      </c>
      <c r="J401" t="s">
        <v>3174</v>
      </c>
      <c r="K401" t="s">
        <v>31</v>
      </c>
      <c r="L401" t="s">
        <v>37</v>
      </c>
      <c r="M401" t="s">
        <v>27</v>
      </c>
      <c r="N401" t="s">
        <v>27</v>
      </c>
      <c r="O401" t="s">
        <v>27</v>
      </c>
      <c r="P401" t="s">
        <v>31</v>
      </c>
      <c r="Q401" t="s">
        <v>31</v>
      </c>
      <c r="R401" t="s">
        <v>31</v>
      </c>
      <c r="S401" t="s">
        <v>31</v>
      </c>
      <c r="T401" t="s">
        <v>31</v>
      </c>
    </row>
    <row r="402" spans="1:20" hidden="1" x14ac:dyDescent="0.3">
      <c r="A402" t="s">
        <v>548</v>
      </c>
      <c r="B402" t="s">
        <v>39</v>
      </c>
      <c r="C402" t="s">
        <v>40</v>
      </c>
      <c r="D402" t="s">
        <v>41</v>
      </c>
      <c r="E402">
        <v>2004</v>
      </c>
      <c r="F402" t="s">
        <v>31</v>
      </c>
      <c r="G402" t="s">
        <v>31</v>
      </c>
      <c r="H402" t="s">
        <v>2645</v>
      </c>
      <c r="I402" t="s">
        <v>34</v>
      </c>
      <c r="J402" t="s">
        <v>3175</v>
      </c>
      <c r="K402" t="s">
        <v>31</v>
      </c>
      <c r="L402" t="s">
        <v>549</v>
      </c>
      <c r="M402" t="s">
        <v>27</v>
      </c>
      <c r="N402" t="s">
        <v>27</v>
      </c>
      <c r="O402" t="s">
        <v>27</v>
      </c>
      <c r="P402" t="s">
        <v>31</v>
      </c>
      <c r="Q402">
        <v>68</v>
      </c>
      <c r="R402" t="s">
        <v>31</v>
      </c>
      <c r="S402" t="s">
        <v>31</v>
      </c>
      <c r="T402" t="s">
        <v>31</v>
      </c>
    </row>
    <row r="403" spans="1:20" hidden="1" x14ac:dyDescent="0.3">
      <c r="A403" t="s">
        <v>550</v>
      </c>
      <c r="B403" t="s">
        <v>91</v>
      </c>
      <c r="C403" t="s">
        <v>92</v>
      </c>
      <c r="D403" t="s">
        <v>93</v>
      </c>
      <c r="E403">
        <v>2004</v>
      </c>
      <c r="F403" t="s">
        <v>31</v>
      </c>
      <c r="G403" t="s">
        <v>3176</v>
      </c>
      <c r="H403" t="s">
        <v>2647</v>
      </c>
      <c r="I403" t="s">
        <v>47</v>
      </c>
      <c r="J403" t="s">
        <v>3177</v>
      </c>
      <c r="K403" t="s">
        <v>31</v>
      </c>
      <c r="L403" t="s">
        <v>31</v>
      </c>
      <c r="M403" t="s">
        <v>27</v>
      </c>
      <c r="N403" t="s">
        <v>27</v>
      </c>
      <c r="O403" t="s">
        <v>27</v>
      </c>
      <c r="P403" t="s">
        <v>31</v>
      </c>
      <c r="Q403">
        <v>5.0999999999999996</v>
      </c>
      <c r="R403">
        <v>2.2650000000000001</v>
      </c>
      <c r="S403">
        <v>-76.594999999999999</v>
      </c>
      <c r="T403" t="s">
        <v>31</v>
      </c>
    </row>
    <row r="404" spans="1:20" hidden="1" x14ac:dyDescent="0.3">
      <c r="A404" t="s">
        <v>551</v>
      </c>
      <c r="B404" t="s">
        <v>39</v>
      </c>
      <c r="C404" t="s">
        <v>40</v>
      </c>
      <c r="D404" t="s">
        <v>41</v>
      </c>
      <c r="E404">
        <v>2004</v>
      </c>
      <c r="F404" t="s">
        <v>31</v>
      </c>
      <c r="G404" t="s">
        <v>31</v>
      </c>
      <c r="H404" t="s">
        <v>2645</v>
      </c>
      <c r="I404" t="s">
        <v>34</v>
      </c>
      <c r="J404" t="s">
        <v>3178</v>
      </c>
      <c r="K404" t="s">
        <v>31</v>
      </c>
      <c r="L404" t="s">
        <v>31</v>
      </c>
      <c r="M404" t="s">
        <v>27</v>
      </c>
      <c r="N404" t="s">
        <v>27</v>
      </c>
      <c r="O404" t="s">
        <v>27</v>
      </c>
      <c r="P404" t="s">
        <v>31</v>
      </c>
      <c r="Q404">
        <v>4046</v>
      </c>
      <c r="R404" t="s">
        <v>31</v>
      </c>
      <c r="S404" t="s">
        <v>31</v>
      </c>
      <c r="T404" t="s">
        <v>31</v>
      </c>
    </row>
    <row r="405" spans="1:20" hidden="1" x14ac:dyDescent="0.3">
      <c r="A405" t="s">
        <v>552</v>
      </c>
      <c r="B405" t="s">
        <v>28</v>
      </c>
      <c r="C405" t="s">
        <v>29</v>
      </c>
      <c r="D405" t="s">
        <v>30</v>
      </c>
      <c r="E405">
        <v>2004</v>
      </c>
      <c r="F405">
        <v>1000000</v>
      </c>
      <c r="G405" t="s">
        <v>31</v>
      </c>
      <c r="H405" t="s">
        <v>2804</v>
      </c>
      <c r="I405" t="s">
        <v>102</v>
      </c>
      <c r="J405" t="s">
        <v>3179</v>
      </c>
      <c r="K405" t="s">
        <v>31</v>
      </c>
      <c r="L405" t="s">
        <v>31</v>
      </c>
      <c r="M405" t="s">
        <v>33</v>
      </c>
      <c r="N405" t="s">
        <v>27</v>
      </c>
      <c r="O405" t="s">
        <v>27</v>
      </c>
      <c r="P405" t="s">
        <v>31</v>
      </c>
      <c r="Q405" t="s">
        <v>31</v>
      </c>
      <c r="R405" t="s">
        <v>31</v>
      </c>
      <c r="S405" t="s">
        <v>31</v>
      </c>
      <c r="T405" t="s">
        <v>31</v>
      </c>
    </row>
    <row r="406" spans="1:20" hidden="1" x14ac:dyDescent="0.3">
      <c r="A406" t="s">
        <v>553</v>
      </c>
      <c r="B406" t="s">
        <v>28</v>
      </c>
      <c r="C406" t="s">
        <v>29</v>
      </c>
      <c r="D406" t="s">
        <v>30</v>
      </c>
      <c r="E406">
        <v>2004</v>
      </c>
      <c r="F406" t="s">
        <v>31</v>
      </c>
      <c r="G406" t="s">
        <v>31</v>
      </c>
      <c r="H406" t="s">
        <v>2847</v>
      </c>
      <c r="I406" t="s">
        <v>62</v>
      </c>
      <c r="J406" t="s">
        <v>3077</v>
      </c>
      <c r="K406" t="s">
        <v>31</v>
      </c>
      <c r="L406" t="s">
        <v>31</v>
      </c>
      <c r="M406" t="s">
        <v>27</v>
      </c>
      <c r="N406" t="s">
        <v>27</v>
      </c>
      <c r="O406" t="s">
        <v>27</v>
      </c>
      <c r="P406" t="s">
        <v>31</v>
      </c>
      <c r="Q406" t="s">
        <v>31</v>
      </c>
      <c r="R406" t="s">
        <v>31</v>
      </c>
      <c r="S406" t="s">
        <v>31</v>
      </c>
      <c r="T406" t="s">
        <v>31</v>
      </c>
    </row>
    <row r="407" spans="1:20" hidden="1" x14ac:dyDescent="0.3">
      <c r="A407" t="s">
        <v>554</v>
      </c>
      <c r="B407" t="s">
        <v>28</v>
      </c>
      <c r="C407" t="s">
        <v>29</v>
      </c>
      <c r="D407" t="s">
        <v>30</v>
      </c>
      <c r="E407">
        <v>2004</v>
      </c>
      <c r="F407" t="s">
        <v>31</v>
      </c>
      <c r="G407" t="s">
        <v>3180</v>
      </c>
      <c r="H407" t="s">
        <v>2804</v>
      </c>
      <c r="I407" t="s">
        <v>102</v>
      </c>
      <c r="J407" t="s">
        <v>31</v>
      </c>
      <c r="K407" t="s">
        <v>31</v>
      </c>
      <c r="L407" t="s">
        <v>31</v>
      </c>
      <c r="M407" t="s">
        <v>27</v>
      </c>
      <c r="N407" t="s">
        <v>27</v>
      </c>
      <c r="O407" t="s">
        <v>27</v>
      </c>
      <c r="P407" t="s">
        <v>31</v>
      </c>
      <c r="Q407" t="s">
        <v>31</v>
      </c>
      <c r="R407" t="s">
        <v>31</v>
      </c>
      <c r="S407" t="s">
        <v>31</v>
      </c>
      <c r="T407" t="s">
        <v>31</v>
      </c>
    </row>
    <row r="408" spans="1:20" hidden="1" x14ac:dyDescent="0.3">
      <c r="A408" t="s">
        <v>555</v>
      </c>
      <c r="B408" t="s">
        <v>28</v>
      </c>
      <c r="C408" t="s">
        <v>29</v>
      </c>
      <c r="D408" t="s">
        <v>30</v>
      </c>
      <c r="E408">
        <v>2004</v>
      </c>
      <c r="F408">
        <v>200000</v>
      </c>
      <c r="G408" t="s">
        <v>3180</v>
      </c>
      <c r="H408" t="s">
        <v>2716</v>
      </c>
      <c r="I408" t="s">
        <v>242</v>
      </c>
      <c r="J408" t="s">
        <v>3181</v>
      </c>
      <c r="K408" t="s">
        <v>31</v>
      </c>
      <c r="L408" t="s">
        <v>556</v>
      </c>
      <c r="M408" t="s">
        <v>27</v>
      </c>
      <c r="N408" t="s">
        <v>27</v>
      </c>
      <c r="O408" t="s">
        <v>27</v>
      </c>
      <c r="P408">
        <v>1703</v>
      </c>
      <c r="Q408" t="s">
        <v>31</v>
      </c>
      <c r="R408" t="s">
        <v>31</v>
      </c>
      <c r="S408" t="s">
        <v>31</v>
      </c>
      <c r="T408" t="s">
        <v>31</v>
      </c>
    </row>
    <row r="409" spans="1:20" hidden="1" x14ac:dyDescent="0.3">
      <c r="A409" t="s">
        <v>557</v>
      </c>
      <c r="B409" t="s">
        <v>28</v>
      </c>
      <c r="C409" t="s">
        <v>29</v>
      </c>
      <c r="D409" t="s">
        <v>30</v>
      </c>
      <c r="E409">
        <v>2004</v>
      </c>
      <c r="F409">
        <v>889000</v>
      </c>
      <c r="G409" t="s">
        <v>3180</v>
      </c>
      <c r="H409" t="s">
        <v>2898</v>
      </c>
      <c r="I409" t="s">
        <v>446</v>
      </c>
      <c r="J409" t="s">
        <v>3182</v>
      </c>
      <c r="K409" t="s">
        <v>31</v>
      </c>
      <c r="L409" t="s">
        <v>31</v>
      </c>
      <c r="M409" t="s">
        <v>33</v>
      </c>
      <c r="N409" t="s">
        <v>27</v>
      </c>
      <c r="O409" t="s">
        <v>33</v>
      </c>
      <c r="P409">
        <v>18254</v>
      </c>
      <c r="Q409" t="s">
        <v>31</v>
      </c>
      <c r="R409" t="s">
        <v>31</v>
      </c>
      <c r="S409" t="s">
        <v>31</v>
      </c>
      <c r="T409" t="s">
        <v>31</v>
      </c>
    </row>
    <row r="410" spans="1:20" hidden="1" x14ac:dyDescent="0.3">
      <c r="A410" t="s">
        <v>558</v>
      </c>
      <c r="B410" t="s">
        <v>28</v>
      </c>
      <c r="C410" t="s">
        <v>29</v>
      </c>
      <c r="D410" t="s">
        <v>30</v>
      </c>
      <c r="E410">
        <v>2004</v>
      </c>
      <c r="F410">
        <v>595000</v>
      </c>
      <c r="G410" t="s">
        <v>3180</v>
      </c>
      <c r="H410" t="s">
        <v>2751</v>
      </c>
      <c r="I410" t="s">
        <v>234</v>
      </c>
      <c r="J410" t="s">
        <v>3183</v>
      </c>
      <c r="K410" t="s">
        <v>31</v>
      </c>
      <c r="L410" t="s">
        <v>556</v>
      </c>
      <c r="M410" t="s">
        <v>33</v>
      </c>
      <c r="N410" t="s">
        <v>27</v>
      </c>
      <c r="O410" t="s">
        <v>27</v>
      </c>
      <c r="P410">
        <v>3345</v>
      </c>
      <c r="Q410">
        <v>250</v>
      </c>
      <c r="R410" t="s">
        <v>31</v>
      </c>
      <c r="S410" t="s">
        <v>31</v>
      </c>
      <c r="T410" t="s">
        <v>31</v>
      </c>
    </row>
    <row r="411" spans="1:20" hidden="1" x14ac:dyDescent="0.3">
      <c r="A411" t="s">
        <v>559</v>
      </c>
      <c r="B411" t="s">
        <v>28</v>
      </c>
      <c r="C411" t="s">
        <v>29</v>
      </c>
      <c r="D411" t="s">
        <v>30</v>
      </c>
      <c r="E411">
        <v>2004</v>
      </c>
      <c r="F411">
        <v>500</v>
      </c>
      <c r="G411" t="s">
        <v>3180</v>
      </c>
      <c r="H411" t="s">
        <v>3184</v>
      </c>
      <c r="I411" t="s">
        <v>246</v>
      </c>
      <c r="J411" t="s">
        <v>3185</v>
      </c>
      <c r="K411" t="s">
        <v>31</v>
      </c>
      <c r="L411" t="s">
        <v>31</v>
      </c>
      <c r="M411" t="s">
        <v>27</v>
      </c>
      <c r="N411" t="s">
        <v>27</v>
      </c>
      <c r="O411" t="s">
        <v>27</v>
      </c>
      <c r="P411" t="s">
        <v>31</v>
      </c>
      <c r="Q411" t="s">
        <v>31</v>
      </c>
      <c r="R411" t="s">
        <v>31</v>
      </c>
      <c r="S411" t="s">
        <v>31</v>
      </c>
      <c r="T411" t="s">
        <v>31</v>
      </c>
    </row>
    <row r="412" spans="1:20" hidden="1" x14ac:dyDescent="0.3">
      <c r="A412" t="s">
        <v>560</v>
      </c>
      <c r="B412" t="s">
        <v>28</v>
      </c>
      <c r="C412" t="s">
        <v>29</v>
      </c>
      <c r="D412" t="s">
        <v>30</v>
      </c>
      <c r="E412">
        <v>2004</v>
      </c>
      <c r="F412">
        <v>1000</v>
      </c>
      <c r="G412" t="s">
        <v>3180</v>
      </c>
      <c r="H412" t="s">
        <v>3186</v>
      </c>
      <c r="I412" t="s">
        <v>561</v>
      </c>
      <c r="J412" t="s">
        <v>3187</v>
      </c>
      <c r="K412" t="s">
        <v>31</v>
      </c>
      <c r="L412" t="s">
        <v>31</v>
      </c>
      <c r="M412" t="s">
        <v>27</v>
      </c>
      <c r="N412" t="s">
        <v>33</v>
      </c>
      <c r="O412" t="s">
        <v>27</v>
      </c>
      <c r="P412" t="s">
        <v>31</v>
      </c>
      <c r="Q412">
        <v>120</v>
      </c>
      <c r="R412" t="s">
        <v>31</v>
      </c>
      <c r="S412" t="s">
        <v>31</v>
      </c>
      <c r="T412" t="s">
        <v>31</v>
      </c>
    </row>
    <row r="413" spans="1:20" hidden="1" x14ac:dyDescent="0.3">
      <c r="A413" t="s">
        <v>562</v>
      </c>
      <c r="B413" t="s">
        <v>28</v>
      </c>
      <c r="C413" t="s">
        <v>29</v>
      </c>
      <c r="D413" t="s">
        <v>30</v>
      </c>
      <c r="E413">
        <v>2004</v>
      </c>
      <c r="F413">
        <v>18000000</v>
      </c>
      <c r="G413" t="s">
        <v>3180</v>
      </c>
      <c r="H413" t="s">
        <v>2645</v>
      </c>
      <c r="I413" t="s">
        <v>34</v>
      </c>
      <c r="J413" t="s">
        <v>3188</v>
      </c>
      <c r="K413" t="s">
        <v>31</v>
      </c>
      <c r="L413" t="s">
        <v>82</v>
      </c>
      <c r="M413" t="s">
        <v>27</v>
      </c>
      <c r="N413" t="s">
        <v>27</v>
      </c>
      <c r="O413" t="s">
        <v>33</v>
      </c>
      <c r="P413" t="s">
        <v>31</v>
      </c>
      <c r="Q413" t="s">
        <v>31</v>
      </c>
      <c r="R413" t="s">
        <v>31</v>
      </c>
      <c r="S413" t="s">
        <v>31</v>
      </c>
      <c r="T413" t="s">
        <v>31</v>
      </c>
    </row>
    <row r="414" spans="1:20" hidden="1" x14ac:dyDescent="0.3">
      <c r="A414" t="s">
        <v>563</v>
      </c>
      <c r="B414" t="s">
        <v>28</v>
      </c>
      <c r="C414" t="s">
        <v>29</v>
      </c>
      <c r="D414" t="s">
        <v>30</v>
      </c>
      <c r="E414">
        <v>2004</v>
      </c>
      <c r="F414">
        <v>550000</v>
      </c>
      <c r="G414" t="s">
        <v>3189</v>
      </c>
      <c r="H414" t="s">
        <v>2804</v>
      </c>
      <c r="I414" t="s">
        <v>102</v>
      </c>
      <c r="J414" t="s">
        <v>3190</v>
      </c>
      <c r="K414" t="s">
        <v>31</v>
      </c>
      <c r="L414" t="s">
        <v>85</v>
      </c>
      <c r="M414" t="s">
        <v>27</v>
      </c>
      <c r="N414" t="s">
        <v>27</v>
      </c>
      <c r="O414" t="s">
        <v>27</v>
      </c>
      <c r="P414" t="s">
        <v>31</v>
      </c>
      <c r="Q414" t="s">
        <v>31</v>
      </c>
      <c r="R414" t="s">
        <v>31</v>
      </c>
      <c r="S414" t="s">
        <v>31</v>
      </c>
      <c r="T414" t="s">
        <v>31</v>
      </c>
    </row>
    <row r="415" spans="1:20" hidden="1" x14ac:dyDescent="0.3">
      <c r="A415" t="s">
        <v>564</v>
      </c>
      <c r="B415" t="s">
        <v>28</v>
      </c>
      <c r="C415" t="s">
        <v>29</v>
      </c>
      <c r="D415" t="s">
        <v>30</v>
      </c>
      <c r="E415">
        <v>2004</v>
      </c>
      <c r="F415">
        <v>100000</v>
      </c>
      <c r="G415" t="s">
        <v>3189</v>
      </c>
      <c r="H415" t="s">
        <v>2847</v>
      </c>
      <c r="I415" t="s">
        <v>62</v>
      </c>
      <c r="J415" t="s">
        <v>3077</v>
      </c>
      <c r="K415" t="s">
        <v>31</v>
      </c>
      <c r="L415" t="s">
        <v>181</v>
      </c>
      <c r="M415" t="s">
        <v>27</v>
      </c>
      <c r="N415" t="s">
        <v>27</v>
      </c>
      <c r="O415" t="s">
        <v>33</v>
      </c>
      <c r="P415" t="s">
        <v>31</v>
      </c>
      <c r="Q415">
        <v>130</v>
      </c>
      <c r="R415" t="s">
        <v>31</v>
      </c>
      <c r="S415" t="s">
        <v>31</v>
      </c>
      <c r="T415" t="s">
        <v>31</v>
      </c>
    </row>
    <row r="416" spans="1:20" hidden="1" x14ac:dyDescent="0.3">
      <c r="A416" t="s">
        <v>565</v>
      </c>
      <c r="B416" t="s">
        <v>28</v>
      </c>
      <c r="C416" t="s">
        <v>29</v>
      </c>
      <c r="D416" t="s">
        <v>30</v>
      </c>
      <c r="E416">
        <v>2004</v>
      </c>
      <c r="F416">
        <v>8000000</v>
      </c>
      <c r="G416" t="s">
        <v>3189</v>
      </c>
      <c r="H416" t="s">
        <v>2645</v>
      </c>
      <c r="I416" t="s">
        <v>34</v>
      </c>
      <c r="J416" t="s">
        <v>2820</v>
      </c>
      <c r="K416" t="s">
        <v>31</v>
      </c>
      <c r="L416" t="s">
        <v>31</v>
      </c>
      <c r="M416" t="s">
        <v>27</v>
      </c>
      <c r="N416" t="s">
        <v>27</v>
      </c>
      <c r="O416" t="s">
        <v>33</v>
      </c>
      <c r="P416" t="s">
        <v>31</v>
      </c>
      <c r="Q416" t="s">
        <v>31</v>
      </c>
      <c r="R416" t="s">
        <v>31</v>
      </c>
      <c r="S416" t="s">
        <v>31</v>
      </c>
      <c r="T416" t="s">
        <v>31</v>
      </c>
    </row>
    <row r="417" spans="1:20" hidden="1" x14ac:dyDescent="0.3">
      <c r="A417" t="s">
        <v>566</v>
      </c>
      <c r="B417" t="s">
        <v>51</v>
      </c>
      <c r="C417" t="s">
        <v>37</v>
      </c>
      <c r="D417" t="s">
        <v>121</v>
      </c>
      <c r="E417">
        <v>2004</v>
      </c>
      <c r="F417" t="s">
        <v>31</v>
      </c>
      <c r="G417" t="s">
        <v>31</v>
      </c>
      <c r="H417" t="s">
        <v>2647</v>
      </c>
      <c r="I417" t="s">
        <v>47</v>
      </c>
      <c r="J417" t="s">
        <v>3191</v>
      </c>
      <c r="K417" t="s">
        <v>2649</v>
      </c>
      <c r="L417" t="s">
        <v>54</v>
      </c>
      <c r="M417" t="s">
        <v>27</v>
      </c>
      <c r="N417" t="s">
        <v>27</v>
      </c>
      <c r="O417" t="s">
        <v>33</v>
      </c>
      <c r="P417" t="s">
        <v>31</v>
      </c>
      <c r="Q417" t="s">
        <v>31</v>
      </c>
      <c r="R417" t="s">
        <v>31</v>
      </c>
      <c r="S417" t="s">
        <v>31</v>
      </c>
      <c r="T417" t="s">
        <v>3192</v>
      </c>
    </row>
    <row r="418" spans="1:20" hidden="1" x14ac:dyDescent="0.3">
      <c r="A418" t="s">
        <v>567</v>
      </c>
      <c r="B418" t="s">
        <v>51</v>
      </c>
      <c r="C418" t="s">
        <v>37</v>
      </c>
      <c r="D418" t="s">
        <v>121</v>
      </c>
      <c r="E418">
        <v>2004</v>
      </c>
      <c r="F418" t="s">
        <v>31</v>
      </c>
      <c r="G418" t="s">
        <v>3193</v>
      </c>
      <c r="H418" t="s">
        <v>2774</v>
      </c>
      <c r="I418" t="s">
        <v>166</v>
      </c>
      <c r="J418" t="s">
        <v>3194</v>
      </c>
      <c r="K418" t="s">
        <v>2649</v>
      </c>
      <c r="L418" t="s">
        <v>31</v>
      </c>
      <c r="M418" t="s">
        <v>27</v>
      </c>
      <c r="N418" t="s">
        <v>27</v>
      </c>
      <c r="O418" t="s">
        <v>27</v>
      </c>
      <c r="P418" t="s">
        <v>31</v>
      </c>
      <c r="Q418" t="s">
        <v>31</v>
      </c>
      <c r="R418" t="s">
        <v>31</v>
      </c>
      <c r="S418" t="s">
        <v>31</v>
      </c>
      <c r="T418" t="s">
        <v>31</v>
      </c>
    </row>
    <row r="419" spans="1:20" hidden="1" x14ac:dyDescent="0.3">
      <c r="A419" t="s">
        <v>568</v>
      </c>
      <c r="B419" t="s">
        <v>91</v>
      </c>
      <c r="C419" t="s">
        <v>92</v>
      </c>
      <c r="D419" t="s">
        <v>93</v>
      </c>
      <c r="E419">
        <v>2004</v>
      </c>
      <c r="F419" t="s">
        <v>31</v>
      </c>
      <c r="G419" t="s">
        <v>3195</v>
      </c>
      <c r="H419" t="s">
        <v>3196</v>
      </c>
      <c r="I419" t="s">
        <v>35</v>
      </c>
      <c r="J419" t="s">
        <v>3197</v>
      </c>
      <c r="K419" t="s">
        <v>31</v>
      </c>
      <c r="L419" t="s">
        <v>31</v>
      </c>
      <c r="M419" t="s">
        <v>33</v>
      </c>
      <c r="N419" t="s">
        <v>27</v>
      </c>
      <c r="O419" t="s">
        <v>27</v>
      </c>
      <c r="P419" t="s">
        <v>31</v>
      </c>
      <c r="Q419">
        <v>6.3</v>
      </c>
      <c r="R419">
        <v>15.679</v>
      </c>
      <c r="S419">
        <v>-61.706000000000003</v>
      </c>
      <c r="T419" t="s">
        <v>31</v>
      </c>
    </row>
    <row r="420" spans="1:20" hidden="1" x14ac:dyDescent="0.3">
      <c r="A420" t="s">
        <v>569</v>
      </c>
      <c r="B420" t="s">
        <v>91</v>
      </c>
      <c r="C420" t="s">
        <v>92</v>
      </c>
      <c r="D420" t="s">
        <v>93</v>
      </c>
      <c r="E420">
        <v>2004</v>
      </c>
      <c r="F420" t="s">
        <v>31</v>
      </c>
      <c r="G420" t="s">
        <v>3195</v>
      </c>
      <c r="H420" t="s">
        <v>3198</v>
      </c>
      <c r="I420" t="s">
        <v>211</v>
      </c>
      <c r="J420" t="s">
        <v>3199</v>
      </c>
      <c r="K420" t="s">
        <v>31</v>
      </c>
      <c r="L420" t="s">
        <v>31</v>
      </c>
      <c r="M420" t="s">
        <v>27</v>
      </c>
      <c r="N420" t="s">
        <v>27</v>
      </c>
      <c r="O420" t="s">
        <v>27</v>
      </c>
      <c r="P420" t="s">
        <v>31</v>
      </c>
      <c r="Q420">
        <v>6.3</v>
      </c>
      <c r="R420">
        <v>15.679</v>
      </c>
      <c r="S420">
        <v>-61.706000000000003</v>
      </c>
      <c r="T420" t="s">
        <v>31</v>
      </c>
    </row>
    <row r="421" spans="1:20" hidden="1" x14ac:dyDescent="0.3">
      <c r="A421" t="s">
        <v>570</v>
      </c>
      <c r="B421" t="s">
        <v>51</v>
      </c>
      <c r="C421" t="s">
        <v>2655</v>
      </c>
      <c r="D421" t="s">
        <v>150</v>
      </c>
      <c r="E421">
        <v>2004</v>
      </c>
      <c r="F421" t="s">
        <v>31</v>
      </c>
      <c r="G421" t="s">
        <v>3200</v>
      </c>
      <c r="H421" t="s">
        <v>3186</v>
      </c>
      <c r="I421" t="s">
        <v>561</v>
      </c>
      <c r="J421" t="s">
        <v>3201</v>
      </c>
      <c r="K421" t="s">
        <v>31</v>
      </c>
      <c r="L421" t="s">
        <v>31</v>
      </c>
      <c r="M421" t="s">
        <v>27</v>
      </c>
      <c r="N421" t="s">
        <v>27</v>
      </c>
      <c r="O421" t="s">
        <v>27</v>
      </c>
      <c r="P421" t="s">
        <v>31</v>
      </c>
      <c r="Q421" t="s">
        <v>31</v>
      </c>
      <c r="R421" t="s">
        <v>31</v>
      </c>
      <c r="S421" t="s">
        <v>31</v>
      </c>
      <c r="T421" t="s">
        <v>31</v>
      </c>
    </row>
    <row r="422" spans="1:20" hidden="1" x14ac:dyDescent="0.3">
      <c r="A422" t="s">
        <v>571</v>
      </c>
      <c r="B422" t="s">
        <v>28</v>
      </c>
      <c r="C422" t="s">
        <v>2685</v>
      </c>
      <c r="D422" t="s">
        <v>68</v>
      </c>
      <c r="E422">
        <v>2004</v>
      </c>
      <c r="F422" t="s">
        <v>31</v>
      </c>
      <c r="G422" t="s">
        <v>31</v>
      </c>
      <c r="H422" t="s">
        <v>2672</v>
      </c>
      <c r="I422" t="s">
        <v>73</v>
      </c>
      <c r="J422" t="s">
        <v>2686</v>
      </c>
      <c r="K422" t="s">
        <v>31</v>
      </c>
      <c r="L422" t="s">
        <v>31</v>
      </c>
      <c r="M422" t="s">
        <v>27</v>
      </c>
      <c r="N422" t="s">
        <v>27</v>
      </c>
      <c r="O422" t="s">
        <v>27</v>
      </c>
      <c r="P422" t="s">
        <v>31</v>
      </c>
      <c r="Q422" t="s">
        <v>31</v>
      </c>
      <c r="R422" t="s">
        <v>31</v>
      </c>
      <c r="S422" t="s">
        <v>31</v>
      </c>
      <c r="T422" t="s">
        <v>31</v>
      </c>
    </row>
    <row r="423" spans="1:20" hidden="1" x14ac:dyDescent="0.3">
      <c r="A423" t="s">
        <v>572</v>
      </c>
      <c r="B423" t="s">
        <v>39</v>
      </c>
      <c r="C423" t="s">
        <v>157</v>
      </c>
      <c r="D423" t="s">
        <v>157</v>
      </c>
      <c r="E423">
        <v>2004</v>
      </c>
      <c r="F423" t="s">
        <v>31</v>
      </c>
      <c r="G423" t="s">
        <v>31</v>
      </c>
      <c r="H423" t="s">
        <v>2678</v>
      </c>
      <c r="I423" t="s">
        <v>53</v>
      </c>
      <c r="J423" t="s">
        <v>3202</v>
      </c>
      <c r="K423" t="s">
        <v>31</v>
      </c>
      <c r="L423" t="s">
        <v>68</v>
      </c>
      <c r="M423" t="s">
        <v>27</v>
      </c>
      <c r="N423" t="s">
        <v>27</v>
      </c>
      <c r="O423" t="s">
        <v>33</v>
      </c>
      <c r="P423" t="s">
        <v>31</v>
      </c>
      <c r="Q423" t="s">
        <v>31</v>
      </c>
      <c r="R423" t="s">
        <v>31</v>
      </c>
      <c r="S423" t="s">
        <v>31</v>
      </c>
      <c r="T423" t="s">
        <v>31</v>
      </c>
    </row>
    <row r="424" spans="1:20" hidden="1" x14ac:dyDescent="0.3">
      <c r="A424" t="s">
        <v>573</v>
      </c>
      <c r="B424" t="s">
        <v>28</v>
      </c>
      <c r="C424" t="s">
        <v>2685</v>
      </c>
      <c r="D424" t="s">
        <v>68</v>
      </c>
      <c r="E424">
        <v>2004</v>
      </c>
      <c r="F424" t="s">
        <v>31</v>
      </c>
      <c r="G424" t="s">
        <v>31</v>
      </c>
      <c r="H424" t="s">
        <v>2645</v>
      </c>
      <c r="I424" t="s">
        <v>34</v>
      </c>
      <c r="J424" t="s">
        <v>3203</v>
      </c>
      <c r="K424" t="s">
        <v>31</v>
      </c>
      <c r="L424" t="s">
        <v>31</v>
      </c>
      <c r="M424" t="s">
        <v>27</v>
      </c>
      <c r="N424" t="s">
        <v>27</v>
      </c>
      <c r="O424" t="s">
        <v>27</v>
      </c>
      <c r="P424" t="s">
        <v>31</v>
      </c>
      <c r="Q424" t="s">
        <v>31</v>
      </c>
      <c r="R424" t="s">
        <v>31</v>
      </c>
      <c r="S424" t="s">
        <v>31</v>
      </c>
      <c r="T424" t="s">
        <v>31</v>
      </c>
    </row>
    <row r="425" spans="1:20" hidden="1" x14ac:dyDescent="0.3">
      <c r="A425" t="s">
        <v>574</v>
      </c>
      <c r="B425" t="s">
        <v>39</v>
      </c>
      <c r="C425" t="s">
        <v>157</v>
      </c>
      <c r="D425" t="s">
        <v>157</v>
      </c>
      <c r="E425">
        <v>2004</v>
      </c>
      <c r="F425" t="s">
        <v>31</v>
      </c>
      <c r="G425" t="s">
        <v>31</v>
      </c>
      <c r="H425" t="s">
        <v>2669</v>
      </c>
      <c r="I425" t="s">
        <v>111</v>
      </c>
      <c r="J425" t="s">
        <v>3204</v>
      </c>
      <c r="K425" t="s">
        <v>31</v>
      </c>
      <c r="L425" t="s">
        <v>31</v>
      </c>
      <c r="M425" t="s">
        <v>27</v>
      </c>
      <c r="N425" t="s">
        <v>27</v>
      </c>
      <c r="O425" t="s">
        <v>33</v>
      </c>
      <c r="P425" t="s">
        <v>31</v>
      </c>
      <c r="Q425" t="s">
        <v>31</v>
      </c>
      <c r="R425" t="s">
        <v>31</v>
      </c>
      <c r="S425" t="s">
        <v>31</v>
      </c>
      <c r="T425" t="s">
        <v>31</v>
      </c>
    </row>
    <row r="426" spans="1:20" hidden="1" x14ac:dyDescent="0.3">
      <c r="A426" t="s">
        <v>575</v>
      </c>
      <c r="B426" t="s">
        <v>39</v>
      </c>
      <c r="C426" t="s">
        <v>157</v>
      </c>
      <c r="D426" t="s">
        <v>157</v>
      </c>
      <c r="E426">
        <v>2004</v>
      </c>
      <c r="F426">
        <v>1650000</v>
      </c>
      <c r="G426" t="s">
        <v>31</v>
      </c>
      <c r="H426" t="s">
        <v>2656</v>
      </c>
      <c r="I426" t="s">
        <v>119</v>
      </c>
      <c r="J426" t="s">
        <v>3205</v>
      </c>
      <c r="K426" t="s">
        <v>3206</v>
      </c>
      <c r="L426" t="s">
        <v>31</v>
      </c>
      <c r="M426" t="s">
        <v>27</v>
      </c>
      <c r="N426" t="s">
        <v>27</v>
      </c>
      <c r="O426" t="s">
        <v>27</v>
      </c>
      <c r="P426" t="s">
        <v>31</v>
      </c>
      <c r="Q426" t="s">
        <v>31</v>
      </c>
      <c r="R426" t="s">
        <v>31</v>
      </c>
      <c r="S426" t="s">
        <v>31</v>
      </c>
      <c r="T426" t="s">
        <v>31</v>
      </c>
    </row>
    <row r="427" spans="1:20" hidden="1" x14ac:dyDescent="0.3">
      <c r="A427" t="s">
        <v>917</v>
      </c>
      <c r="B427" t="s">
        <v>28</v>
      </c>
      <c r="C427" t="s">
        <v>29</v>
      </c>
      <c r="D427" t="s">
        <v>67</v>
      </c>
      <c r="E427">
        <v>2004</v>
      </c>
      <c r="F427">
        <v>100000</v>
      </c>
      <c r="G427" t="s">
        <v>31</v>
      </c>
      <c r="H427" t="s">
        <v>2739</v>
      </c>
      <c r="I427" t="s">
        <v>77</v>
      </c>
      <c r="J427" t="s">
        <v>2871</v>
      </c>
      <c r="K427" t="s">
        <v>31</v>
      </c>
      <c r="L427" t="s">
        <v>68</v>
      </c>
      <c r="M427" t="s">
        <v>27</v>
      </c>
      <c r="N427" t="s">
        <v>27</v>
      </c>
      <c r="O427" t="s">
        <v>27</v>
      </c>
      <c r="P427" t="s">
        <v>31</v>
      </c>
      <c r="Q427" t="s">
        <v>31</v>
      </c>
      <c r="R427" t="s">
        <v>31</v>
      </c>
      <c r="S427" t="s">
        <v>31</v>
      </c>
      <c r="T427" t="s">
        <v>31</v>
      </c>
    </row>
    <row r="428" spans="1:20" hidden="1" x14ac:dyDescent="0.3">
      <c r="A428" t="s">
        <v>918</v>
      </c>
      <c r="B428" t="s">
        <v>28</v>
      </c>
      <c r="C428" t="s">
        <v>29</v>
      </c>
      <c r="D428" t="s">
        <v>67</v>
      </c>
      <c r="E428">
        <v>2004</v>
      </c>
      <c r="F428" t="s">
        <v>31</v>
      </c>
      <c r="G428" t="s">
        <v>31</v>
      </c>
      <c r="H428" t="s">
        <v>2739</v>
      </c>
      <c r="I428" t="s">
        <v>77</v>
      </c>
      <c r="J428" t="s">
        <v>3207</v>
      </c>
      <c r="K428" t="s">
        <v>31</v>
      </c>
      <c r="L428" t="s">
        <v>31</v>
      </c>
      <c r="M428" t="s">
        <v>27</v>
      </c>
      <c r="N428" t="s">
        <v>27</v>
      </c>
      <c r="O428" t="s">
        <v>33</v>
      </c>
      <c r="P428" t="s">
        <v>31</v>
      </c>
      <c r="Q428">
        <v>120</v>
      </c>
      <c r="R428" t="s">
        <v>31</v>
      </c>
      <c r="S428" t="s">
        <v>31</v>
      </c>
      <c r="T428" t="s">
        <v>31</v>
      </c>
    </row>
    <row r="429" spans="1:20" hidden="1" x14ac:dyDescent="0.3">
      <c r="A429" t="s">
        <v>919</v>
      </c>
      <c r="B429" t="s">
        <v>51</v>
      </c>
      <c r="C429" t="s">
        <v>2655</v>
      </c>
      <c r="D429" t="s">
        <v>150</v>
      </c>
      <c r="E429">
        <v>2004</v>
      </c>
      <c r="F429" t="s">
        <v>31</v>
      </c>
      <c r="G429" t="s">
        <v>31</v>
      </c>
      <c r="H429" t="s">
        <v>2678</v>
      </c>
      <c r="I429" t="s">
        <v>53</v>
      </c>
      <c r="J429" t="s">
        <v>3208</v>
      </c>
      <c r="K429" t="s">
        <v>2649</v>
      </c>
      <c r="L429" t="s">
        <v>37</v>
      </c>
      <c r="M429" t="s">
        <v>27</v>
      </c>
      <c r="N429" t="s">
        <v>27</v>
      </c>
      <c r="O429" t="s">
        <v>27</v>
      </c>
      <c r="P429" t="s">
        <v>31</v>
      </c>
      <c r="Q429" t="s">
        <v>31</v>
      </c>
      <c r="R429" t="s">
        <v>31</v>
      </c>
      <c r="S429" t="s">
        <v>31</v>
      </c>
      <c r="T429" t="s">
        <v>31</v>
      </c>
    </row>
    <row r="430" spans="1:20" hidden="1" x14ac:dyDescent="0.3">
      <c r="A430" t="s">
        <v>920</v>
      </c>
      <c r="B430" t="s">
        <v>28</v>
      </c>
      <c r="C430" t="s">
        <v>29</v>
      </c>
      <c r="D430" t="s">
        <v>99</v>
      </c>
      <c r="E430">
        <v>2004</v>
      </c>
      <c r="F430">
        <v>700000</v>
      </c>
      <c r="G430" t="s">
        <v>31</v>
      </c>
      <c r="H430" t="s">
        <v>2645</v>
      </c>
      <c r="I430" t="s">
        <v>34</v>
      </c>
      <c r="J430" t="s">
        <v>3209</v>
      </c>
      <c r="K430" t="s">
        <v>31</v>
      </c>
      <c r="L430" t="s">
        <v>100</v>
      </c>
      <c r="M430" t="s">
        <v>27</v>
      </c>
      <c r="N430" t="s">
        <v>27</v>
      </c>
      <c r="O430" t="s">
        <v>33</v>
      </c>
      <c r="P430" t="s">
        <v>31</v>
      </c>
      <c r="Q430" t="s">
        <v>31</v>
      </c>
      <c r="R430" t="s">
        <v>31</v>
      </c>
      <c r="S430" t="s">
        <v>31</v>
      </c>
      <c r="T430" t="s">
        <v>31</v>
      </c>
    </row>
    <row r="431" spans="1:20" hidden="1" x14ac:dyDescent="0.3">
      <c r="A431" t="s">
        <v>921</v>
      </c>
      <c r="B431" t="s">
        <v>51</v>
      </c>
      <c r="C431" t="s">
        <v>37</v>
      </c>
      <c r="D431" t="s">
        <v>121</v>
      </c>
      <c r="E431">
        <v>2004</v>
      </c>
      <c r="F431" t="s">
        <v>31</v>
      </c>
      <c r="G431" t="s">
        <v>3164</v>
      </c>
      <c r="H431" t="s">
        <v>2749</v>
      </c>
      <c r="I431" t="s">
        <v>45</v>
      </c>
      <c r="J431" t="s">
        <v>3210</v>
      </c>
      <c r="K431" t="s">
        <v>2649</v>
      </c>
      <c r="L431" t="s">
        <v>31</v>
      </c>
      <c r="M431" t="s">
        <v>33</v>
      </c>
      <c r="N431" t="s">
        <v>27</v>
      </c>
      <c r="O431" t="s">
        <v>27</v>
      </c>
      <c r="P431" t="s">
        <v>31</v>
      </c>
      <c r="Q431" t="s">
        <v>31</v>
      </c>
      <c r="R431" t="s">
        <v>31</v>
      </c>
      <c r="S431" t="s">
        <v>31</v>
      </c>
      <c r="T431" t="s">
        <v>31</v>
      </c>
    </row>
    <row r="432" spans="1:20" hidden="1" x14ac:dyDescent="0.3">
      <c r="A432" t="s">
        <v>922</v>
      </c>
      <c r="B432" t="s">
        <v>51</v>
      </c>
      <c r="C432" t="s">
        <v>37</v>
      </c>
      <c r="D432" t="s">
        <v>121</v>
      </c>
      <c r="E432">
        <v>2004</v>
      </c>
      <c r="F432" t="s">
        <v>31</v>
      </c>
      <c r="G432" t="s">
        <v>3164</v>
      </c>
      <c r="H432" t="s">
        <v>2847</v>
      </c>
      <c r="I432" t="s">
        <v>62</v>
      </c>
      <c r="J432" t="s">
        <v>3211</v>
      </c>
      <c r="K432" t="s">
        <v>2649</v>
      </c>
      <c r="L432" t="s">
        <v>31</v>
      </c>
      <c r="M432" t="s">
        <v>27</v>
      </c>
      <c r="N432" t="s">
        <v>27</v>
      </c>
      <c r="O432" t="s">
        <v>27</v>
      </c>
      <c r="P432" t="s">
        <v>31</v>
      </c>
      <c r="Q432" t="s">
        <v>31</v>
      </c>
      <c r="R432" t="s">
        <v>31</v>
      </c>
      <c r="S432" t="s">
        <v>31</v>
      </c>
      <c r="T432" t="s">
        <v>31</v>
      </c>
    </row>
    <row r="433" spans="1:20" hidden="1" x14ac:dyDescent="0.3">
      <c r="A433" t="s">
        <v>923</v>
      </c>
      <c r="B433" t="s">
        <v>28</v>
      </c>
      <c r="C433" t="s">
        <v>29</v>
      </c>
      <c r="D433" t="s">
        <v>189</v>
      </c>
      <c r="E433">
        <v>2004</v>
      </c>
      <c r="F433" t="s">
        <v>31</v>
      </c>
      <c r="G433" t="s">
        <v>31</v>
      </c>
      <c r="H433" t="s">
        <v>2675</v>
      </c>
      <c r="I433" t="s">
        <v>81</v>
      </c>
      <c r="J433" t="s">
        <v>3212</v>
      </c>
      <c r="K433" t="s">
        <v>31</v>
      </c>
      <c r="L433" t="s">
        <v>37</v>
      </c>
      <c r="M433" t="s">
        <v>27</v>
      </c>
      <c r="N433" t="s">
        <v>27</v>
      </c>
      <c r="O433" t="s">
        <v>27</v>
      </c>
      <c r="P433" t="s">
        <v>31</v>
      </c>
      <c r="Q433" t="s">
        <v>31</v>
      </c>
      <c r="R433" t="s">
        <v>31</v>
      </c>
      <c r="S433" t="s">
        <v>31</v>
      </c>
      <c r="T433" t="s">
        <v>31</v>
      </c>
    </row>
    <row r="434" spans="1:20" hidden="1" x14ac:dyDescent="0.3">
      <c r="A434" t="s">
        <v>924</v>
      </c>
      <c r="B434" t="s">
        <v>51</v>
      </c>
      <c r="C434" t="s">
        <v>37</v>
      </c>
      <c r="D434" t="s">
        <v>121</v>
      </c>
      <c r="E434">
        <v>2004</v>
      </c>
      <c r="F434" t="s">
        <v>31</v>
      </c>
      <c r="G434" t="s">
        <v>31</v>
      </c>
      <c r="H434" t="s">
        <v>2658</v>
      </c>
      <c r="I434" t="s">
        <v>130</v>
      </c>
      <c r="J434" t="s">
        <v>3213</v>
      </c>
      <c r="K434" t="s">
        <v>2664</v>
      </c>
      <c r="L434" t="s">
        <v>405</v>
      </c>
      <c r="M434" t="s">
        <v>27</v>
      </c>
      <c r="N434" t="s">
        <v>27</v>
      </c>
      <c r="O434" t="s">
        <v>27</v>
      </c>
      <c r="P434" t="s">
        <v>31</v>
      </c>
      <c r="Q434" t="s">
        <v>31</v>
      </c>
      <c r="R434" t="s">
        <v>31</v>
      </c>
      <c r="S434" t="s">
        <v>31</v>
      </c>
      <c r="T434" t="s">
        <v>31</v>
      </c>
    </row>
    <row r="435" spans="1:20" hidden="1" x14ac:dyDescent="0.3">
      <c r="A435" t="s">
        <v>925</v>
      </c>
      <c r="B435" t="s">
        <v>28</v>
      </c>
      <c r="C435" t="s">
        <v>2685</v>
      </c>
      <c r="D435" t="s">
        <v>68</v>
      </c>
      <c r="E435">
        <v>2004</v>
      </c>
      <c r="F435" t="s">
        <v>31</v>
      </c>
      <c r="G435" t="s">
        <v>31</v>
      </c>
      <c r="H435" t="s">
        <v>2769</v>
      </c>
      <c r="I435" t="s">
        <v>117</v>
      </c>
      <c r="J435" t="s">
        <v>2770</v>
      </c>
      <c r="K435" t="s">
        <v>31</v>
      </c>
      <c r="L435" t="s">
        <v>31</v>
      </c>
      <c r="M435" t="s">
        <v>27</v>
      </c>
      <c r="N435" t="s">
        <v>27</v>
      </c>
      <c r="O435" t="s">
        <v>27</v>
      </c>
      <c r="P435" t="s">
        <v>31</v>
      </c>
      <c r="Q435" t="s">
        <v>31</v>
      </c>
      <c r="R435" t="s">
        <v>31</v>
      </c>
      <c r="S435" t="s">
        <v>31</v>
      </c>
      <c r="T435" t="s">
        <v>31</v>
      </c>
    </row>
    <row r="436" spans="1:20" hidden="1" x14ac:dyDescent="0.3">
      <c r="A436" t="s">
        <v>927</v>
      </c>
      <c r="B436" t="s">
        <v>28</v>
      </c>
      <c r="C436" t="s">
        <v>29</v>
      </c>
      <c r="D436" t="s">
        <v>30</v>
      </c>
      <c r="E436">
        <v>2004</v>
      </c>
      <c r="F436">
        <v>1000000</v>
      </c>
      <c r="G436" t="s">
        <v>3214</v>
      </c>
      <c r="H436" t="s">
        <v>2716</v>
      </c>
      <c r="I436" t="s">
        <v>242</v>
      </c>
      <c r="J436" t="s">
        <v>3215</v>
      </c>
      <c r="K436" t="s">
        <v>31</v>
      </c>
      <c r="L436" t="s">
        <v>31</v>
      </c>
      <c r="M436" t="s">
        <v>27</v>
      </c>
      <c r="N436" t="s">
        <v>27</v>
      </c>
      <c r="O436" t="s">
        <v>27</v>
      </c>
      <c r="P436">
        <v>120</v>
      </c>
      <c r="Q436">
        <v>220</v>
      </c>
      <c r="R436" t="s">
        <v>31</v>
      </c>
      <c r="S436" t="s">
        <v>31</v>
      </c>
      <c r="T436" t="s">
        <v>31</v>
      </c>
    </row>
    <row r="437" spans="1:20" hidden="1" x14ac:dyDescent="0.3">
      <c r="A437" t="s">
        <v>928</v>
      </c>
      <c r="B437" t="s">
        <v>28</v>
      </c>
      <c r="C437" t="s">
        <v>29</v>
      </c>
      <c r="D437" t="s">
        <v>30</v>
      </c>
      <c r="E437">
        <v>2004</v>
      </c>
      <c r="F437">
        <v>5000</v>
      </c>
      <c r="G437" t="s">
        <v>3214</v>
      </c>
      <c r="H437" t="s">
        <v>2860</v>
      </c>
      <c r="I437" t="s">
        <v>670</v>
      </c>
      <c r="J437" t="s">
        <v>3216</v>
      </c>
      <c r="K437" t="s">
        <v>31</v>
      </c>
      <c r="L437" t="s">
        <v>37</v>
      </c>
      <c r="M437" t="s">
        <v>27</v>
      </c>
      <c r="N437" t="s">
        <v>27</v>
      </c>
      <c r="O437" t="s">
        <v>27</v>
      </c>
      <c r="P437" t="s">
        <v>31</v>
      </c>
      <c r="Q437" t="s">
        <v>31</v>
      </c>
      <c r="R437" t="s">
        <v>31</v>
      </c>
      <c r="S437" t="s">
        <v>31</v>
      </c>
      <c r="T437" t="s">
        <v>31</v>
      </c>
    </row>
    <row r="438" spans="1:20" hidden="1" x14ac:dyDescent="0.3">
      <c r="A438" t="s">
        <v>929</v>
      </c>
      <c r="B438" t="s">
        <v>28</v>
      </c>
      <c r="C438" t="s">
        <v>29</v>
      </c>
      <c r="D438" t="s">
        <v>30</v>
      </c>
      <c r="E438">
        <v>2004</v>
      </c>
      <c r="F438">
        <v>300000</v>
      </c>
      <c r="G438" t="s">
        <v>3214</v>
      </c>
      <c r="H438" t="s">
        <v>2751</v>
      </c>
      <c r="I438" t="s">
        <v>234</v>
      </c>
      <c r="J438" t="s">
        <v>3217</v>
      </c>
      <c r="K438" t="s">
        <v>31</v>
      </c>
      <c r="L438" t="s">
        <v>37</v>
      </c>
      <c r="M438" t="s">
        <v>27</v>
      </c>
      <c r="N438" t="s">
        <v>27</v>
      </c>
      <c r="O438" t="s">
        <v>27</v>
      </c>
      <c r="P438" t="s">
        <v>31</v>
      </c>
      <c r="Q438" t="s">
        <v>31</v>
      </c>
      <c r="R438" t="s">
        <v>31</v>
      </c>
      <c r="S438" t="s">
        <v>31</v>
      </c>
      <c r="T438" t="s">
        <v>31</v>
      </c>
    </row>
    <row r="439" spans="1:20" hidden="1" x14ac:dyDescent="0.3">
      <c r="A439" t="s">
        <v>930</v>
      </c>
      <c r="B439" t="s">
        <v>28</v>
      </c>
      <c r="C439" t="s">
        <v>29</v>
      </c>
      <c r="D439" t="s">
        <v>30</v>
      </c>
      <c r="E439">
        <v>2004</v>
      </c>
      <c r="F439">
        <v>16000000</v>
      </c>
      <c r="G439" t="s">
        <v>3214</v>
      </c>
      <c r="H439" t="s">
        <v>2645</v>
      </c>
      <c r="I439" t="s">
        <v>34</v>
      </c>
      <c r="J439" t="s">
        <v>3218</v>
      </c>
      <c r="K439" t="s">
        <v>31</v>
      </c>
      <c r="L439" t="s">
        <v>290</v>
      </c>
      <c r="M439" t="s">
        <v>27</v>
      </c>
      <c r="N439" t="s">
        <v>27</v>
      </c>
      <c r="O439" t="s">
        <v>33</v>
      </c>
      <c r="P439" t="s">
        <v>31</v>
      </c>
      <c r="Q439">
        <v>230</v>
      </c>
      <c r="R439" t="s">
        <v>31</v>
      </c>
      <c r="S439" t="s">
        <v>31</v>
      </c>
      <c r="T439" t="s">
        <v>31</v>
      </c>
    </row>
    <row r="440" spans="1:20" hidden="1" x14ac:dyDescent="0.3">
      <c r="A440" t="s">
        <v>931</v>
      </c>
      <c r="B440" t="s">
        <v>28</v>
      </c>
      <c r="C440" t="s">
        <v>29</v>
      </c>
      <c r="D440" t="s">
        <v>30</v>
      </c>
      <c r="E440">
        <v>2004</v>
      </c>
      <c r="F440" t="s">
        <v>31</v>
      </c>
      <c r="G440" t="s">
        <v>31</v>
      </c>
      <c r="H440" t="s">
        <v>2888</v>
      </c>
      <c r="I440" t="s">
        <v>75</v>
      </c>
      <c r="J440" t="s">
        <v>3219</v>
      </c>
      <c r="K440" t="s">
        <v>31</v>
      </c>
      <c r="L440" t="s">
        <v>31</v>
      </c>
      <c r="M440" t="s">
        <v>27</v>
      </c>
      <c r="N440" t="s">
        <v>27</v>
      </c>
      <c r="O440" t="s">
        <v>27</v>
      </c>
      <c r="P440" t="s">
        <v>31</v>
      </c>
      <c r="Q440" t="s">
        <v>31</v>
      </c>
      <c r="R440" t="s">
        <v>31</v>
      </c>
      <c r="S440" t="s">
        <v>31</v>
      </c>
      <c r="T440" t="s">
        <v>31</v>
      </c>
    </row>
    <row r="441" spans="1:20" hidden="1" x14ac:dyDescent="0.3">
      <c r="A441" t="s">
        <v>932</v>
      </c>
      <c r="B441" t="s">
        <v>28</v>
      </c>
      <c r="C441" t="s">
        <v>29</v>
      </c>
      <c r="D441" t="s">
        <v>30</v>
      </c>
      <c r="E441">
        <v>2004</v>
      </c>
      <c r="F441" t="s">
        <v>31</v>
      </c>
      <c r="G441" t="s">
        <v>31</v>
      </c>
      <c r="H441" t="s">
        <v>3220</v>
      </c>
      <c r="I441" t="s">
        <v>674</v>
      </c>
      <c r="J441" t="s">
        <v>3221</v>
      </c>
      <c r="K441" t="s">
        <v>31</v>
      </c>
      <c r="L441" t="s">
        <v>31</v>
      </c>
      <c r="M441" t="s">
        <v>27</v>
      </c>
      <c r="N441" t="s">
        <v>27</v>
      </c>
      <c r="O441" t="s">
        <v>27</v>
      </c>
      <c r="P441" t="s">
        <v>31</v>
      </c>
      <c r="Q441" t="s">
        <v>31</v>
      </c>
      <c r="R441" t="s">
        <v>31</v>
      </c>
      <c r="S441" t="s">
        <v>31</v>
      </c>
      <c r="T441" t="s">
        <v>31</v>
      </c>
    </row>
    <row r="442" spans="1:20" hidden="1" x14ac:dyDescent="0.3">
      <c r="A442" t="s">
        <v>933</v>
      </c>
      <c r="B442" t="s">
        <v>28</v>
      </c>
      <c r="C442" t="s">
        <v>29</v>
      </c>
      <c r="D442" t="s">
        <v>30</v>
      </c>
      <c r="E442">
        <v>2004</v>
      </c>
      <c r="F442">
        <v>3430080</v>
      </c>
      <c r="G442" t="s">
        <v>3180</v>
      </c>
      <c r="H442" t="s">
        <v>2860</v>
      </c>
      <c r="I442" t="s">
        <v>670</v>
      </c>
      <c r="J442" t="s">
        <v>3216</v>
      </c>
      <c r="K442" t="s">
        <v>31</v>
      </c>
      <c r="L442" t="s">
        <v>31</v>
      </c>
      <c r="M442" t="s">
        <v>27</v>
      </c>
      <c r="N442" t="s">
        <v>27</v>
      </c>
      <c r="O442" t="s">
        <v>27</v>
      </c>
      <c r="P442" t="s">
        <v>31</v>
      </c>
      <c r="Q442">
        <v>240</v>
      </c>
      <c r="R442" t="s">
        <v>31</v>
      </c>
      <c r="S442" t="s">
        <v>31</v>
      </c>
      <c r="T442" t="s">
        <v>31</v>
      </c>
    </row>
    <row r="443" spans="1:20" hidden="1" x14ac:dyDescent="0.3">
      <c r="A443" t="s">
        <v>934</v>
      </c>
      <c r="B443" t="s">
        <v>28</v>
      </c>
      <c r="C443" t="s">
        <v>29</v>
      </c>
      <c r="D443" t="s">
        <v>30</v>
      </c>
      <c r="E443">
        <v>2004</v>
      </c>
      <c r="F443">
        <v>1000</v>
      </c>
      <c r="G443" t="s">
        <v>3180</v>
      </c>
      <c r="H443" t="s">
        <v>2888</v>
      </c>
      <c r="I443" t="s">
        <v>75</v>
      </c>
      <c r="J443" t="s">
        <v>3219</v>
      </c>
      <c r="K443" t="s">
        <v>31</v>
      </c>
      <c r="L443" t="s">
        <v>31</v>
      </c>
      <c r="M443" t="s">
        <v>27</v>
      </c>
      <c r="N443" t="s">
        <v>27</v>
      </c>
      <c r="O443" t="s">
        <v>27</v>
      </c>
      <c r="P443" t="s">
        <v>31</v>
      </c>
      <c r="Q443" t="s">
        <v>31</v>
      </c>
      <c r="R443" t="s">
        <v>31</v>
      </c>
      <c r="S443" t="s">
        <v>31</v>
      </c>
      <c r="T443" t="s">
        <v>31</v>
      </c>
    </row>
    <row r="444" spans="1:20" hidden="1" x14ac:dyDescent="0.3">
      <c r="A444" t="s">
        <v>935</v>
      </c>
      <c r="B444" t="s">
        <v>28</v>
      </c>
      <c r="C444" t="s">
        <v>29</v>
      </c>
      <c r="D444" t="s">
        <v>30</v>
      </c>
      <c r="E444">
        <v>2004</v>
      </c>
      <c r="F444">
        <v>40000</v>
      </c>
      <c r="G444" t="s">
        <v>3180</v>
      </c>
      <c r="H444" t="s">
        <v>2903</v>
      </c>
      <c r="I444" t="s">
        <v>148</v>
      </c>
      <c r="J444" t="s">
        <v>2904</v>
      </c>
      <c r="K444" t="s">
        <v>31</v>
      </c>
      <c r="L444" t="s">
        <v>31</v>
      </c>
      <c r="M444" t="s">
        <v>27</v>
      </c>
      <c r="N444" t="s">
        <v>27</v>
      </c>
      <c r="O444" t="s">
        <v>27</v>
      </c>
      <c r="P444" t="s">
        <v>31</v>
      </c>
      <c r="Q444" t="s">
        <v>31</v>
      </c>
      <c r="R444" t="s">
        <v>31</v>
      </c>
      <c r="S444" t="s">
        <v>31</v>
      </c>
      <c r="T444" t="s">
        <v>31</v>
      </c>
    </row>
    <row r="445" spans="1:20" hidden="1" x14ac:dyDescent="0.3">
      <c r="A445" t="s">
        <v>936</v>
      </c>
      <c r="B445" t="s">
        <v>28</v>
      </c>
      <c r="C445" t="s">
        <v>29</v>
      </c>
      <c r="D445" t="s">
        <v>30</v>
      </c>
      <c r="E445">
        <v>2004</v>
      </c>
      <c r="F445" t="s">
        <v>31</v>
      </c>
      <c r="G445" t="s">
        <v>3189</v>
      </c>
      <c r="H445" t="s">
        <v>3222</v>
      </c>
      <c r="I445" t="s">
        <v>205</v>
      </c>
      <c r="J445" t="s">
        <v>3223</v>
      </c>
      <c r="K445" t="s">
        <v>31</v>
      </c>
      <c r="L445" t="s">
        <v>31</v>
      </c>
      <c r="M445" t="s">
        <v>27</v>
      </c>
      <c r="N445" t="s">
        <v>27</v>
      </c>
      <c r="O445" t="s">
        <v>27</v>
      </c>
      <c r="P445" t="s">
        <v>31</v>
      </c>
      <c r="Q445">
        <v>130</v>
      </c>
      <c r="R445" t="s">
        <v>31</v>
      </c>
      <c r="S445" t="s">
        <v>31</v>
      </c>
      <c r="T445" t="s">
        <v>31</v>
      </c>
    </row>
    <row r="446" spans="1:20" hidden="1" x14ac:dyDescent="0.3">
      <c r="A446" t="s">
        <v>937</v>
      </c>
      <c r="B446" t="s">
        <v>51</v>
      </c>
      <c r="C446" t="s">
        <v>37</v>
      </c>
      <c r="D446" t="s">
        <v>121</v>
      </c>
      <c r="E446">
        <v>2004</v>
      </c>
      <c r="F446" t="s">
        <v>31</v>
      </c>
      <c r="G446" t="s">
        <v>31</v>
      </c>
      <c r="H446" t="s">
        <v>2695</v>
      </c>
      <c r="I446" t="s">
        <v>161</v>
      </c>
      <c r="J446" t="s">
        <v>3224</v>
      </c>
      <c r="K446" t="s">
        <v>2649</v>
      </c>
      <c r="L446" t="s">
        <v>54</v>
      </c>
      <c r="M446" t="s">
        <v>27</v>
      </c>
      <c r="N446" t="s">
        <v>27</v>
      </c>
      <c r="O446" t="s">
        <v>27</v>
      </c>
      <c r="P446" t="s">
        <v>31</v>
      </c>
      <c r="Q446" t="s">
        <v>31</v>
      </c>
      <c r="R446" t="s">
        <v>31</v>
      </c>
      <c r="S446" t="s">
        <v>31</v>
      </c>
      <c r="T446" t="s">
        <v>31</v>
      </c>
    </row>
    <row r="447" spans="1:20" hidden="1" x14ac:dyDescent="0.3">
      <c r="A447" t="s">
        <v>938</v>
      </c>
      <c r="B447" t="s">
        <v>51</v>
      </c>
      <c r="C447" t="s">
        <v>37</v>
      </c>
      <c r="D447" t="s">
        <v>121</v>
      </c>
      <c r="E447">
        <v>2004</v>
      </c>
      <c r="F447">
        <v>1000</v>
      </c>
      <c r="G447" t="s">
        <v>31</v>
      </c>
      <c r="H447" t="s">
        <v>2645</v>
      </c>
      <c r="I447" t="s">
        <v>34</v>
      </c>
      <c r="J447" t="s">
        <v>3225</v>
      </c>
      <c r="K447" t="s">
        <v>2649</v>
      </c>
      <c r="L447" t="s">
        <v>31</v>
      </c>
      <c r="M447" t="s">
        <v>27</v>
      </c>
      <c r="N447" t="s">
        <v>27</v>
      </c>
      <c r="O447" t="s">
        <v>33</v>
      </c>
      <c r="P447" t="s">
        <v>31</v>
      </c>
      <c r="Q447" t="s">
        <v>31</v>
      </c>
      <c r="R447" t="s">
        <v>31</v>
      </c>
      <c r="S447" t="s">
        <v>31</v>
      </c>
      <c r="T447" t="s">
        <v>31</v>
      </c>
    </row>
    <row r="448" spans="1:20" hidden="1" x14ac:dyDescent="0.3">
      <c r="A448" t="s">
        <v>939</v>
      </c>
      <c r="B448" t="s">
        <v>91</v>
      </c>
      <c r="C448" t="s">
        <v>92</v>
      </c>
      <c r="D448" t="s">
        <v>93</v>
      </c>
      <c r="E448">
        <v>2004</v>
      </c>
      <c r="F448" t="s">
        <v>31</v>
      </c>
      <c r="G448" t="s">
        <v>3226</v>
      </c>
      <c r="H448" t="s">
        <v>2647</v>
      </c>
      <c r="I448" t="s">
        <v>47</v>
      </c>
      <c r="J448" t="s">
        <v>3227</v>
      </c>
      <c r="K448" t="s">
        <v>31</v>
      </c>
      <c r="L448" t="s">
        <v>31</v>
      </c>
      <c r="M448" t="s">
        <v>27</v>
      </c>
      <c r="N448" t="s">
        <v>27</v>
      </c>
      <c r="O448" t="s">
        <v>27</v>
      </c>
      <c r="P448" t="s">
        <v>31</v>
      </c>
      <c r="Q448">
        <v>7.2</v>
      </c>
      <c r="R448">
        <v>4.6950000000000003</v>
      </c>
      <c r="S448">
        <v>-77.507999999999996</v>
      </c>
      <c r="T448" t="s">
        <v>31</v>
      </c>
    </row>
    <row r="449" spans="1:20" hidden="1" x14ac:dyDescent="0.3">
      <c r="A449" t="s">
        <v>940</v>
      </c>
      <c r="B449" t="s">
        <v>91</v>
      </c>
      <c r="C449" t="s">
        <v>92</v>
      </c>
      <c r="D449" t="s">
        <v>93</v>
      </c>
      <c r="E449">
        <v>2004</v>
      </c>
      <c r="F449" t="s">
        <v>31</v>
      </c>
      <c r="G449" t="s">
        <v>3228</v>
      </c>
      <c r="H449" t="s">
        <v>2695</v>
      </c>
      <c r="I449" t="s">
        <v>161</v>
      </c>
      <c r="J449" t="s">
        <v>3229</v>
      </c>
      <c r="K449" t="s">
        <v>31</v>
      </c>
      <c r="L449" t="s">
        <v>54</v>
      </c>
      <c r="M449" t="s">
        <v>27</v>
      </c>
      <c r="N449" t="s">
        <v>27</v>
      </c>
      <c r="O449" t="s">
        <v>27</v>
      </c>
      <c r="P449" t="s">
        <v>31</v>
      </c>
      <c r="Q449">
        <v>6.4</v>
      </c>
      <c r="R449">
        <v>9.6020000000000003</v>
      </c>
      <c r="S449">
        <v>-84.171999999999997</v>
      </c>
      <c r="T449" t="s">
        <v>31</v>
      </c>
    </row>
    <row r="450" spans="1:20" hidden="1" x14ac:dyDescent="0.3">
      <c r="A450" t="s">
        <v>941</v>
      </c>
      <c r="B450" t="s">
        <v>51</v>
      </c>
      <c r="C450" t="s">
        <v>37</v>
      </c>
      <c r="D450" t="s">
        <v>121</v>
      </c>
      <c r="E450">
        <v>2004</v>
      </c>
      <c r="F450">
        <v>500000</v>
      </c>
      <c r="G450" t="s">
        <v>31</v>
      </c>
      <c r="H450" t="s">
        <v>2645</v>
      </c>
      <c r="I450" t="s">
        <v>34</v>
      </c>
      <c r="J450" t="s">
        <v>3230</v>
      </c>
      <c r="K450" t="s">
        <v>31</v>
      </c>
      <c r="L450" t="s">
        <v>31</v>
      </c>
      <c r="M450" t="s">
        <v>27</v>
      </c>
      <c r="N450" t="s">
        <v>27</v>
      </c>
      <c r="O450" t="s">
        <v>27</v>
      </c>
      <c r="P450" t="s">
        <v>31</v>
      </c>
      <c r="Q450" t="s">
        <v>31</v>
      </c>
      <c r="R450" t="s">
        <v>31</v>
      </c>
      <c r="S450" t="s">
        <v>31</v>
      </c>
      <c r="T450" t="s">
        <v>31</v>
      </c>
    </row>
    <row r="451" spans="1:20" hidden="1" x14ac:dyDescent="0.3">
      <c r="A451" t="s">
        <v>942</v>
      </c>
      <c r="B451" t="s">
        <v>51</v>
      </c>
      <c r="C451" t="s">
        <v>37</v>
      </c>
      <c r="D451" t="s">
        <v>121</v>
      </c>
      <c r="E451">
        <v>2004</v>
      </c>
      <c r="F451" t="s">
        <v>31</v>
      </c>
      <c r="G451" t="s">
        <v>31</v>
      </c>
      <c r="H451" t="s">
        <v>2709</v>
      </c>
      <c r="I451" t="s">
        <v>70</v>
      </c>
      <c r="J451" t="s">
        <v>3231</v>
      </c>
      <c r="K451" t="s">
        <v>2649</v>
      </c>
      <c r="L451" t="s">
        <v>54</v>
      </c>
      <c r="M451" t="s">
        <v>27</v>
      </c>
      <c r="N451" t="s">
        <v>27</v>
      </c>
      <c r="O451" t="s">
        <v>27</v>
      </c>
      <c r="P451" t="s">
        <v>31</v>
      </c>
      <c r="Q451">
        <v>13180</v>
      </c>
      <c r="R451" t="s">
        <v>31</v>
      </c>
      <c r="S451" t="s">
        <v>31</v>
      </c>
      <c r="T451" t="s">
        <v>31</v>
      </c>
    </row>
    <row r="452" spans="1:20" hidden="1" x14ac:dyDescent="0.3">
      <c r="A452" t="s">
        <v>943</v>
      </c>
      <c r="B452" t="s">
        <v>39</v>
      </c>
      <c r="C452" t="s">
        <v>157</v>
      </c>
      <c r="D452" t="s">
        <v>157</v>
      </c>
      <c r="E452">
        <v>2004</v>
      </c>
      <c r="F452">
        <v>3139</v>
      </c>
      <c r="G452" t="s">
        <v>31</v>
      </c>
      <c r="H452" t="s">
        <v>2716</v>
      </c>
      <c r="I452" t="s">
        <v>242</v>
      </c>
      <c r="J452" t="s">
        <v>3232</v>
      </c>
      <c r="K452" t="s">
        <v>31</v>
      </c>
      <c r="L452" t="s">
        <v>31</v>
      </c>
      <c r="M452" t="s">
        <v>27</v>
      </c>
      <c r="N452" t="s">
        <v>27</v>
      </c>
      <c r="O452" t="s">
        <v>27</v>
      </c>
      <c r="P452" t="s">
        <v>31</v>
      </c>
      <c r="Q452" t="s">
        <v>31</v>
      </c>
      <c r="R452" t="s">
        <v>31</v>
      </c>
      <c r="S452" t="s">
        <v>31</v>
      </c>
      <c r="T452" t="s">
        <v>31</v>
      </c>
    </row>
    <row r="453" spans="1:20" hidden="1" x14ac:dyDescent="0.3">
      <c r="A453" t="s">
        <v>1507</v>
      </c>
      <c r="B453" t="s">
        <v>28</v>
      </c>
      <c r="C453" t="s">
        <v>29</v>
      </c>
      <c r="D453" t="s">
        <v>67</v>
      </c>
      <c r="E453">
        <v>2004</v>
      </c>
      <c r="F453">
        <v>60000</v>
      </c>
      <c r="G453" t="s">
        <v>31</v>
      </c>
      <c r="H453" t="s">
        <v>2645</v>
      </c>
      <c r="I453" t="s">
        <v>34</v>
      </c>
      <c r="J453" t="s">
        <v>3233</v>
      </c>
      <c r="K453" t="s">
        <v>31</v>
      </c>
      <c r="L453" t="s">
        <v>279</v>
      </c>
      <c r="M453" t="s">
        <v>27</v>
      </c>
      <c r="N453" t="s">
        <v>27</v>
      </c>
      <c r="O453" t="s">
        <v>33</v>
      </c>
      <c r="P453" t="s">
        <v>31</v>
      </c>
      <c r="Q453" t="s">
        <v>31</v>
      </c>
      <c r="R453" t="s">
        <v>31</v>
      </c>
      <c r="S453" t="s">
        <v>31</v>
      </c>
      <c r="T453" t="s">
        <v>31</v>
      </c>
    </row>
    <row r="454" spans="1:20" hidden="1" x14ac:dyDescent="0.3">
      <c r="A454" t="s">
        <v>1508</v>
      </c>
      <c r="B454" t="s">
        <v>28</v>
      </c>
      <c r="C454" t="s">
        <v>29</v>
      </c>
      <c r="D454" t="s">
        <v>97</v>
      </c>
      <c r="E454">
        <v>2004</v>
      </c>
      <c r="F454">
        <v>300000</v>
      </c>
      <c r="G454" t="s">
        <v>31</v>
      </c>
      <c r="H454" t="s">
        <v>2645</v>
      </c>
      <c r="I454" t="s">
        <v>34</v>
      </c>
      <c r="J454" t="s">
        <v>3234</v>
      </c>
      <c r="K454" t="s">
        <v>31</v>
      </c>
      <c r="L454" t="s">
        <v>666</v>
      </c>
      <c r="M454" t="s">
        <v>27</v>
      </c>
      <c r="N454" t="s">
        <v>27</v>
      </c>
      <c r="O454" t="s">
        <v>27</v>
      </c>
      <c r="P454" t="s">
        <v>31</v>
      </c>
      <c r="Q454" t="s">
        <v>31</v>
      </c>
      <c r="R454" t="s">
        <v>31</v>
      </c>
      <c r="S454" t="s">
        <v>31</v>
      </c>
      <c r="T454" t="s">
        <v>31</v>
      </c>
    </row>
    <row r="455" spans="1:20" hidden="1" x14ac:dyDescent="0.3">
      <c r="A455" t="s">
        <v>1509</v>
      </c>
      <c r="B455" t="s">
        <v>28</v>
      </c>
      <c r="C455" t="s">
        <v>29</v>
      </c>
      <c r="D455" t="s">
        <v>30</v>
      </c>
      <c r="E455">
        <v>2004</v>
      </c>
      <c r="F455">
        <v>350000</v>
      </c>
      <c r="G455" t="s">
        <v>31</v>
      </c>
      <c r="H455" t="s">
        <v>2656</v>
      </c>
      <c r="I455" t="s">
        <v>119</v>
      </c>
      <c r="J455" t="s">
        <v>3235</v>
      </c>
      <c r="K455" t="s">
        <v>31</v>
      </c>
      <c r="L455" t="s">
        <v>87</v>
      </c>
      <c r="M455" t="s">
        <v>27</v>
      </c>
      <c r="N455" t="s">
        <v>27</v>
      </c>
      <c r="O455" t="s">
        <v>27</v>
      </c>
      <c r="P455" t="s">
        <v>31</v>
      </c>
      <c r="Q455">
        <v>150</v>
      </c>
      <c r="R455" t="s">
        <v>31</v>
      </c>
      <c r="S455" t="s">
        <v>31</v>
      </c>
      <c r="T455" t="s">
        <v>31</v>
      </c>
    </row>
    <row r="456" spans="1:20" hidden="1" x14ac:dyDescent="0.3">
      <c r="A456" t="s">
        <v>1510</v>
      </c>
      <c r="B456" t="s">
        <v>51</v>
      </c>
      <c r="C456" t="s">
        <v>37</v>
      </c>
      <c r="D456" t="s">
        <v>121</v>
      </c>
      <c r="E456">
        <v>2004</v>
      </c>
      <c r="F456" t="s">
        <v>31</v>
      </c>
      <c r="G456" t="s">
        <v>31</v>
      </c>
      <c r="H456" t="s">
        <v>2678</v>
      </c>
      <c r="I456" t="s">
        <v>53</v>
      </c>
      <c r="J456" t="s">
        <v>3236</v>
      </c>
      <c r="K456" t="s">
        <v>2649</v>
      </c>
      <c r="L456" t="s">
        <v>54</v>
      </c>
      <c r="M456" t="s">
        <v>27</v>
      </c>
      <c r="N456" t="s">
        <v>27</v>
      </c>
      <c r="O456" t="s">
        <v>27</v>
      </c>
      <c r="P456" t="s">
        <v>31</v>
      </c>
      <c r="Q456" t="s">
        <v>31</v>
      </c>
      <c r="R456" t="s">
        <v>31</v>
      </c>
      <c r="S456" t="s">
        <v>31</v>
      </c>
      <c r="T456" t="s">
        <v>3237</v>
      </c>
    </row>
    <row r="457" spans="1:20" hidden="1" x14ac:dyDescent="0.3">
      <c r="A457" t="s">
        <v>1511</v>
      </c>
      <c r="B457" t="s">
        <v>51</v>
      </c>
      <c r="C457" t="s">
        <v>37</v>
      </c>
      <c r="D457" t="s">
        <v>121</v>
      </c>
      <c r="E457">
        <v>2004</v>
      </c>
      <c r="F457" t="s">
        <v>31</v>
      </c>
      <c r="G457" t="s">
        <v>3238</v>
      </c>
      <c r="H457" t="s">
        <v>2695</v>
      </c>
      <c r="I457" t="s">
        <v>161</v>
      </c>
      <c r="J457" t="s">
        <v>3239</v>
      </c>
      <c r="K457" t="s">
        <v>2649</v>
      </c>
      <c r="L457" t="s">
        <v>473</v>
      </c>
      <c r="M457" t="s">
        <v>27</v>
      </c>
      <c r="N457" t="s">
        <v>27</v>
      </c>
      <c r="O457" t="s">
        <v>27</v>
      </c>
      <c r="P457" t="s">
        <v>31</v>
      </c>
      <c r="Q457">
        <v>7980</v>
      </c>
      <c r="R457" t="s">
        <v>31</v>
      </c>
      <c r="S457" t="s">
        <v>31</v>
      </c>
      <c r="T457" t="s">
        <v>3240</v>
      </c>
    </row>
    <row r="458" spans="1:20" x14ac:dyDescent="0.3">
      <c r="A458" t="s">
        <v>1512</v>
      </c>
      <c r="B458" t="s">
        <v>51</v>
      </c>
      <c r="C458" t="s">
        <v>37</v>
      </c>
      <c r="D458" t="s">
        <v>121</v>
      </c>
      <c r="E458">
        <v>2004</v>
      </c>
      <c r="F458">
        <v>370</v>
      </c>
      <c r="G458" t="s">
        <v>31</v>
      </c>
      <c r="H458" t="s">
        <v>2656</v>
      </c>
      <c r="I458" t="s">
        <v>119</v>
      </c>
      <c r="J458" t="s">
        <v>2614</v>
      </c>
      <c r="K458" t="s">
        <v>3054</v>
      </c>
      <c r="L458" t="s">
        <v>54</v>
      </c>
      <c r="M458" t="s">
        <v>27</v>
      </c>
      <c r="N458" t="s">
        <v>27</v>
      </c>
      <c r="O458" t="s">
        <v>33</v>
      </c>
      <c r="P458" t="s">
        <v>31</v>
      </c>
      <c r="Q458">
        <v>150</v>
      </c>
      <c r="R458" t="s">
        <v>31</v>
      </c>
      <c r="S458" t="s">
        <v>31</v>
      </c>
      <c r="T458" t="s">
        <v>31</v>
      </c>
    </row>
    <row r="459" spans="1:20" hidden="1" x14ac:dyDescent="0.3">
      <c r="A459" t="s">
        <v>1513</v>
      </c>
      <c r="B459" t="s">
        <v>51</v>
      </c>
      <c r="C459" t="s">
        <v>37</v>
      </c>
      <c r="D459" t="s">
        <v>121</v>
      </c>
      <c r="E459">
        <v>2004</v>
      </c>
      <c r="F459" t="s">
        <v>31</v>
      </c>
      <c r="G459" t="s">
        <v>31</v>
      </c>
      <c r="H459" t="s">
        <v>2645</v>
      </c>
      <c r="I459" t="s">
        <v>34</v>
      </c>
      <c r="J459" t="s">
        <v>3241</v>
      </c>
      <c r="K459" t="s">
        <v>31</v>
      </c>
      <c r="L459" t="s">
        <v>31</v>
      </c>
      <c r="M459" t="s">
        <v>27</v>
      </c>
      <c r="N459" t="s">
        <v>27</v>
      </c>
      <c r="O459" t="s">
        <v>27</v>
      </c>
      <c r="P459" t="s">
        <v>31</v>
      </c>
      <c r="Q459" t="s">
        <v>31</v>
      </c>
      <c r="R459" t="s">
        <v>31</v>
      </c>
      <c r="S459" t="s">
        <v>31</v>
      </c>
      <c r="T459" t="s">
        <v>31</v>
      </c>
    </row>
    <row r="460" spans="1:20" hidden="1" x14ac:dyDescent="0.3">
      <c r="A460" t="s">
        <v>1514</v>
      </c>
      <c r="B460" t="s">
        <v>51</v>
      </c>
      <c r="C460" t="s">
        <v>37</v>
      </c>
      <c r="D460" t="s">
        <v>121</v>
      </c>
      <c r="E460">
        <v>2004</v>
      </c>
      <c r="F460">
        <v>3600</v>
      </c>
      <c r="G460" t="s">
        <v>31</v>
      </c>
      <c r="H460" t="s">
        <v>2672</v>
      </c>
      <c r="I460" t="s">
        <v>73</v>
      </c>
      <c r="J460" t="s">
        <v>3242</v>
      </c>
      <c r="K460" t="s">
        <v>2649</v>
      </c>
      <c r="L460" t="s">
        <v>31</v>
      </c>
      <c r="M460" t="s">
        <v>27</v>
      </c>
      <c r="N460" t="s">
        <v>27</v>
      </c>
      <c r="O460" t="s">
        <v>27</v>
      </c>
      <c r="P460" t="s">
        <v>31</v>
      </c>
      <c r="Q460">
        <v>120</v>
      </c>
      <c r="R460" t="s">
        <v>31</v>
      </c>
      <c r="S460" t="s">
        <v>31</v>
      </c>
      <c r="T460" t="s">
        <v>31</v>
      </c>
    </row>
    <row r="461" spans="1:20" hidden="1" x14ac:dyDescent="0.3">
      <c r="A461" t="s">
        <v>1515</v>
      </c>
      <c r="B461" t="s">
        <v>51</v>
      </c>
      <c r="C461" t="s">
        <v>37</v>
      </c>
      <c r="D461" t="s">
        <v>56</v>
      </c>
      <c r="E461">
        <v>2004</v>
      </c>
      <c r="F461" t="s">
        <v>31</v>
      </c>
      <c r="G461" t="s">
        <v>31</v>
      </c>
      <c r="H461" t="s">
        <v>2656</v>
      </c>
      <c r="I461" t="s">
        <v>119</v>
      </c>
      <c r="J461" t="s">
        <v>3243</v>
      </c>
      <c r="K461" t="s">
        <v>3244</v>
      </c>
      <c r="L461" t="s">
        <v>31</v>
      </c>
      <c r="M461" t="s">
        <v>27</v>
      </c>
      <c r="N461" t="s">
        <v>27</v>
      </c>
      <c r="O461" t="s">
        <v>27</v>
      </c>
      <c r="P461" t="s">
        <v>31</v>
      </c>
      <c r="Q461">
        <v>150</v>
      </c>
      <c r="R461" t="s">
        <v>31</v>
      </c>
      <c r="S461" t="s">
        <v>31</v>
      </c>
      <c r="T461" t="s">
        <v>3245</v>
      </c>
    </row>
    <row r="462" spans="1:20" hidden="1" x14ac:dyDescent="0.3">
      <c r="A462" t="s">
        <v>1516</v>
      </c>
      <c r="B462" t="s">
        <v>28</v>
      </c>
      <c r="C462" t="s">
        <v>2685</v>
      </c>
      <c r="D462" t="s">
        <v>68</v>
      </c>
      <c r="E462">
        <v>2004</v>
      </c>
      <c r="F462" t="s">
        <v>31</v>
      </c>
      <c r="G462" t="s">
        <v>31</v>
      </c>
      <c r="H462" t="s">
        <v>2678</v>
      </c>
      <c r="I462" t="s">
        <v>53</v>
      </c>
      <c r="J462" t="s">
        <v>3246</v>
      </c>
      <c r="K462" t="s">
        <v>31</v>
      </c>
      <c r="L462" t="s">
        <v>1517</v>
      </c>
      <c r="M462" t="s">
        <v>27</v>
      </c>
      <c r="N462" t="s">
        <v>27</v>
      </c>
      <c r="O462" t="s">
        <v>33</v>
      </c>
      <c r="P462">
        <v>405</v>
      </c>
      <c r="Q462">
        <v>-35</v>
      </c>
      <c r="R462" t="s">
        <v>31</v>
      </c>
      <c r="S462" t="s">
        <v>31</v>
      </c>
      <c r="T462" t="s">
        <v>31</v>
      </c>
    </row>
    <row r="463" spans="1:20" hidden="1" x14ac:dyDescent="0.3">
      <c r="A463" t="s">
        <v>1518</v>
      </c>
      <c r="B463" t="s">
        <v>51</v>
      </c>
      <c r="C463" t="s">
        <v>37</v>
      </c>
      <c r="D463" t="s">
        <v>56</v>
      </c>
      <c r="E463">
        <v>2004</v>
      </c>
      <c r="F463">
        <v>200000</v>
      </c>
      <c r="G463" t="s">
        <v>31</v>
      </c>
      <c r="H463" t="s">
        <v>2739</v>
      </c>
      <c r="I463" t="s">
        <v>77</v>
      </c>
      <c r="J463" t="s">
        <v>3247</v>
      </c>
      <c r="K463" t="s">
        <v>31</v>
      </c>
      <c r="L463" t="s">
        <v>181</v>
      </c>
      <c r="M463" t="s">
        <v>27</v>
      </c>
      <c r="N463" t="s">
        <v>27</v>
      </c>
      <c r="O463" t="s">
        <v>33</v>
      </c>
      <c r="P463" t="s">
        <v>31</v>
      </c>
      <c r="Q463" t="s">
        <v>31</v>
      </c>
      <c r="R463" t="s">
        <v>31</v>
      </c>
      <c r="S463" t="s">
        <v>31</v>
      </c>
      <c r="T463" t="s">
        <v>31</v>
      </c>
    </row>
    <row r="464" spans="1:20" hidden="1" x14ac:dyDescent="0.3">
      <c r="A464" t="s">
        <v>1519</v>
      </c>
      <c r="B464" t="s">
        <v>28</v>
      </c>
      <c r="C464" t="s">
        <v>29</v>
      </c>
      <c r="D464" t="s">
        <v>30</v>
      </c>
      <c r="E464">
        <v>2004</v>
      </c>
      <c r="F464" t="s">
        <v>31</v>
      </c>
      <c r="G464" t="s">
        <v>3180</v>
      </c>
      <c r="H464" t="s">
        <v>2709</v>
      </c>
      <c r="I464" t="s">
        <v>70</v>
      </c>
      <c r="J464" t="s">
        <v>3248</v>
      </c>
      <c r="K464" t="s">
        <v>31</v>
      </c>
      <c r="L464" t="s">
        <v>31</v>
      </c>
      <c r="M464" t="s">
        <v>27</v>
      </c>
      <c r="N464" t="s">
        <v>27</v>
      </c>
      <c r="O464" t="s">
        <v>27</v>
      </c>
      <c r="P464" t="s">
        <v>31</v>
      </c>
      <c r="Q464">
        <v>220</v>
      </c>
      <c r="R464" t="s">
        <v>31</v>
      </c>
      <c r="S464" t="s">
        <v>31</v>
      </c>
      <c r="T464" t="s">
        <v>31</v>
      </c>
    </row>
    <row r="465" spans="1:20" hidden="1" x14ac:dyDescent="0.3">
      <c r="A465" t="s">
        <v>1520</v>
      </c>
      <c r="B465" t="s">
        <v>28</v>
      </c>
      <c r="C465" t="s">
        <v>29</v>
      </c>
      <c r="D465" t="s">
        <v>30</v>
      </c>
      <c r="E465">
        <v>2004</v>
      </c>
      <c r="F465">
        <v>296000</v>
      </c>
      <c r="G465" t="s">
        <v>3189</v>
      </c>
      <c r="H465" t="s">
        <v>2888</v>
      </c>
      <c r="I465" t="s">
        <v>75</v>
      </c>
      <c r="J465" t="s">
        <v>3249</v>
      </c>
      <c r="K465" t="s">
        <v>31</v>
      </c>
      <c r="L465" t="s">
        <v>85</v>
      </c>
      <c r="M465" t="s">
        <v>33</v>
      </c>
      <c r="N465" t="s">
        <v>27</v>
      </c>
      <c r="O465" t="s">
        <v>27</v>
      </c>
      <c r="P465">
        <v>79</v>
      </c>
      <c r="Q465" t="s">
        <v>31</v>
      </c>
      <c r="R465" t="s">
        <v>31</v>
      </c>
      <c r="S465" t="s">
        <v>31</v>
      </c>
      <c r="T465" t="s">
        <v>31</v>
      </c>
    </row>
    <row r="466" spans="1:20" hidden="1" x14ac:dyDescent="0.3">
      <c r="A466" t="s">
        <v>1521</v>
      </c>
      <c r="B466" t="s">
        <v>28</v>
      </c>
      <c r="C466" t="s">
        <v>29</v>
      </c>
      <c r="D466" t="s">
        <v>97</v>
      </c>
      <c r="E466">
        <v>2004</v>
      </c>
      <c r="F466">
        <v>2100</v>
      </c>
      <c r="G466" t="s">
        <v>31</v>
      </c>
      <c r="H466" t="s">
        <v>2645</v>
      </c>
      <c r="I466" t="s">
        <v>34</v>
      </c>
      <c r="J466" t="s">
        <v>3250</v>
      </c>
      <c r="K466" t="s">
        <v>31</v>
      </c>
      <c r="L466" t="s">
        <v>31</v>
      </c>
      <c r="M466" t="s">
        <v>27</v>
      </c>
      <c r="N466" t="s">
        <v>27</v>
      </c>
      <c r="O466" t="s">
        <v>27</v>
      </c>
      <c r="P466" t="s">
        <v>31</v>
      </c>
      <c r="Q466" t="s">
        <v>31</v>
      </c>
      <c r="R466" t="s">
        <v>31</v>
      </c>
      <c r="S466" t="s">
        <v>31</v>
      </c>
      <c r="T466" t="s">
        <v>31</v>
      </c>
    </row>
    <row r="467" spans="1:20" hidden="1" x14ac:dyDescent="0.3">
      <c r="A467" t="s">
        <v>1522</v>
      </c>
      <c r="B467" t="s">
        <v>51</v>
      </c>
      <c r="C467" t="s">
        <v>37</v>
      </c>
      <c r="D467" t="s">
        <v>121</v>
      </c>
      <c r="E467">
        <v>2004</v>
      </c>
      <c r="F467" t="s">
        <v>31</v>
      </c>
      <c r="G467" t="s">
        <v>3193</v>
      </c>
      <c r="H467" t="s">
        <v>2774</v>
      </c>
      <c r="I467" t="s">
        <v>166</v>
      </c>
      <c r="J467" t="s">
        <v>3251</v>
      </c>
      <c r="K467" t="s">
        <v>3252</v>
      </c>
      <c r="L467" t="s">
        <v>31</v>
      </c>
      <c r="M467" t="s">
        <v>27</v>
      </c>
      <c r="N467" t="s">
        <v>33</v>
      </c>
      <c r="O467" t="s">
        <v>27</v>
      </c>
      <c r="P467">
        <v>20</v>
      </c>
      <c r="Q467" t="s">
        <v>31</v>
      </c>
      <c r="R467" t="s">
        <v>31</v>
      </c>
      <c r="S467" t="s">
        <v>31</v>
      </c>
      <c r="T467" t="s">
        <v>3253</v>
      </c>
    </row>
    <row r="468" spans="1:20" hidden="1" x14ac:dyDescent="0.3">
      <c r="A468" t="s">
        <v>1523</v>
      </c>
      <c r="B468" t="s">
        <v>28</v>
      </c>
      <c r="C468" t="s">
        <v>29</v>
      </c>
      <c r="D468" t="s">
        <v>65</v>
      </c>
      <c r="E468">
        <v>2004</v>
      </c>
      <c r="F468" t="s">
        <v>31</v>
      </c>
      <c r="G468" t="s">
        <v>31</v>
      </c>
      <c r="H468" t="s">
        <v>2645</v>
      </c>
      <c r="I468" t="s">
        <v>34</v>
      </c>
      <c r="J468" t="s">
        <v>3254</v>
      </c>
      <c r="K468" t="s">
        <v>31</v>
      </c>
      <c r="L468" t="s">
        <v>65</v>
      </c>
      <c r="M468" t="s">
        <v>27</v>
      </c>
      <c r="N468" t="s">
        <v>27</v>
      </c>
      <c r="O468" t="s">
        <v>27</v>
      </c>
      <c r="P468" t="s">
        <v>31</v>
      </c>
      <c r="Q468" t="s">
        <v>31</v>
      </c>
      <c r="R468" t="s">
        <v>31</v>
      </c>
      <c r="S468" t="s">
        <v>31</v>
      </c>
      <c r="T468" t="s">
        <v>31</v>
      </c>
    </row>
    <row r="469" spans="1:20" hidden="1" x14ac:dyDescent="0.3">
      <c r="A469" t="s">
        <v>1524</v>
      </c>
      <c r="B469" t="s">
        <v>39</v>
      </c>
      <c r="C469" t="s">
        <v>157</v>
      </c>
      <c r="D469" t="s">
        <v>157</v>
      </c>
      <c r="E469">
        <v>2004</v>
      </c>
      <c r="F469" t="s">
        <v>31</v>
      </c>
      <c r="G469" t="s">
        <v>31</v>
      </c>
      <c r="H469" t="s">
        <v>2753</v>
      </c>
      <c r="I469" t="s">
        <v>49</v>
      </c>
      <c r="J469" t="s">
        <v>2760</v>
      </c>
      <c r="K469" t="s">
        <v>31</v>
      </c>
      <c r="L469" t="s">
        <v>196</v>
      </c>
      <c r="M469" t="s">
        <v>27</v>
      </c>
      <c r="N469" t="s">
        <v>27</v>
      </c>
      <c r="O469" t="s">
        <v>33</v>
      </c>
      <c r="P469" t="s">
        <v>31</v>
      </c>
      <c r="Q469" t="s">
        <v>31</v>
      </c>
      <c r="R469" t="s">
        <v>31</v>
      </c>
      <c r="S469" t="s">
        <v>31</v>
      </c>
      <c r="T469" t="s">
        <v>31</v>
      </c>
    </row>
    <row r="470" spans="1:20" hidden="1" x14ac:dyDescent="0.3">
      <c r="A470" t="s">
        <v>2215</v>
      </c>
      <c r="B470" t="s">
        <v>51</v>
      </c>
      <c r="C470" t="s">
        <v>37</v>
      </c>
      <c r="D470" t="s">
        <v>56</v>
      </c>
      <c r="E470">
        <v>2004</v>
      </c>
      <c r="F470" t="s">
        <v>31</v>
      </c>
      <c r="G470" t="s">
        <v>31</v>
      </c>
      <c r="H470" t="s">
        <v>2672</v>
      </c>
      <c r="I470" t="s">
        <v>73</v>
      </c>
      <c r="J470" t="s">
        <v>3255</v>
      </c>
      <c r="K470" t="s">
        <v>2649</v>
      </c>
      <c r="L470" t="s">
        <v>402</v>
      </c>
      <c r="M470" t="s">
        <v>27</v>
      </c>
      <c r="N470" t="s">
        <v>27</v>
      </c>
      <c r="O470" t="s">
        <v>33</v>
      </c>
      <c r="P470" t="s">
        <v>31</v>
      </c>
      <c r="Q470" t="s">
        <v>31</v>
      </c>
      <c r="R470" t="s">
        <v>31</v>
      </c>
      <c r="S470" t="s">
        <v>31</v>
      </c>
      <c r="T470" t="s">
        <v>3256</v>
      </c>
    </row>
    <row r="471" spans="1:20" hidden="1" x14ac:dyDescent="0.3">
      <c r="A471" t="s">
        <v>2216</v>
      </c>
      <c r="B471" t="s">
        <v>51</v>
      </c>
      <c r="C471" t="s">
        <v>37</v>
      </c>
      <c r="D471" t="s">
        <v>121</v>
      </c>
      <c r="E471">
        <v>2004</v>
      </c>
      <c r="F471">
        <v>4500</v>
      </c>
      <c r="G471" t="s">
        <v>31</v>
      </c>
      <c r="H471" t="s">
        <v>2645</v>
      </c>
      <c r="I471" t="s">
        <v>34</v>
      </c>
      <c r="J471" t="s">
        <v>3257</v>
      </c>
      <c r="K471" t="s">
        <v>3258</v>
      </c>
      <c r="L471" t="s">
        <v>31</v>
      </c>
      <c r="M471" t="s">
        <v>27</v>
      </c>
      <c r="N471" t="s">
        <v>27</v>
      </c>
      <c r="O471" t="s">
        <v>33</v>
      </c>
      <c r="P471" t="s">
        <v>31</v>
      </c>
      <c r="Q471" t="s">
        <v>31</v>
      </c>
      <c r="R471" t="s">
        <v>31</v>
      </c>
      <c r="S471" t="s">
        <v>31</v>
      </c>
      <c r="T471" t="s">
        <v>31</v>
      </c>
    </row>
    <row r="472" spans="1:20" hidden="1" x14ac:dyDescent="0.3">
      <c r="A472" t="s">
        <v>2217</v>
      </c>
      <c r="B472" t="s">
        <v>39</v>
      </c>
      <c r="C472" t="s">
        <v>40</v>
      </c>
      <c r="D472" t="s">
        <v>41</v>
      </c>
      <c r="E472">
        <v>2004</v>
      </c>
      <c r="F472" t="s">
        <v>31</v>
      </c>
      <c r="G472" t="s">
        <v>31</v>
      </c>
      <c r="H472" t="s">
        <v>2645</v>
      </c>
      <c r="I472" t="s">
        <v>34</v>
      </c>
      <c r="J472" t="s">
        <v>3259</v>
      </c>
      <c r="K472" t="s">
        <v>31</v>
      </c>
      <c r="L472" t="s">
        <v>95</v>
      </c>
      <c r="M472" t="s">
        <v>27</v>
      </c>
      <c r="N472" t="s">
        <v>27</v>
      </c>
      <c r="O472" t="s">
        <v>27</v>
      </c>
      <c r="P472" t="s">
        <v>31</v>
      </c>
      <c r="Q472">
        <v>66</v>
      </c>
      <c r="R472" t="s">
        <v>31</v>
      </c>
      <c r="S472" t="s">
        <v>31</v>
      </c>
      <c r="T472" t="s">
        <v>31</v>
      </c>
    </row>
    <row r="473" spans="1:20" hidden="1" x14ac:dyDescent="0.3">
      <c r="A473" t="s">
        <v>2218</v>
      </c>
      <c r="B473" t="s">
        <v>28</v>
      </c>
      <c r="C473" t="s">
        <v>2685</v>
      </c>
      <c r="D473" t="s">
        <v>68</v>
      </c>
      <c r="E473">
        <v>2004</v>
      </c>
      <c r="F473" t="s">
        <v>31</v>
      </c>
      <c r="G473" t="s">
        <v>31</v>
      </c>
      <c r="H473" t="s">
        <v>2701</v>
      </c>
      <c r="I473" t="s">
        <v>60</v>
      </c>
      <c r="J473" t="s">
        <v>2986</v>
      </c>
      <c r="K473" t="s">
        <v>31</v>
      </c>
      <c r="L473" t="s">
        <v>31</v>
      </c>
      <c r="M473" t="s">
        <v>27</v>
      </c>
      <c r="N473" t="s">
        <v>27</v>
      </c>
      <c r="O473" t="s">
        <v>27</v>
      </c>
      <c r="P473" t="s">
        <v>31</v>
      </c>
      <c r="Q473" t="s">
        <v>31</v>
      </c>
      <c r="R473" t="s">
        <v>31</v>
      </c>
      <c r="S473" t="s">
        <v>31</v>
      </c>
      <c r="T473" t="s">
        <v>31</v>
      </c>
    </row>
    <row r="474" spans="1:20" hidden="1" x14ac:dyDescent="0.3">
      <c r="A474" t="s">
        <v>2219</v>
      </c>
      <c r="B474" t="s">
        <v>28</v>
      </c>
      <c r="C474" t="s">
        <v>2685</v>
      </c>
      <c r="D474" t="s">
        <v>68</v>
      </c>
      <c r="E474">
        <v>2004</v>
      </c>
      <c r="F474" t="s">
        <v>31</v>
      </c>
      <c r="G474" t="s">
        <v>31</v>
      </c>
      <c r="H474" t="s">
        <v>2730</v>
      </c>
      <c r="I474" t="s">
        <v>57</v>
      </c>
      <c r="J474" t="s">
        <v>3260</v>
      </c>
      <c r="K474" t="s">
        <v>31</v>
      </c>
      <c r="L474" t="s">
        <v>31</v>
      </c>
      <c r="M474" t="s">
        <v>27</v>
      </c>
      <c r="N474" t="s">
        <v>27</v>
      </c>
      <c r="O474" t="s">
        <v>27</v>
      </c>
      <c r="P474" t="s">
        <v>31</v>
      </c>
      <c r="Q474" t="s">
        <v>31</v>
      </c>
      <c r="R474" t="s">
        <v>31</v>
      </c>
      <c r="S474" t="s">
        <v>31</v>
      </c>
      <c r="T474" t="s">
        <v>31</v>
      </c>
    </row>
    <row r="475" spans="1:20" hidden="1" x14ac:dyDescent="0.3">
      <c r="A475" t="s">
        <v>2220</v>
      </c>
      <c r="B475" t="s">
        <v>28</v>
      </c>
      <c r="C475" t="s">
        <v>29</v>
      </c>
      <c r="D475" t="s">
        <v>30</v>
      </c>
      <c r="E475">
        <v>2004</v>
      </c>
      <c r="F475">
        <v>50000</v>
      </c>
      <c r="G475" t="s">
        <v>3189</v>
      </c>
      <c r="H475" t="s">
        <v>2749</v>
      </c>
      <c r="I475" t="s">
        <v>45</v>
      </c>
      <c r="J475" t="s">
        <v>3261</v>
      </c>
      <c r="K475" t="s">
        <v>31</v>
      </c>
      <c r="L475" t="s">
        <v>82</v>
      </c>
      <c r="M475" t="s">
        <v>33</v>
      </c>
      <c r="N475" t="s">
        <v>27</v>
      </c>
      <c r="O475" t="s">
        <v>33</v>
      </c>
      <c r="P475">
        <v>40208</v>
      </c>
      <c r="Q475" t="s">
        <v>31</v>
      </c>
      <c r="R475" t="s">
        <v>31</v>
      </c>
      <c r="S475" t="s">
        <v>31</v>
      </c>
      <c r="T475" t="s">
        <v>31</v>
      </c>
    </row>
    <row r="476" spans="1:20" hidden="1" x14ac:dyDescent="0.3">
      <c r="A476" t="s">
        <v>2221</v>
      </c>
      <c r="B476" t="s">
        <v>28</v>
      </c>
      <c r="C476" t="s">
        <v>29</v>
      </c>
      <c r="D476" t="s">
        <v>30</v>
      </c>
      <c r="E476">
        <v>2004</v>
      </c>
      <c r="F476">
        <v>62500</v>
      </c>
      <c r="G476" t="s">
        <v>3262</v>
      </c>
      <c r="H476" t="s">
        <v>2645</v>
      </c>
      <c r="I476" t="s">
        <v>34</v>
      </c>
      <c r="J476" t="s">
        <v>3263</v>
      </c>
      <c r="K476" t="s">
        <v>31</v>
      </c>
      <c r="L476" t="s">
        <v>37</v>
      </c>
      <c r="M476" t="s">
        <v>27</v>
      </c>
      <c r="N476" t="s">
        <v>27</v>
      </c>
      <c r="O476" t="s">
        <v>33</v>
      </c>
      <c r="P476" t="s">
        <v>31</v>
      </c>
      <c r="Q476" t="s">
        <v>31</v>
      </c>
      <c r="R476" t="s">
        <v>31</v>
      </c>
      <c r="S476" t="s">
        <v>31</v>
      </c>
      <c r="T476" t="s">
        <v>31</v>
      </c>
    </row>
    <row r="477" spans="1:20" hidden="1" x14ac:dyDescent="0.3">
      <c r="A477" t="s">
        <v>2222</v>
      </c>
      <c r="B477" t="s">
        <v>28</v>
      </c>
      <c r="C477" t="s">
        <v>29</v>
      </c>
      <c r="D477" t="s">
        <v>30</v>
      </c>
      <c r="E477">
        <v>2004</v>
      </c>
      <c r="F477">
        <v>11000000</v>
      </c>
      <c r="G477" t="s">
        <v>31</v>
      </c>
      <c r="H477" t="s">
        <v>2645</v>
      </c>
      <c r="I477" t="s">
        <v>34</v>
      </c>
      <c r="J477" t="s">
        <v>3264</v>
      </c>
      <c r="K477" t="s">
        <v>31</v>
      </c>
      <c r="L477" t="s">
        <v>181</v>
      </c>
      <c r="M477" t="s">
        <v>27</v>
      </c>
      <c r="N477" t="s">
        <v>27</v>
      </c>
      <c r="O477" t="s">
        <v>33</v>
      </c>
      <c r="P477" t="s">
        <v>31</v>
      </c>
      <c r="Q477" t="s">
        <v>31</v>
      </c>
      <c r="R477" t="s">
        <v>31</v>
      </c>
      <c r="S477" t="s">
        <v>31</v>
      </c>
      <c r="T477" t="s">
        <v>31</v>
      </c>
    </row>
    <row r="478" spans="1:20" hidden="1" x14ac:dyDescent="0.3">
      <c r="A478" t="s">
        <v>2223</v>
      </c>
      <c r="B478" t="s">
        <v>28</v>
      </c>
      <c r="C478" t="s">
        <v>29</v>
      </c>
      <c r="D478" t="s">
        <v>30</v>
      </c>
      <c r="E478">
        <v>2004</v>
      </c>
      <c r="F478">
        <v>5000</v>
      </c>
      <c r="G478" t="s">
        <v>3180</v>
      </c>
      <c r="H478" t="s">
        <v>2959</v>
      </c>
      <c r="I478" t="s">
        <v>144</v>
      </c>
      <c r="J478" t="s">
        <v>2960</v>
      </c>
      <c r="K478" t="s">
        <v>31</v>
      </c>
      <c r="L478" t="s">
        <v>87</v>
      </c>
      <c r="M478" t="s">
        <v>27</v>
      </c>
      <c r="N478" t="s">
        <v>27</v>
      </c>
      <c r="O478" t="s">
        <v>27</v>
      </c>
      <c r="P478" t="s">
        <v>31</v>
      </c>
      <c r="Q478">
        <v>220</v>
      </c>
      <c r="R478" t="s">
        <v>31</v>
      </c>
      <c r="S478" t="s">
        <v>31</v>
      </c>
      <c r="T478" t="s">
        <v>31</v>
      </c>
    </row>
    <row r="479" spans="1:20" hidden="1" x14ac:dyDescent="0.3">
      <c r="A479" t="s">
        <v>2224</v>
      </c>
      <c r="B479" t="s">
        <v>28</v>
      </c>
      <c r="C479" t="s">
        <v>29</v>
      </c>
      <c r="D479" t="s">
        <v>30</v>
      </c>
      <c r="E479">
        <v>2004</v>
      </c>
      <c r="F479">
        <v>1000</v>
      </c>
      <c r="G479" t="s">
        <v>3180</v>
      </c>
      <c r="H479" t="s">
        <v>2749</v>
      </c>
      <c r="I479" t="s">
        <v>45</v>
      </c>
      <c r="J479" t="s">
        <v>3265</v>
      </c>
      <c r="K479" t="s">
        <v>31</v>
      </c>
      <c r="L479" t="s">
        <v>181</v>
      </c>
      <c r="M479" t="s">
        <v>27</v>
      </c>
      <c r="N479" t="s">
        <v>27</v>
      </c>
      <c r="O479" t="s">
        <v>27</v>
      </c>
      <c r="P479" t="s">
        <v>31</v>
      </c>
      <c r="Q479" t="s">
        <v>31</v>
      </c>
      <c r="R479" t="s">
        <v>31</v>
      </c>
      <c r="S479" t="s">
        <v>31</v>
      </c>
      <c r="T479" t="s">
        <v>31</v>
      </c>
    </row>
    <row r="480" spans="1:20" hidden="1" x14ac:dyDescent="0.3">
      <c r="A480" t="s">
        <v>2225</v>
      </c>
      <c r="B480" t="s">
        <v>51</v>
      </c>
      <c r="C480" t="s">
        <v>37</v>
      </c>
      <c r="D480" t="s">
        <v>56</v>
      </c>
      <c r="E480">
        <v>2004</v>
      </c>
      <c r="F480" t="s">
        <v>31</v>
      </c>
      <c r="G480" t="s">
        <v>31</v>
      </c>
      <c r="H480" t="s">
        <v>2774</v>
      </c>
      <c r="I480" t="s">
        <v>166</v>
      </c>
      <c r="J480" t="s">
        <v>3266</v>
      </c>
      <c r="K480" t="s">
        <v>3054</v>
      </c>
      <c r="L480" t="s">
        <v>54</v>
      </c>
      <c r="M480" t="s">
        <v>33</v>
      </c>
      <c r="N480" t="s">
        <v>27</v>
      </c>
      <c r="O480" t="s">
        <v>33</v>
      </c>
      <c r="P480" t="s">
        <v>31</v>
      </c>
      <c r="Q480">
        <v>80</v>
      </c>
      <c r="R480" t="s">
        <v>31</v>
      </c>
      <c r="S480" t="s">
        <v>31</v>
      </c>
      <c r="T480" t="s">
        <v>3267</v>
      </c>
    </row>
    <row r="481" spans="1:20" hidden="1" x14ac:dyDescent="0.3">
      <c r="A481" t="s">
        <v>2226</v>
      </c>
      <c r="B481" t="s">
        <v>51</v>
      </c>
      <c r="C481" t="s">
        <v>37</v>
      </c>
      <c r="D481" t="s">
        <v>121</v>
      </c>
      <c r="E481">
        <v>2004</v>
      </c>
      <c r="F481" t="s">
        <v>31</v>
      </c>
      <c r="G481" t="s">
        <v>31</v>
      </c>
      <c r="H481" t="s">
        <v>2658</v>
      </c>
      <c r="I481" t="s">
        <v>130</v>
      </c>
      <c r="J481" t="s">
        <v>3268</v>
      </c>
      <c r="K481" t="s">
        <v>2664</v>
      </c>
      <c r="L481" t="s">
        <v>31</v>
      </c>
      <c r="M481" t="s">
        <v>27</v>
      </c>
      <c r="N481" t="s">
        <v>27</v>
      </c>
      <c r="O481" t="s">
        <v>27</v>
      </c>
      <c r="P481" t="s">
        <v>31</v>
      </c>
      <c r="Q481">
        <v>3230</v>
      </c>
      <c r="R481" t="s">
        <v>31</v>
      </c>
      <c r="S481" t="s">
        <v>31</v>
      </c>
      <c r="T481" t="s">
        <v>31</v>
      </c>
    </row>
    <row r="482" spans="1:20" hidden="1" x14ac:dyDescent="0.3">
      <c r="A482" t="s">
        <v>36</v>
      </c>
      <c r="B482" t="s">
        <v>28</v>
      </c>
      <c r="C482" t="s">
        <v>29</v>
      </c>
      <c r="D482" t="s">
        <v>30</v>
      </c>
      <c r="E482">
        <v>2005</v>
      </c>
      <c r="F482">
        <v>16000000</v>
      </c>
      <c r="G482" t="s">
        <v>3269</v>
      </c>
      <c r="H482" t="s">
        <v>2645</v>
      </c>
      <c r="I482" t="s">
        <v>34</v>
      </c>
      <c r="J482" t="s">
        <v>3270</v>
      </c>
      <c r="K482" t="s">
        <v>31</v>
      </c>
      <c r="L482" t="s">
        <v>37</v>
      </c>
      <c r="M482" t="s">
        <v>27</v>
      </c>
      <c r="N482" t="s">
        <v>27</v>
      </c>
      <c r="O482" t="s">
        <v>33</v>
      </c>
      <c r="P482" t="s">
        <v>31</v>
      </c>
      <c r="Q482">
        <v>280</v>
      </c>
      <c r="R482" t="s">
        <v>31</v>
      </c>
      <c r="S482" t="s">
        <v>31</v>
      </c>
      <c r="T482" t="s">
        <v>3271</v>
      </c>
    </row>
    <row r="483" spans="1:20" hidden="1" x14ac:dyDescent="0.3">
      <c r="A483" t="s">
        <v>576</v>
      </c>
      <c r="B483" t="s">
        <v>51</v>
      </c>
      <c r="C483" t="s">
        <v>37</v>
      </c>
      <c r="D483" t="s">
        <v>121</v>
      </c>
      <c r="E483">
        <v>2005</v>
      </c>
      <c r="F483">
        <v>7000</v>
      </c>
      <c r="G483" t="s">
        <v>3272</v>
      </c>
      <c r="H483" t="s">
        <v>2774</v>
      </c>
      <c r="I483" t="s">
        <v>166</v>
      </c>
      <c r="J483" t="s">
        <v>3273</v>
      </c>
      <c r="K483" t="s">
        <v>2649</v>
      </c>
      <c r="L483" t="s">
        <v>54</v>
      </c>
      <c r="M483" t="s">
        <v>27</v>
      </c>
      <c r="N483" t="s">
        <v>27</v>
      </c>
      <c r="O483" t="s">
        <v>27</v>
      </c>
      <c r="P483" t="s">
        <v>31</v>
      </c>
      <c r="Q483" t="s">
        <v>31</v>
      </c>
      <c r="R483" t="s">
        <v>31</v>
      </c>
      <c r="S483" t="s">
        <v>31</v>
      </c>
      <c r="T483" t="s">
        <v>3274</v>
      </c>
    </row>
    <row r="484" spans="1:20" hidden="1" x14ac:dyDescent="0.3">
      <c r="A484" t="s">
        <v>577</v>
      </c>
      <c r="B484" t="s">
        <v>51</v>
      </c>
      <c r="C484" t="s">
        <v>37</v>
      </c>
      <c r="D484" t="s">
        <v>121</v>
      </c>
      <c r="E484">
        <v>2005</v>
      </c>
      <c r="F484">
        <v>1000</v>
      </c>
      <c r="G484" t="s">
        <v>3272</v>
      </c>
      <c r="H484" t="s">
        <v>2709</v>
      </c>
      <c r="I484" t="s">
        <v>70</v>
      </c>
      <c r="J484" t="s">
        <v>3275</v>
      </c>
      <c r="K484" t="s">
        <v>31</v>
      </c>
      <c r="L484" t="s">
        <v>31</v>
      </c>
      <c r="M484" t="s">
        <v>27</v>
      </c>
      <c r="N484" t="s">
        <v>27</v>
      </c>
      <c r="O484" t="s">
        <v>27</v>
      </c>
      <c r="P484" t="s">
        <v>31</v>
      </c>
      <c r="Q484" t="s">
        <v>31</v>
      </c>
      <c r="R484" t="s">
        <v>31</v>
      </c>
      <c r="S484" t="s">
        <v>31</v>
      </c>
      <c r="T484" t="s">
        <v>31</v>
      </c>
    </row>
    <row r="485" spans="1:20" hidden="1" x14ac:dyDescent="0.3">
      <c r="A485" t="s">
        <v>579</v>
      </c>
      <c r="B485" t="s">
        <v>51</v>
      </c>
      <c r="C485" t="s">
        <v>37</v>
      </c>
      <c r="D485" t="s">
        <v>121</v>
      </c>
      <c r="E485">
        <v>2005</v>
      </c>
      <c r="F485" t="s">
        <v>31</v>
      </c>
      <c r="G485" t="s">
        <v>31</v>
      </c>
      <c r="H485" t="s">
        <v>2656</v>
      </c>
      <c r="I485" t="s">
        <v>119</v>
      </c>
      <c r="J485" t="s">
        <v>3276</v>
      </c>
      <c r="K485" t="s">
        <v>3054</v>
      </c>
      <c r="L485" t="s">
        <v>54</v>
      </c>
      <c r="M485" t="s">
        <v>27</v>
      </c>
      <c r="N485" t="s">
        <v>27</v>
      </c>
      <c r="O485" t="s">
        <v>27</v>
      </c>
      <c r="P485" t="s">
        <v>31</v>
      </c>
      <c r="Q485">
        <v>184290</v>
      </c>
      <c r="R485" t="s">
        <v>31</v>
      </c>
      <c r="S485" t="s">
        <v>31</v>
      </c>
      <c r="T485" t="s">
        <v>3277</v>
      </c>
    </row>
    <row r="486" spans="1:20" hidden="1" x14ac:dyDescent="0.3">
      <c r="A486" t="s">
        <v>580</v>
      </c>
      <c r="B486" t="s">
        <v>51</v>
      </c>
      <c r="C486" t="s">
        <v>37</v>
      </c>
      <c r="D486" t="s">
        <v>121</v>
      </c>
      <c r="E486">
        <v>2005</v>
      </c>
      <c r="F486">
        <v>10000</v>
      </c>
      <c r="G486" t="s">
        <v>3278</v>
      </c>
      <c r="H486" t="s">
        <v>2647</v>
      </c>
      <c r="I486" t="s">
        <v>47</v>
      </c>
      <c r="J486" t="s">
        <v>3279</v>
      </c>
      <c r="K486" t="s">
        <v>2649</v>
      </c>
      <c r="L486" t="s">
        <v>581</v>
      </c>
      <c r="M486" t="s">
        <v>33</v>
      </c>
      <c r="N486" t="s">
        <v>27</v>
      </c>
      <c r="O486" t="s">
        <v>33</v>
      </c>
      <c r="P486">
        <v>154</v>
      </c>
      <c r="Q486" t="s">
        <v>31</v>
      </c>
      <c r="R486" t="s">
        <v>31</v>
      </c>
      <c r="S486" t="s">
        <v>31</v>
      </c>
      <c r="T486" t="s">
        <v>3280</v>
      </c>
    </row>
    <row r="487" spans="1:20" hidden="1" x14ac:dyDescent="0.3">
      <c r="A487" t="s">
        <v>582</v>
      </c>
      <c r="B487" t="s">
        <v>51</v>
      </c>
      <c r="C487" t="s">
        <v>37</v>
      </c>
      <c r="D487" t="s">
        <v>121</v>
      </c>
      <c r="E487">
        <v>2005</v>
      </c>
      <c r="F487" t="s">
        <v>31</v>
      </c>
      <c r="G487" t="s">
        <v>31</v>
      </c>
      <c r="H487" t="s">
        <v>2647</v>
      </c>
      <c r="I487" t="s">
        <v>47</v>
      </c>
      <c r="J487" t="s">
        <v>3281</v>
      </c>
      <c r="K487" t="s">
        <v>2649</v>
      </c>
      <c r="L487" t="s">
        <v>54</v>
      </c>
      <c r="M487" t="s">
        <v>27</v>
      </c>
      <c r="N487" t="s">
        <v>27</v>
      </c>
      <c r="O487" t="s">
        <v>27</v>
      </c>
      <c r="P487" t="s">
        <v>31</v>
      </c>
      <c r="Q487" t="s">
        <v>31</v>
      </c>
      <c r="R487" t="s">
        <v>31</v>
      </c>
      <c r="S487" t="s">
        <v>31</v>
      </c>
      <c r="T487" t="s">
        <v>31</v>
      </c>
    </row>
    <row r="488" spans="1:20" hidden="1" x14ac:dyDescent="0.3">
      <c r="A488" t="s">
        <v>583</v>
      </c>
      <c r="B488" t="s">
        <v>51</v>
      </c>
      <c r="C488" t="s">
        <v>37</v>
      </c>
      <c r="D488" t="s">
        <v>52</v>
      </c>
      <c r="E488">
        <v>2005</v>
      </c>
      <c r="F488" t="s">
        <v>31</v>
      </c>
      <c r="G488" t="s">
        <v>31</v>
      </c>
      <c r="H488" t="s">
        <v>2888</v>
      </c>
      <c r="I488" t="s">
        <v>75</v>
      </c>
      <c r="J488" t="s">
        <v>3282</v>
      </c>
      <c r="K488" t="s">
        <v>31</v>
      </c>
      <c r="L488" t="s">
        <v>405</v>
      </c>
      <c r="M488" t="s">
        <v>27</v>
      </c>
      <c r="N488" t="s">
        <v>27</v>
      </c>
      <c r="O488" t="s">
        <v>27</v>
      </c>
      <c r="P488" t="s">
        <v>31</v>
      </c>
      <c r="Q488" t="s">
        <v>31</v>
      </c>
      <c r="R488" t="s">
        <v>31</v>
      </c>
      <c r="S488" t="s">
        <v>31</v>
      </c>
      <c r="T488" t="s">
        <v>31</v>
      </c>
    </row>
    <row r="489" spans="1:20" hidden="1" x14ac:dyDescent="0.3">
      <c r="A489" t="s">
        <v>584</v>
      </c>
      <c r="B489" t="s">
        <v>51</v>
      </c>
      <c r="C489" t="s">
        <v>37</v>
      </c>
      <c r="D489" t="s">
        <v>52</v>
      </c>
      <c r="E489">
        <v>2005</v>
      </c>
      <c r="F489" t="s">
        <v>31</v>
      </c>
      <c r="G489" t="s">
        <v>31</v>
      </c>
      <c r="H489" t="s">
        <v>2672</v>
      </c>
      <c r="I489" t="s">
        <v>73</v>
      </c>
      <c r="J489" t="s">
        <v>3283</v>
      </c>
      <c r="K489" t="s">
        <v>31</v>
      </c>
      <c r="L489" t="s">
        <v>181</v>
      </c>
      <c r="M489" t="s">
        <v>27</v>
      </c>
      <c r="N489" t="s">
        <v>27</v>
      </c>
      <c r="O489" t="s">
        <v>27</v>
      </c>
      <c r="P489" t="s">
        <v>31</v>
      </c>
      <c r="Q489" t="s">
        <v>31</v>
      </c>
      <c r="R489" t="s">
        <v>31</v>
      </c>
      <c r="S489" t="s">
        <v>31</v>
      </c>
      <c r="T489" t="s">
        <v>31</v>
      </c>
    </row>
    <row r="490" spans="1:20" hidden="1" x14ac:dyDescent="0.3">
      <c r="A490" t="s">
        <v>585</v>
      </c>
      <c r="B490" t="s">
        <v>51</v>
      </c>
      <c r="C490" t="s">
        <v>37</v>
      </c>
      <c r="D490" t="s">
        <v>56</v>
      </c>
      <c r="E490">
        <v>2005</v>
      </c>
      <c r="F490">
        <v>5330</v>
      </c>
      <c r="G490" t="s">
        <v>31</v>
      </c>
      <c r="H490" t="s">
        <v>2645</v>
      </c>
      <c r="I490" t="s">
        <v>34</v>
      </c>
      <c r="J490" t="s">
        <v>3284</v>
      </c>
      <c r="K490" t="s">
        <v>31</v>
      </c>
      <c r="L490" t="s">
        <v>181</v>
      </c>
      <c r="M490" t="s">
        <v>27</v>
      </c>
      <c r="N490" t="s">
        <v>27</v>
      </c>
      <c r="O490" t="s">
        <v>33</v>
      </c>
      <c r="P490" t="s">
        <v>31</v>
      </c>
      <c r="Q490" t="s">
        <v>31</v>
      </c>
      <c r="R490" t="s">
        <v>31</v>
      </c>
      <c r="S490" t="s">
        <v>31</v>
      </c>
      <c r="T490" t="s">
        <v>31</v>
      </c>
    </row>
    <row r="491" spans="1:20" hidden="1" x14ac:dyDescent="0.3">
      <c r="A491" t="s">
        <v>586</v>
      </c>
      <c r="B491" t="s">
        <v>91</v>
      </c>
      <c r="C491" t="s">
        <v>92</v>
      </c>
      <c r="D491" t="s">
        <v>93</v>
      </c>
      <c r="E491">
        <v>2005</v>
      </c>
      <c r="F491">
        <v>5000</v>
      </c>
      <c r="G491" t="s">
        <v>3285</v>
      </c>
      <c r="H491" t="s">
        <v>2701</v>
      </c>
      <c r="I491" t="s">
        <v>60</v>
      </c>
      <c r="J491" t="s">
        <v>3286</v>
      </c>
      <c r="K491" t="s">
        <v>31</v>
      </c>
      <c r="L491" t="s">
        <v>54</v>
      </c>
      <c r="M491" t="s">
        <v>27</v>
      </c>
      <c r="N491" t="s">
        <v>27</v>
      </c>
      <c r="O491" t="s">
        <v>33</v>
      </c>
      <c r="P491">
        <v>150</v>
      </c>
      <c r="Q491">
        <v>7.8</v>
      </c>
      <c r="R491">
        <v>-19.986999999999998</v>
      </c>
      <c r="S491">
        <v>-69.197000000000003</v>
      </c>
      <c r="T491" t="s">
        <v>31</v>
      </c>
    </row>
    <row r="492" spans="1:20" hidden="1" x14ac:dyDescent="0.3">
      <c r="A492" t="s">
        <v>587</v>
      </c>
      <c r="B492" t="s">
        <v>51</v>
      </c>
      <c r="C492" t="s">
        <v>2655</v>
      </c>
      <c r="D492" t="s">
        <v>134</v>
      </c>
      <c r="E492">
        <v>2005</v>
      </c>
      <c r="F492" t="s">
        <v>31</v>
      </c>
      <c r="G492" t="s">
        <v>31</v>
      </c>
      <c r="H492" t="s">
        <v>2719</v>
      </c>
      <c r="I492" t="s">
        <v>90</v>
      </c>
      <c r="J492" t="s">
        <v>3287</v>
      </c>
      <c r="K492" t="s">
        <v>2649</v>
      </c>
      <c r="L492" t="s">
        <v>31</v>
      </c>
      <c r="M492" t="s">
        <v>27</v>
      </c>
      <c r="N492" t="s">
        <v>27</v>
      </c>
      <c r="O492" t="s">
        <v>27</v>
      </c>
      <c r="P492" t="s">
        <v>31</v>
      </c>
      <c r="Q492" t="s">
        <v>31</v>
      </c>
      <c r="R492" t="s">
        <v>31</v>
      </c>
      <c r="S492" t="s">
        <v>31</v>
      </c>
      <c r="T492" t="s">
        <v>31</v>
      </c>
    </row>
    <row r="493" spans="1:20" hidden="1" x14ac:dyDescent="0.3">
      <c r="A493" t="s">
        <v>588</v>
      </c>
      <c r="B493" t="s">
        <v>28</v>
      </c>
      <c r="C493" t="s">
        <v>29</v>
      </c>
      <c r="D493" t="s">
        <v>30</v>
      </c>
      <c r="E493">
        <v>2005</v>
      </c>
      <c r="F493">
        <v>44900</v>
      </c>
      <c r="G493" t="s">
        <v>3288</v>
      </c>
      <c r="H493" t="s">
        <v>2898</v>
      </c>
      <c r="I493" t="s">
        <v>446</v>
      </c>
      <c r="J493" t="s">
        <v>3289</v>
      </c>
      <c r="K493" t="s">
        <v>31</v>
      </c>
      <c r="L493" t="s">
        <v>82</v>
      </c>
      <c r="M493" t="s">
        <v>27</v>
      </c>
      <c r="N493" t="s">
        <v>27</v>
      </c>
      <c r="O493" t="s">
        <v>27</v>
      </c>
      <c r="P493" t="s">
        <v>31</v>
      </c>
      <c r="Q493">
        <v>137</v>
      </c>
      <c r="R493" t="s">
        <v>31</v>
      </c>
      <c r="S493" t="s">
        <v>31</v>
      </c>
      <c r="T493" t="s">
        <v>31</v>
      </c>
    </row>
    <row r="494" spans="1:20" hidden="1" x14ac:dyDescent="0.3">
      <c r="A494" t="s">
        <v>590</v>
      </c>
      <c r="B494" t="s">
        <v>51</v>
      </c>
      <c r="C494" t="s">
        <v>37</v>
      </c>
      <c r="D494" t="s">
        <v>121</v>
      </c>
      <c r="E494">
        <v>2005</v>
      </c>
      <c r="F494" t="s">
        <v>31</v>
      </c>
      <c r="G494" t="s">
        <v>31</v>
      </c>
      <c r="H494" t="s">
        <v>2701</v>
      </c>
      <c r="I494" t="s">
        <v>60</v>
      </c>
      <c r="J494" t="s">
        <v>3290</v>
      </c>
      <c r="K494" t="s">
        <v>2649</v>
      </c>
      <c r="L494" t="s">
        <v>31</v>
      </c>
      <c r="M494" t="s">
        <v>27</v>
      </c>
      <c r="N494" t="s">
        <v>27</v>
      </c>
      <c r="O494" t="s">
        <v>27</v>
      </c>
      <c r="P494" t="s">
        <v>31</v>
      </c>
      <c r="Q494" t="s">
        <v>31</v>
      </c>
      <c r="R494" t="s">
        <v>31</v>
      </c>
      <c r="S494" t="s">
        <v>31</v>
      </c>
      <c r="T494" t="s">
        <v>31</v>
      </c>
    </row>
    <row r="495" spans="1:20" hidden="1" x14ac:dyDescent="0.3">
      <c r="A495" t="s">
        <v>591</v>
      </c>
      <c r="B495" t="s">
        <v>39</v>
      </c>
      <c r="C495" t="s">
        <v>40</v>
      </c>
      <c r="D495" t="s">
        <v>41</v>
      </c>
      <c r="E495">
        <v>2005</v>
      </c>
      <c r="F495" t="s">
        <v>31</v>
      </c>
      <c r="G495" t="s">
        <v>31</v>
      </c>
      <c r="H495" t="s">
        <v>2669</v>
      </c>
      <c r="I495" t="s">
        <v>111</v>
      </c>
      <c r="J495" t="s">
        <v>3291</v>
      </c>
      <c r="K495" t="s">
        <v>31</v>
      </c>
      <c r="L495" t="s">
        <v>31</v>
      </c>
      <c r="M495" t="s">
        <v>27</v>
      </c>
      <c r="N495" t="s">
        <v>27</v>
      </c>
      <c r="O495" t="s">
        <v>33</v>
      </c>
      <c r="P495" t="s">
        <v>31</v>
      </c>
      <c r="Q495">
        <v>1000</v>
      </c>
      <c r="R495" t="s">
        <v>31</v>
      </c>
      <c r="S495" t="s">
        <v>31</v>
      </c>
      <c r="T495" t="s">
        <v>31</v>
      </c>
    </row>
    <row r="496" spans="1:20" hidden="1" x14ac:dyDescent="0.3">
      <c r="A496" t="s">
        <v>592</v>
      </c>
      <c r="B496" t="s">
        <v>28</v>
      </c>
      <c r="C496" t="s">
        <v>29</v>
      </c>
      <c r="D496" t="s">
        <v>30</v>
      </c>
      <c r="E496">
        <v>2005</v>
      </c>
      <c r="F496">
        <v>988300</v>
      </c>
      <c r="G496" t="s">
        <v>31</v>
      </c>
      <c r="H496" t="s">
        <v>2719</v>
      </c>
      <c r="I496" t="s">
        <v>90</v>
      </c>
      <c r="J496" t="s">
        <v>3292</v>
      </c>
      <c r="K496" t="s">
        <v>31</v>
      </c>
      <c r="L496" t="s">
        <v>82</v>
      </c>
      <c r="M496" t="s">
        <v>33</v>
      </c>
      <c r="N496" t="s">
        <v>27</v>
      </c>
      <c r="O496" t="s">
        <v>33</v>
      </c>
      <c r="P496">
        <v>25257</v>
      </c>
      <c r="Q496" t="s">
        <v>31</v>
      </c>
      <c r="R496" t="s">
        <v>31</v>
      </c>
      <c r="S496" t="s">
        <v>31</v>
      </c>
      <c r="T496" t="s">
        <v>31</v>
      </c>
    </row>
    <row r="497" spans="1:20" hidden="1" x14ac:dyDescent="0.3">
      <c r="A497" t="s">
        <v>593</v>
      </c>
      <c r="B497" t="s">
        <v>51</v>
      </c>
      <c r="C497" t="s">
        <v>37</v>
      </c>
      <c r="D497" t="s">
        <v>121</v>
      </c>
      <c r="E497">
        <v>2005</v>
      </c>
      <c r="F497" t="s">
        <v>31</v>
      </c>
      <c r="G497" t="s">
        <v>31</v>
      </c>
      <c r="H497" t="s">
        <v>2645</v>
      </c>
      <c r="I497" t="s">
        <v>34</v>
      </c>
      <c r="J497" t="s">
        <v>3293</v>
      </c>
      <c r="K497" t="s">
        <v>2664</v>
      </c>
      <c r="L497" t="s">
        <v>181</v>
      </c>
      <c r="M497" t="s">
        <v>27</v>
      </c>
      <c r="N497" t="s">
        <v>27</v>
      </c>
      <c r="O497" t="s">
        <v>27</v>
      </c>
      <c r="P497" t="s">
        <v>31</v>
      </c>
      <c r="Q497">
        <v>38290</v>
      </c>
      <c r="R497" t="s">
        <v>31</v>
      </c>
      <c r="S497" t="s">
        <v>31</v>
      </c>
      <c r="T497" t="s">
        <v>3294</v>
      </c>
    </row>
    <row r="498" spans="1:20" hidden="1" x14ac:dyDescent="0.3">
      <c r="A498" t="s">
        <v>594</v>
      </c>
      <c r="B498" t="s">
        <v>51</v>
      </c>
      <c r="C498" t="s">
        <v>37</v>
      </c>
      <c r="D498" t="s">
        <v>121</v>
      </c>
      <c r="E498">
        <v>2005</v>
      </c>
      <c r="F498" t="s">
        <v>31</v>
      </c>
      <c r="G498" t="s">
        <v>31</v>
      </c>
      <c r="H498" t="s">
        <v>2680</v>
      </c>
      <c r="I498" t="s">
        <v>115</v>
      </c>
      <c r="J498" t="s">
        <v>2681</v>
      </c>
      <c r="K498" t="s">
        <v>2649</v>
      </c>
      <c r="L498" t="s">
        <v>54</v>
      </c>
      <c r="M498" t="s">
        <v>27</v>
      </c>
      <c r="N498" t="s">
        <v>27</v>
      </c>
      <c r="O498" t="s">
        <v>27</v>
      </c>
      <c r="P498" t="s">
        <v>31</v>
      </c>
      <c r="Q498" t="s">
        <v>31</v>
      </c>
      <c r="R498" t="s">
        <v>31</v>
      </c>
      <c r="S498" t="s">
        <v>31</v>
      </c>
      <c r="T498" t="s">
        <v>31</v>
      </c>
    </row>
    <row r="499" spans="1:20" hidden="1" x14ac:dyDescent="0.3">
      <c r="A499" t="s">
        <v>595</v>
      </c>
      <c r="B499" t="s">
        <v>28</v>
      </c>
      <c r="C499" t="s">
        <v>29</v>
      </c>
      <c r="D499" t="s">
        <v>30</v>
      </c>
      <c r="E499">
        <v>2005</v>
      </c>
      <c r="F499" t="s">
        <v>31</v>
      </c>
      <c r="G499" t="s">
        <v>3295</v>
      </c>
      <c r="H499" t="s">
        <v>2749</v>
      </c>
      <c r="I499" t="s">
        <v>45</v>
      </c>
      <c r="J499" t="s">
        <v>3296</v>
      </c>
      <c r="K499" t="s">
        <v>31</v>
      </c>
      <c r="L499" t="s">
        <v>82</v>
      </c>
      <c r="M499" t="s">
        <v>27</v>
      </c>
      <c r="N499" t="s">
        <v>27</v>
      </c>
      <c r="O499" t="s">
        <v>27</v>
      </c>
      <c r="P499" t="s">
        <v>31</v>
      </c>
      <c r="Q499" t="s">
        <v>31</v>
      </c>
      <c r="R499" t="s">
        <v>31</v>
      </c>
      <c r="S499" t="s">
        <v>31</v>
      </c>
      <c r="T499" t="s">
        <v>31</v>
      </c>
    </row>
    <row r="500" spans="1:20" hidden="1" x14ac:dyDescent="0.3">
      <c r="A500" t="s">
        <v>596</v>
      </c>
      <c r="B500" t="s">
        <v>51</v>
      </c>
      <c r="C500" t="s">
        <v>37</v>
      </c>
      <c r="D500" t="s">
        <v>121</v>
      </c>
      <c r="E500">
        <v>2005</v>
      </c>
      <c r="F500" t="s">
        <v>31</v>
      </c>
      <c r="G500" t="s">
        <v>31</v>
      </c>
      <c r="H500" t="s">
        <v>2672</v>
      </c>
      <c r="I500" t="s">
        <v>73</v>
      </c>
      <c r="J500" t="s">
        <v>3297</v>
      </c>
      <c r="K500" t="s">
        <v>2649</v>
      </c>
      <c r="L500" t="s">
        <v>31</v>
      </c>
      <c r="M500" t="s">
        <v>27</v>
      </c>
      <c r="N500" t="s">
        <v>27</v>
      </c>
      <c r="O500" t="s">
        <v>27</v>
      </c>
      <c r="P500" t="s">
        <v>31</v>
      </c>
      <c r="Q500">
        <v>62550</v>
      </c>
      <c r="R500" t="s">
        <v>31</v>
      </c>
      <c r="S500" t="s">
        <v>31</v>
      </c>
      <c r="T500" t="s">
        <v>31</v>
      </c>
    </row>
    <row r="501" spans="1:20" hidden="1" x14ac:dyDescent="0.3">
      <c r="A501" t="s">
        <v>597</v>
      </c>
      <c r="B501" t="s">
        <v>28</v>
      </c>
      <c r="C501" t="s">
        <v>29</v>
      </c>
      <c r="D501" t="s">
        <v>67</v>
      </c>
      <c r="E501">
        <v>2005</v>
      </c>
      <c r="F501" t="s">
        <v>31</v>
      </c>
      <c r="G501" t="s">
        <v>31</v>
      </c>
      <c r="H501" t="s">
        <v>2645</v>
      </c>
      <c r="I501" t="s">
        <v>34</v>
      </c>
      <c r="J501" t="s">
        <v>3298</v>
      </c>
      <c r="K501" t="s">
        <v>31</v>
      </c>
      <c r="L501" t="s">
        <v>31</v>
      </c>
      <c r="M501" t="s">
        <v>27</v>
      </c>
      <c r="N501" t="s">
        <v>27</v>
      </c>
      <c r="O501" t="s">
        <v>27</v>
      </c>
      <c r="P501" t="s">
        <v>31</v>
      </c>
      <c r="Q501" t="s">
        <v>31</v>
      </c>
      <c r="R501" t="s">
        <v>31</v>
      </c>
      <c r="S501" t="s">
        <v>31</v>
      </c>
      <c r="T501" t="s">
        <v>31</v>
      </c>
    </row>
    <row r="502" spans="1:20" hidden="1" x14ac:dyDescent="0.3">
      <c r="A502" t="s">
        <v>599</v>
      </c>
      <c r="B502" t="s">
        <v>51</v>
      </c>
      <c r="C502" t="s">
        <v>37</v>
      </c>
      <c r="D502" t="s">
        <v>121</v>
      </c>
      <c r="E502">
        <v>2005</v>
      </c>
      <c r="F502">
        <v>245000</v>
      </c>
      <c r="G502" t="s">
        <v>31</v>
      </c>
      <c r="H502" t="s">
        <v>2645</v>
      </c>
      <c r="I502" t="s">
        <v>34</v>
      </c>
      <c r="J502" t="s">
        <v>3299</v>
      </c>
      <c r="K502" t="s">
        <v>29</v>
      </c>
      <c r="L502" t="s">
        <v>405</v>
      </c>
      <c r="M502" t="s">
        <v>27</v>
      </c>
      <c r="N502" t="s">
        <v>27</v>
      </c>
      <c r="O502" t="s">
        <v>33</v>
      </c>
      <c r="P502" t="s">
        <v>31</v>
      </c>
      <c r="Q502">
        <v>140500</v>
      </c>
      <c r="R502" t="s">
        <v>31</v>
      </c>
      <c r="S502" t="s">
        <v>31</v>
      </c>
      <c r="T502" t="s">
        <v>3300</v>
      </c>
    </row>
    <row r="503" spans="1:20" hidden="1" x14ac:dyDescent="0.3">
      <c r="A503" t="s">
        <v>600</v>
      </c>
      <c r="B503" t="s">
        <v>91</v>
      </c>
      <c r="C503" t="s">
        <v>2712</v>
      </c>
      <c r="D503" t="s">
        <v>105</v>
      </c>
      <c r="E503">
        <v>2005</v>
      </c>
      <c r="F503" t="s">
        <v>31</v>
      </c>
      <c r="G503" t="s">
        <v>31</v>
      </c>
      <c r="H503" t="s">
        <v>2647</v>
      </c>
      <c r="I503" t="s">
        <v>47</v>
      </c>
      <c r="J503" t="s">
        <v>3301</v>
      </c>
      <c r="K503" t="s">
        <v>31</v>
      </c>
      <c r="L503" t="s">
        <v>31</v>
      </c>
      <c r="M503" t="s">
        <v>27</v>
      </c>
      <c r="N503" t="s">
        <v>27</v>
      </c>
      <c r="O503" t="s">
        <v>33</v>
      </c>
      <c r="P503" t="s">
        <v>31</v>
      </c>
      <c r="Q503" t="s">
        <v>31</v>
      </c>
      <c r="R503">
        <v>1.22</v>
      </c>
      <c r="S503">
        <v>-77.37</v>
      </c>
      <c r="T503" t="s">
        <v>31</v>
      </c>
    </row>
    <row r="504" spans="1:20" hidden="1" x14ac:dyDescent="0.3">
      <c r="A504" t="s">
        <v>601</v>
      </c>
      <c r="B504" t="s">
        <v>51</v>
      </c>
      <c r="C504" t="s">
        <v>37</v>
      </c>
      <c r="D504" t="s">
        <v>52</v>
      </c>
      <c r="E504">
        <v>2005</v>
      </c>
      <c r="F504" t="s">
        <v>31</v>
      </c>
      <c r="G504" t="s">
        <v>31</v>
      </c>
      <c r="H504" t="s">
        <v>2749</v>
      </c>
      <c r="I504" t="s">
        <v>45</v>
      </c>
      <c r="J504" t="s">
        <v>3302</v>
      </c>
      <c r="K504" t="s">
        <v>31</v>
      </c>
      <c r="L504" t="s">
        <v>54</v>
      </c>
      <c r="M504" t="s">
        <v>27</v>
      </c>
      <c r="N504" t="s">
        <v>27</v>
      </c>
      <c r="O504" t="s">
        <v>27</v>
      </c>
      <c r="P504" t="s">
        <v>31</v>
      </c>
      <c r="Q504" t="s">
        <v>31</v>
      </c>
      <c r="R504" t="s">
        <v>31</v>
      </c>
      <c r="S504" t="s">
        <v>31</v>
      </c>
      <c r="T504" t="s">
        <v>31</v>
      </c>
    </row>
    <row r="505" spans="1:20" hidden="1" x14ac:dyDescent="0.3">
      <c r="A505" t="s">
        <v>602</v>
      </c>
      <c r="B505" t="s">
        <v>39</v>
      </c>
      <c r="C505" t="s">
        <v>157</v>
      </c>
      <c r="D505" t="s">
        <v>157</v>
      </c>
      <c r="E505">
        <v>2005</v>
      </c>
      <c r="F505" t="s">
        <v>31</v>
      </c>
      <c r="G505" t="s">
        <v>31</v>
      </c>
      <c r="H505" t="s">
        <v>2656</v>
      </c>
      <c r="I505" t="s">
        <v>119</v>
      </c>
      <c r="J505" t="s">
        <v>3303</v>
      </c>
      <c r="K505" t="s">
        <v>3206</v>
      </c>
      <c r="L505" t="s">
        <v>31</v>
      </c>
      <c r="M505" t="s">
        <v>27</v>
      </c>
      <c r="N505" t="s">
        <v>27</v>
      </c>
      <c r="O505" t="s">
        <v>27</v>
      </c>
      <c r="P505" t="s">
        <v>31</v>
      </c>
      <c r="Q505" t="s">
        <v>31</v>
      </c>
      <c r="R505" t="s">
        <v>31</v>
      </c>
      <c r="S505" t="s">
        <v>31</v>
      </c>
      <c r="T505" t="s">
        <v>31</v>
      </c>
    </row>
    <row r="506" spans="1:20" hidden="1" x14ac:dyDescent="0.3">
      <c r="A506" t="s">
        <v>926</v>
      </c>
      <c r="B506" t="s">
        <v>28</v>
      </c>
      <c r="C506" t="s">
        <v>29</v>
      </c>
      <c r="D506" t="s">
        <v>97</v>
      </c>
      <c r="E506">
        <v>2005</v>
      </c>
      <c r="F506" t="s">
        <v>31</v>
      </c>
      <c r="G506" t="s">
        <v>31</v>
      </c>
      <c r="H506" t="s">
        <v>2656</v>
      </c>
      <c r="I506" t="s">
        <v>119</v>
      </c>
      <c r="J506" t="s">
        <v>3304</v>
      </c>
      <c r="K506" t="s">
        <v>31</v>
      </c>
      <c r="L506" t="s">
        <v>31</v>
      </c>
      <c r="M506" t="s">
        <v>27</v>
      </c>
      <c r="N506" t="s">
        <v>27</v>
      </c>
      <c r="O506" t="s">
        <v>27</v>
      </c>
      <c r="P506" t="s">
        <v>31</v>
      </c>
      <c r="Q506">
        <v>200</v>
      </c>
      <c r="R506" t="s">
        <v>31</v>
      </c>
      <c r="S506" t="s">
        <v>31</v>
      </c>
      <c r="T506" t="s">
        <v>31</v>
      </c>
    </row>
    <row r="507" spans="1:20" hidden="1" x14ac:dyDescent="0.3">
      <c r="A507" t="s">
        <v>944</v>
      </c>
      <c r="B507" t="s">
        <v>51</v>
      </c>
      <c r="C507" t="s">
        <v>37</v>
      </c>
      <c r="D507" t="s">
        <v>121</v>
      </c>
      <c r="E507">
        <v>2005</v>
      </c>
      <c r="F507">
        <v>465100</v>
      </c>
      <c r="G507" t="s">
        <v>3305</v>
      </c>
      <c r="H507" t="s">
        <v>3306</v>
      </c>
      <c r="I507" t="s">
        <v>604</v>
      </c>
      <c r="J507" t="s">
        <v>3307</v>
      </c>
      <c r="K507" t="s">
        <v>2664</v>
      </c>
      <c r="L507" t="s">
        <v>31</v>
      </c>
      <c r="M507" t="s">
        <v>33</v>
      </c>
      <c r="N507" t="s">
        <v>33</v>
      </c>
      <c r="O507" t="s">
        <v>33</v>
      </c>
      <c r="P507">
        <v>7968</v>
      </c>
      <c r="Q507">
        <v>1340</v>
      </c>
      <c r="R507" t="s">
        <v>31</v>
      </c>
      <c r="S507" t="s">
        <v>31</v>
      </c>
      <c r="T507" t="s">
        <v>3308</v>
      </c>
    </row>
    <row r="508" spans="1:20" hidden="1" x14ac:dyDescent="0.3">
      <c r="A508" t="s">
        <v>945</v>
      </c>
      <c r="B508" t="s">
        <v>51</v>
      </c>
      <c r="C508" t="s">
        <v>37</v>
      </c>
      <c r="D508" t="s">
        <v>121</v>
      </c>
      <c r="E508">
        <v>2005</v>
      </c>
      <c r="F508">
        <v>30000</v>
      </c>
      <c r="G508" t="s">
        <v>31</v>
      </c>
      <c r="H508" t="s">
        <v>2645</v>
      </c>
      <c r="I508" t="s">
        <v>34</v>
      </c>
      <c r="J508" t="s">
        <v>3309</v>
      </c>
      <c r="K508" t="s">
        <v>3310</v>
      </c>
      <c r="L508" t="s">
        <v>31</v>
      </c>
      <c r="M508" t="s">
        <v>27</v>
      </c>
      <c r="N508" t="s">
        <v>27</v>
      </c>
      <c r="O508" t="s">
        <v>33</v>
      </c>
      <c r="P508" t="s">
        <v>31</v>
      </c>
      <c r="Q508">
        <v>130500</v>
      </c>
      <c r="R508" t="s">
        <v>31</v>
      </c>
      <c r="S508" t="s">
        <v>31</v>
      </c>
      <c r="T508" t="s">
        <v>3311</v>
      </c>
    </row>
    <row r="509" spans="1:20" hidden="1" x14ac:dyDescent="0.3">
      <c r="A509" t="s">
        <v>946</v>
      </c>
      <c r="B509" t="s">
        <v>28</v>
      </c>
      <c r="C509" t="s">
        <v>29</v>
      </c>
      <c r="D509" t="s">
        <v>67</v>
      </c>
      <c r="E509">
        <v>2005</v>
      </c>
      <c r="F509" t="s">
        <v>31</v>
      </c>
      <c r="G509" t="s">
        <v>31</v>
      </c>
      <c r="H509" t="s">
        <v>2701</v>
      </c>
      <c r="I509" t="s">
        <v>60</v>
      </c>
      <c r="J509" t="s">
        <v>3312</v>
      </c>
      <c r="K509" t="s">
        <v>31</v>
      </c>
      <c r="L509" t="s">
        <v>31</v>
      </c>
      <c r="M509" t="s">
        <v>27</v>
      </c>
      <c r="N509" t="s">
        <v>27</v>
      </c>
      <c r="O509" t="s">
        <v>27</v>
      </c>
      <c r="P509" t="s">
        <v>31</v>
      </c>
      <c r="Q509" t="s">
        <v>31</v>
      </c>
      <c r="R509" t="s">
        <v>31</v>
      </c>
      <c r="S509" t="s">
        <v>31</v>
      </c>
      <c r="T509" t="s">
        <v>31</v>
      </c>
    </row>
    <row r="510" spans="1:20" hidden="1" x14ac:dyDescent="0.3">
      <c r="A510" t="s">
        <v>947</v>
      </c>
      <c r="B510" t="s">
        <v>51</v>
      </c>
      <c r="C510" t="s">
        <v>37</v>
      </c>
      <c r="D510" t="s">
        <v>121</v>
      </c>
      <c r="E510">
        <v>2005</v>
      </c>
      <c r="F510" t="s">
        <v>31</v>
      </c>
      <c r="G510" t="s">
        <v>31</v>
      </c>
      <c r="H510" t="s">
        <v>2656</v>
      </c>
      <c r="I510" t="s">
        <v>119</v>
      </c>
      <c r="J510" t="s">
        <v>3313</v>
      </c>
      <c r="K510" t="s">
        <v>2649</v>
      </c>
      <c r="L510" t="s">
        <v>54</v>
      </c>
      <c r="M510" t="s">
        <v>27</v>
      </c>
      <c r="N510" t="s">
        <v>27</v>
      </c>
      <c r="O510" t="s">
        <v>33</v>
      </c>
      <c r="P510" t="s">
        <v>31</v>
      </c>
      <c r="Q510">
        <v>6050</v>
      </c>
      <c r="R510" t="s">
        <v>31</v>
      </c>
      <c r="S510" t="s">
        <v>31</v>
      </c>
      <c r="T510" t="s">
        <v>31</v>
      </c>
    </row>
    <row r="511" spans="1:20" hidden="1" x14ac:dyDescent="0.3">
      <c r="A511" t="s">
        <v>948</v>
      </c>
      <c r="B511" t="s">
        <v>51</v>
      </c>
      <c r="C511" t="s">
        <v>37</v>
      </c>
      <c r="D511" t="s">
        <v>121</v>
      </c>
      <c r="E511">
        <v>2005</v>
      </c>
      <c r="F511" t="s">
        <v>31</v>
      </c>
      <c r="G511" t="s">
        <v>3314</v>
      </c>
      <c r="H511" t="s">
        <v>2680</v>
      </c>
      <c r="I511" t="s">
        <v>115</v>
      </c>
      <c r="J511" t="s">
        <v>3315</v>
      </c>
      <c r="K511" t="s">
        <v>2664</v>
      </c>
      <c r="L511" t="s">
        <v>54</v>
      </c>
      <c r="M511" t="s">
        <v>27</v>
      </c>
      <c r="N511" t="s">
        <v>27</v>
      </c>
      <c r="O511" t="s">
        <v>27</v>
      </c>
      <c r="P511" t="s">
        <v>31</v>
      </c>
      <c r="Q511" t="s">
        <v>31</v>
      </c>
      <c r="R511" t="s">
        <v>31</v>
      </c>
      <c r="S511" t="s">
        <v>31</v>
      </c>
      <c r="T511" t="s">
        <v>31</v>
      </c>
    </row>
    <row r="512" spans="1:20" hidden="1" x14ac:dyDescent="0.3">
      <c r="A512" t="s">
        <v>949</v>
      </c>
      <c r="B512" t="s">
        <v>28</v>
      </c>
      <c r="C512" t="s">
        <v>29</v>
      </c>
      <c r="D512" t="s">
        <v>30</v>
      </c>
      <c r="E512">
        <v>2005</v>
      </c>
      <c r="F512">
        <v>1400000</v>
      </c>
      <c r="G512" t="s">
        <v>3316</v>
      </c>
      <c r="H512" t="s">
        <v>2716</v>
      </c>
      <c r="I512" t="s">
        <v>242</v>
      </c>
      <c r="J512" t="s">
        <v>3317</v>
      </c>
      <c r="K512" t="s">
        <v>31</v>
      </c>
      <c r="L512" t="s">
        <v>82</v>
      </c>
      <c r="M512" t="s">
        <v>33</v>
      </c>
      <c r="N512" t="s">
        <v>27</v>
      </c>
      <c r="O512" t="s">
        <v>27</v>
      </c>
      <c r="P512" t="s">
        <v>31</v>
      </c>
      <c r="Q512">
        <v>235</v>
      </c>
      <c r="R512" t="s">
        <v>31</v>
      </c>
      <c r="S512" t="s">
        <v>31</v>
      </c>
      <c r="T512" t="s">
        <v>31</v>
      </c>
    </row>
    <row r="513" spans="1:20" hidden="1" x14ac:dyDescent="0.3">
      <c r="A513" t="s">
        <v>950</v>
      </c>
      <c r="B513" t="s">
        <v>28</v>
      </c>
      <c r="C513" t="s">
        <v>29</v>
      </c>
      <c r="D513" t="s">
        <v>30</v>
      </c>
      <c r="E513">
        <v>2005</v>
      </c>
      <c r="F513">
        <v>30000</v>
      </c>
      <c r="G513" t="s">
        <v>3316</v>
      </c>
      <c r="H513" t="s">
        <v>2751</v>
      </c>
      <c r="I513" t="s">
        <v>234</v>
      </c>
      <c r="J513" t="s">
        <v>3318</v>
      </c>
      <c r="K513" t="s">
        <v>31</v>
      </c>
      <c r="L513" t="s">
        <v>405</v>
      </c>
      <c r="M513" t="s">
        <v>27</v>
      </c>
      <c r="N513" t="s">
        <v>27</v>
      </c>
      <c r="O513" t="s">
        <v>27</v>
      </c>
      <c r="P513" t="s">
        <v>31</v>
      </c>
      <c r="Q513" t="s">
        <v>31</v>
      </c>
      <c r="R513" t="s">
        <v>31</v>
      </c>
      <c r="S513" t="s">
        <v>31</v>
      </c>
      <c r="T513" t="s">
        <v>31</v>
      </c>
    </row>
    <row r="514" spans="1:20" hidden="1" x14ac:dyDescent="0.3">
      <c r="A514" t="s">
        <v>951</v>
      </c>
      <c r="B514" t="s">
        <v>51</v>
      </c>
      <c r="C514" t="s">
        <v>37</v>
      </c>
      <c r="D514" t="s">
        <v>52</v>
      </c>
      <c r="E514">
        <v>2005</v>
      </c>
      <c r="F514" t="s">
        <v>31</v>
      </c>
      <c r="G514" t="s">
        <v>31</v>
      </c>
      <c r="H514" t="s">
        <v>2749</v>
      </c>
      <c r="I514" t="s">
        <v>45</v>
      </c>
      <c r="J514" t="s">
        <v>3108</v>
      </c>
      <c r="K514" t="s">
        <v>31</v>
      </c>
      <c r="L514" t="s">
        <v>31</v>
      </c>
      <c r="M514" t="s">
        <v>27</v>
      </c>
      <c r="N514" t="s">
        <v>27</v>
      </c>
      <c r="O514" t="s">
        <v>27</v>
      </c>
      <c r="P514" t="s">
        <v>31</v>
      </c>
      <c r="Q514" t="s">
        <v>31</v>
      </c>
      <c r="R514" t="s">
        <v>31</v>
      </c>
      <c r="S514" t="s">
        <v>31</v>
      </c>
      <c r="T514" t="s">
        <v>31</v>
      </c>
    </row>
    <row r="515" spans="1:20" hidden="1" x14ac:dyDescent="0.3">
      <c r="A515" t="s">
        <v>952</v>
      </c>
      <c r="B515" t="s">
        <v>39</v>
      </c>
      <c r="C515" t="s">
        <v>40</v>
      </c>
      <c r="D515" t="s">
        <v>41</v>
      </c>
      <c r="E515">
        <v>2005</v>
      </c>
      <c r="F515" t="s">
        <v>31</v>
      </c>
      <c r="G515" t="s">
        <v>31</v>
      </c>
      <c r="H515" t="s">
        <v>2739</v>
      </c>
      <c r="I515" t="s">
        <v>77</v>
      </c>
      <c r="J515" t="s">
        <v>3319</v>
      </c>
      <c r="K515" t="s">
        <v>31</v>
      </c>
      <c r="L515" t="s">
        <v>31</v>
      </c>
      <c r="M515" t="s">
        <v>27</v>
      </c>
      <c r="N515" t="s">
        <v>27</v>
      </c>
      <c r="O515" t="s">
        <v>27</v>
      </c>
      <c r="P515" t="s">
        <v>31</v>
      </c>
      <c r="Q515">
        <v>4000</v>
      </c>
      <c r="R515" t="s">
        <v>31</v>
      </c>
      <c r="S515" t="s">
        <v>31</v>
      </c>
      <c r="T515" t="s">
        <v>31</v>
      </c>
    </row>
    <row r="516" spans="1:20" hidden="1" x14ac:dyDescent="0.3">
      <c r="A516" t="s">
        <v>953</v>
      </c>
      <c r="B516" t="s">
        <v>28</v>
      </c>
      <c r="C516" t="s">
        <v>29</v>
      </c>
      <c r="D516" t="s">
        <v>189</v>
      </c>
      <c r="E516">
        <v>2005</v>
      </c>
      <c r="F516" t="s">
        <v>31</v>
      </c>
      <c r="G516" t="s">
        <v>31</v>
      </c>
      <c r="H516" t="s">
        <v>2739</v>
      </c>
      <c r="I516" t="s">
        <v>77</v>
      </c>
      <c r="J516" t="s">
        <v>3320</v>
      </c>
      <c r="K516" t="s">
        <v>31</v>
      </c>
      <c r="L516" t="s">
        <v>31</v>
      </c>
      <c r="M516" t="s">
        <v>27</v>
      </c>
      <c r="N516" t="s">
        <v>27</v>
      </c>
      <c r="O516" t="s">
        <v>27</v>
      </c>
      <c r="P516" t="s">
        <v>31</v>
      </c>
      <c r="Q516" t="s">
        <v>31</v>
      </c>
      <c r="R516" t="s">
        <v>31</v>
      </c>
      <c r="S516" t="s">
        <v>31</v>
      </c>
      <c r="T516" t="s">
        <v>31</v>
      </c>
    </row>
    <row r="517" spans="1:20" hidden="1" x14ac:dyDescent="0.3">
      <c r="A517" t="s">
        <v>954</v>
      </c>
      <c r="B517" t="s">
        <v>91</v>
      </c>
      <c r="C517" t="s">
        <v>92</v>
      </c>
      <c r="D517" t="s">
        <v>93</v>
      </c>
      <c r="E517">
        <v>2005</v>
      </c>
      <c r="F517" t="s">
        <v>31</v>
      </c>
      <c r="G517" t="s">
        <v>3321</v>
      </c>
      <c r="H517" t="s">
        <v>2678</v>
      </c>
      <c r="I517" t="s">
        <v>53</v>
      </c>
      <c r="J517" t="s">
        <v>3322</v>
      </c>
      <c r="K517" t="s">
        <v>31</v>
      </c>
      <c r="L517" t="s">
        <v>31</v>
      </c>
      <c r="M517" t="s">
        <v>27</v>
      </c>
      <c r="N517" t="s">
        <v>27</v>
      </c>
      <c r="O517" t="s">
        <v>27</v>
      </c>
      <c r="P517" t="s">
        <v>31</v>
      </c>
      <c r="Q517">
        <v>7.5</v>
      </c>
      <c r="R517">
        <v>-5.6779999999999999</v>
      </c>
      <c r="S517">
        <v>-76.397999999999996</v>
      </c>
      <c r="T517" t="s">
        <v>31</v>
      </c>
    </row>
    <row r="518" spans="1:20" hidden="1" x14ac:dyDescent="0.3">
      <c r="A518" t="s">
        <v>955</v>
      </c>
      <c r="B518" t="s">
        <v>28</v>
      </c>
      <c r="C518" t="s">
        <v>29</v>
      </c>
      <c r="D518" t="s">
        <v>30</v>
      </c>
      <c r="E518">
        <v>2005</v>
      </c>
      <c r="F518">
        <v>2500000</v>
      </c>
      <c r="G518" t="s">
        <v>31</v>
      </c>
      <c r="H518" t="s">
        <v>2672</v>
      </c>
      <c r="I518" t="s">
        <v>73</v>
      </c>
      <c r="J518" t="s">
        <v>3323</v>
      </c>
      <c r="K518" t="s">
        <v>31</v>
      </c>
      <c r="L518" t="s">
        <v>181</v>
      </c>
      <c r="M518" t="s">
        <v>27</v>
      </c>
      <c r="N518" t="s">
        <v>27</v>
      </c>
      <c r="O518" t="s">
        <v>33</v>
      </c>
      <c r="P518" t="s">
        <v>31</v>
      </c>
      <c r="Q518">
        <v>130</v>
      </c>
      <c r="R518" t="s">
        <v>31</v>
      </c>
      <c r="S518" t="s">
        <v>31</v>
      </c>
      <c r="T518" t="s">
        <v>31</v>
      </c>
    </row>
    <row r="519" spans="1:20" hidden="1" x14ac:dyDescent="0.3">
      <c r="A519" t="s">
        <v>956</v>
      </c>
      <c r="B519" t="s">
        <v>28</v>
      </c>
      <c r="C519" t="s">
        <v>29</v>
      </c>
      <c r="D519" t="s">
        <v>30</v>
      </c>
      <c r="E519">
        <v>2005</v>
      </c>
      <c r="F519" t="s">
        <v>31</v>
      </c>
      <c r="G519" t="s">
        <v>31</v>
      </c>
      <c r="H519" t="s">
        <v>2675</v>
      </c>
      <c r="I519" t="s">
        <v>81</v>
      </c>
      <c r="J519" t="s">
        <v>3324</v>
      </c>
      <c r="K519" t="s">
        <v>31</v>
      </c>
      <c r="L519" t="s">
        <v>37</v>
      </c>
      <c r="M519" t="s">
        <v>27</v>
      </c>
      <c r="N519" t="s">
        <v>27</v>
      </c>
      <c r="O519" t="s">
        <v>33</v>
      </c>
      <c r="P519" t="s">
        <v>31</v>
      </c>
      <c r="Q519" t="s">
        <v>31</v>
      </c>
      <c r="R519" t="s">
        <v>31</v>
      </c>
      <c r="S519" t="s">
        <v>31</v>
      </c>
      <c r="T519" t="s">
        <v>31</v>
      </c>
    </row>
    <row r="520" spans="1:20" hidden="1" x14ac:dyDescent="0.3">
      <c r="A520" t="s">
        <v>957</v>
      </c>
      <c r="B520" t="s">
        <v>91</v>
      </c>
      <c r="C520" t="s">
        <v>2712</v>
      </c>
      <c r="D520" t="s">
        <v>105</v>
      </c>
      <c r="E520">
        <v>2005</v>
      </c>
      <c r="F520" t="s">
        <v>31</v>
      </c>
      <c r="G520" t="s">
        <v>31</v>
      </c>
      <c r="H520" t="s">
        <v>2680</v>
      </c>
      <c r="I520" t="s">
        <v>115</v>
      </c>
      <c r="J520" t="s">
        <v>3325</v>
      </c>
      <c r="K520" t="s">
        <v>31</v>
      </c>
      <c r="L520" t="s">
        <v>31</v>
      </c>
      <c r="M520" t="s">
        <v>27</v>
      </c>
      <c r="N520" t="s">
        <v>27</v>
      </c>
      <c r="O520" t="s">
        <v>27</v>
      </c>
      <c r="P520" t="s">
        <v>31</v>
      </c>
      <c r="Q520" t="s">
        <v>31</v>
      </c>
      <c r="R520">
        <v>13.852846</v>
      </c>
      <c r="S520">
        <v>-89.63</v>
      </c>
      <c r="T520" t="s">
        <v>31</v>
      </c>
    </row>
    <row r="521" spans="1:20" hidden="1" x14ac:dyDescent="0.3">
      <c r="A521" t="s">
        <v>958</v>
      </c>
      <c r="B521" t="s">
        <v>51</v>
      </c>
      <c r="C521" t="s">
        <v>37</v>
      </c>
      <c r="D521" t="s">
        <v>121</v>
      </c>
      <c r="E521">
        <v>2005</v>
      </c>
      <c r="F521" t="s">
        <v>31</v>
      </c>
      <c r="G521" t="s">
        <v>31</v>
      </c>
      <c r="H521" t="s">
        <v>2647</v>
      </c>
      <c r="I521" t="s">
        <v>47</v>
      </c>
      <c r="J521" t="s">
        <v>3326</v>
      </c>
      <c r="K521" t="s">
        <v>2649</v>
      </c>
      <c r="L521" t="s">
        <v>31</v>
      </c>
      <c r="M521" t="s">
        <v>27</v>
      </c>
      <c r="N521" t="s">
        <v>27</v>
      </c>
      <c r="O521" t="s">
        <v>27</v>
      </c>
      <c r="P521" t="s">
        <v>31</v>
      </c>
      <c r="Q521">
        <v>115200</v>
      </c>
      <c r="R521" t="s">
        <v>31</v>
      </c>
      <c r="S521" t="s">
        <v>31</v>
      </c>
      <c r="T521" t="s">
        <v>3327</v>
      </c>
    </row>
    <row r="522" spans="1:20" hidden="1" x14ac:dyDescent="0.3">
      <c r="A522" t="s">
        <v>959</v>
      </c>
      <c r="B522" t="s">
        <v>28</v>
      </c>
      <c r="C522" t="s">
        <v>29</v>
      </c>
      <c r="D522" t="s">
        <v>30</v>
      </c>
      <c r="E522">
        <v>2005</v>
      </c>
      <c r="F522" t="s">
        <v>31</v>
      </c>
      <c r="G522" t="s">
        <v>3295</v>
      </c>
      <c r="H522" t="s">
        <v>2706</v>
      </c>
      <c r="I522" t="s">
        <v>32</v>
      </c>
      <c r="J522" t="s">
        <v>3328</v>
      </c>
      <c r="K522" t="s">
        <v>31</v>
      </c>
      <c r="L522" t="s">
        <v>31</v>
      </c>
      <c r="M522" t="s">
        <v>27</v>
      </c>
      <c r="N522" t="s">
        <v>27</v>
      </c>
      <c r="O522" t="s">
        <v>27</v>
      </c>
      <c r="P522" t="s">
        <v>31</v>
      </c>
      <c r="Q522" t="s">
        <v>31</v>
      </c>
      <c r="R522" t="s">
        <v>31</v>
      </c>
      <c r="S522" t="s">
        <v>31</v>
      </c>
      <c r="T522" t="s">
        <v>31</v>
      </c>
    </row>
    <row r="523" spans="1:20" hidden="1" x14ac:dyDescent="0.3">
      <c r="A523" t="s">
        <v>960</v>
      </c>
      <c r="B523" t="s">
        <v>28</v>
      </c>
      <c r="C523" t="s">
        <v>29</v>
      </c>
      <c r="D523" t="s">
        <v>30</v>
      </c>
      <c r="E523">
        <v>2005</v>
      </c>
      <c r="F523" t="s">
        <v>31</v>
      </c>
      <c r="G523" t="s">
        <v>3295</v>
      </c>
      <c r="H523" t="s">
        <v>2888</v>
      </c>
      <c r="I523" t="s">
        <v>75</v>
      </c>
      <c r="J523" t="s">
        <v>3329</v>
      </c>
      <c r="K523" t="s">
        <v>31</v>
      </c>
      <c r="L523" t="s">
        <v>82</v>
      </c>
      <c r="M523" t="s">
        <v>27</v>
      </c>
      <c r="N523" t="s">
        <v>27</v>
      </c>
      <c r="O523" t="s">
        <v>27</v>
      </c>
      <c r="P523" t="s">
        <v>31</v>
      </c>
      <c r="Q523" t="s">
        <v>31</v>
      </c>
      <c r="R523" t="s">
        <v>31</v>
      </c>
      <c r="S523" t="s">
        <v>31</v>
      </c>
      <c r="T523" t="s">
        <v>31</v>
      </c>
    </row>
    <row r="524" spans="1:20" hidden="1" x14ac:dyDescent="0.3">
      <c r="A524" t="s">
        <v>961</v>
      </c>
      <c r="B524" t="s">
        <v>28</v>
      </c>
      <c r="C524" t="s">
        <v>2685</v>
      </c>
      <c r="D524" t="s">
        <v>95</v>
      </c>
      <c r="E524">
        <v>2005</v>
      </c>
      <c r="F524" t="s">
        <v>31</v>
      </c>
      <c r="G524" t="s">
        <v>31</v>
      </c>
      <c r="H524" t="s">
        <v>2645</v>
      </c>
      <c r="I524" t="s">
        <v>34</v>
      </c>
      <c r="J524" t="s">
        <v>3330</v>
      </c>
      <c r="K524" t="s">
        <v>31</v>
      </c>
      <c r="L524" t="s">
        <v>31</v>
      </c>
      <c r="M524" t="s">
        <v>27</v>
      </c>
      <c r="N524" t="s">
        <v>27</v>
      </c>
      <c r="O524" t="s">
        <v>27</v>
      </c>
      <c r="P524" t="s">
        <v>31</v>
      </c>
      <c r="Q524">
        <v>47</v>
      </c>
      <c r="R524" t="s">
        <v>31</v>
      </c>
      <c r="S524" t="s">
        <v>31</v>
      </c>
      <c r="T524" t="s">
        <v>31</v>
      </c>
    </row>
    <row r="525" spans="1:20" hidden="1" x14ac:dyDescent="0.3">
      <c r="A525" t="s">
        <v>1525</v>
      </c>
      <c r="B525" t="s">
        <v>51</v>
      </c>
      <c r="C525" t="s">
        <v>37</v>
      </c>
      <c r="D525" t="s">
        <v>121</v>
      </c>
      <c r="E525">
        <v>2005</v>
      </c>
      <c r="F525">
        <v>25000</v>
      </c>
      <c r="G525" t="s">
        <v>3272</v>
      </c>
      <c r="H525" t="s">
        <v>2695</v>
      </c>
      <c r="I525" t="s">
        <v>161</v>
      </c>
      <c r="J525" t="s">
        <v>3331</v>
      </c>
      <c r="K525" t="s">
        <v>2649</v>
      </c>
      <c r="L525" t="s">
        <v>54</v>
      </c>
      <c r="M525" t="s">
        <v>33</v>
      </c>
      <c r="N525" t="s">
        <v>27</v>
      </c>
      <c r="O525" t="s">
        <v>33</v>
      </c>
      <c r="P525">
        <v>151</v>
      </c>
      <c r="Q525" t="s">
        <v>31</v>
      </c>
      <c r="R525" t="s">
        <v>31</v>
      </c>
      <c r="S525" t="s">
        <v>31</v>
      </c>
      <c r="T525" t="s">
        <v>31</v>
      </c>
    </row>
    <row r="526" spans="1:20" hidden="1" x14ac:dyDescent="0.3">
      <c r="A526" t="s">
        <v>1526</v>
      </c>
      <c r="B526" t="s">
        <v>28</v>
      </c>
      <c r="C526" t="s">
        <v>29</v>
      </c>
      <c r="D526" t="s">
        <v>67</v>
      </c>
      <c r="E526">
        <v>2005</v>
      </c>
      <c r="F526">
        <v>350000</v>
      </c>
      <c r="G526" t="s">
        <v>31</v>
      </c>
      <c r="H526" t="s">
        <v>2645</v>
      </c>
      <c r="I526" t="s">
        <v>34</v>
      </c>
      <c r="J526" t="s">
        <v>3332</v>
      </c>
      <c r="K526" t="s">
        <v>31</v>
      </c>
      <c r="L526" t="s">
        <v>68</v>
      </c>
      <c r="M526" t="s">
        <v>27</v>
      </c>
      <c r="N526" t="s">
        <v>27</v>
      </c>
      <c r="O526" t="s">
        <v>27</v>
      </c>
      <c r="P526" t="s">
        <v>31</v>
      </c>
      <c r="Q526" t="s">
        <v>31</v>
      </c>
      <c r="R526" t="s">
        <v>31</v>
      </c>
      <c r="S526" t="s">
        <v>31</v>
      </c>
      <c r="T526" t="s">
        <v>31</v>
      </c>
    </row>
    <row r="527" spans="1:20" hidden="1" x14ac:dyDescent="0.3">
      <c r="A527" t="s">
        <v>1527</v>
      </c>
      <c r="B527" t="s">
        <v>28</v>
      </c>
      <c r="C527" t="s">
        <v>29</v>
      </c>
      <c r="D527" t="s">
        <v>99</v>
      </c>
      <c r="E527">
        <v>2005</v>
      </c>
      <c r="F527">
        <v>350000</v>
      </c>
      <c r="G527" t="s">
        <v>31</v>
      </c>
      <c r="H527" t="s">
        <v>2645</v>
      </c>
      <c r="I527" t="s">
        <v>34</v>
      </c>
      <c r="J527" t="s">
        <v>3333</v>
      </c>
      <c r="K527" t="s">
        <v>31</v>
      </c>
      <c r="L527" t="s">
        <v>37</v>
      </c>
      <c r="M527" t="s">
        <v>27</v>
      </c>
      <c r="N527" t="s">
        <v>27</v>
      </c>
      <c r="O527" t="s">
        <v>33</v>
      </c>
      <c r="P527" t="s">
        <v>31</v>
      </c>
      <c r="Q527" t="s">
        <v>31</v>
      </c>
      <c r="R527" t="s">
        <v>31</v>
      </c>
      <c r="S527" t="s">
        <v>31</v>
      </c>
      <c r="T527" t="s">
        <v>31</v>
      </c>
    </row>
    <row r="528" spans="1:20" hidden="1" x14ac:dyDescent="0.3">
      <c r="A528" t="s">
        <v>1528</v>
      </c>
      <c r="B528" t="s">
        <v>51</v>
      </c>
      <c r="C528" t="s">
        <v>37</v>
      </c>
      <c r="D528" t="s">
        <v>121</v>
      </c>
      <c r="E528">
        <v>2005</v>
      </c>
      <c r="F528">
        <v>50000</v>
      </c>
      <c r="G528" t="s">
        <v>31</v>
      </c>
      <c r="H528" t="s">
        <v>2709</v>
      </c>
      <c r="I528" t="s">
        <v>70</v>
      </c>
      <c r="J528" t="s">
        <v>3334</v>
      </c>
      <c r="K528" t="s">
        <v>2649</v>
      </c>
      <c r="L528" t="s">
        <v>54</v>
      </c>
      <c r="M528" t="s">
        <v>33</v>
      </c>
      <c r="N528" t="s">
        <v>27</v>
      </c>
      <c r="O528" t="s">
        <v>33</v>
      </c>
      <c r="P528">
        <v>83</v>
      </c>
      <c r="Q528" t="s">
        <v>31</v>
      </c>
      <c r="R528" t="s">
        <v>31</v>
      </c>
      <c r="S528" t="s">
        <v>31</v>
      </c>
      <c r="T528" t="s">
        <v>3335</v>
      </c>
    </row>
    <row r="529" spans="1:20" hidden="1" x14ac:dyDescent="0.3">
      <c r="A529" t="s">
        <v>1529</v>
      </c>
      <c r="B529" t="s">
        <v>51</v>
      </c>
      <c r="C529" t="s">
        <v>37</v>
      </c>
      <c r="D529" t="s">
        <v>121</v>
      </c>
      <c r="E529">
        <v>2005</v>
      </c>
      <c r="F529">
        <v>250000</v>
      </c>
      <c r="G529" t="s">
        <v>31</v>
      </c>
      <c r="H529" t="s">
        <v>2645</v>
      </c>
      <c r="I529" t="s">
        <v>34</v>
      </c>
      <c r="J529" t="s">
        <v>3044</v>
      </c>
      <c r="K529" t="s">
        <v>2649</v>
      </c>
      <c r="L529" t="s">
        <v>405</v>
      </c>
      <c r="M529" t="s">
        <v>27</v>
      </c>
      <c r="N529" t="s">
        <v>27</v>
      </c>
      <c r="O529" t="s">
        <v>27</v>
      </c>
      <c r="P529" t="s">
        <v>31</v>
      </c>
      <c r="Q529" t="s">
        <v>31</v>
      </c>
      <c r="R529" t="s">
        <v>31</v>
      </c>
      <c r="S529" t="s">
        <v>31</v>
      </c>
      <c r="T529" t="s">
        <v>31</v>
      </c>
    </row>
    <row r="530" spans="1:20" hidden="1" x14ac:dyDescent="0.3">
      <c r="A530" t="s">
        <v>1530</v>
      </c>
      <c r="B530" t="s">
        <v>91</v>
      </c>
      <c r="C530" t="s">
        <v>92</v>
      </c>
      <c r="D530" t="s">
        <v>93</v>
      </c>
      <c r="E530">
        <v>2005</v>
      </c>
      <c r="F530" t="s">
        <v>31</v>
      </c>
      <c r="G530" t="s">
        <v>3336</v>
      </c>
      <c r="H530" t="s">
        <v>2680</v>
      </c>
      <c r="I530" t="s">
        <v>115</v>
      </c>
      <c r="J530" t="s">
        <v>3337</v>
      </c>
      <c r="K530" t="s">
        <v>31</v>
      </c>
      <c r="L530" t="s">
        <v>54</v>
      </c>
      <c r="M530" t="s">
        <v>27</v>
      </c>
      <c r="N530" t="s">
        <v>27</v>
      </c>
      <c r="O530" t="s">
        <v>27</v>
      </c>
      <c r="P530" t="s">
        <v>31</v>
      </c>
      <c r="Q530">
        <v>4.8</v>
      </c>
      <c r="R530">
        <v>13.835000000000001</v>
      </c>
      <c r="S530">
        <v>-89.759</v>
      </c>
      <c r="T530" t="s">
        <v>31</v>
      </c>
    </row>
    <row r="531" spans="1:20" hidden="1" x14ac:dyDescent="0.3">
      <c r="A531" t="s">
        <v>1531</v>
      </c>
      <c r="B531" t="s">
        <v>28</v>
      </c>
      <c r="C531" t="s">
        <v>29</v>
      </c>
      <c r="D531" t="s">
        <v>30</v>
      </c>
      <c r="E531">
        <v>2005</v>
      </c>
      <c r="F531">
        <v>50000</v>
      </c>
      <c r="G531" t="s">
        <v>3316</v>
      </c>
      <c r="H531" t="s">
        <v>2749</v>
      </c>
      <c r="I531" t="s">
        <v>45</v>
      </c>
      <c r="J531" t="s">
        <v>3338</v>
      </c>
      <c r="K531" t="s">
        <v>31</v>
      </c>
      <c r="L531" t="s">
        <v>382</v>
      </c>
      <c r="M531" t="s">
        <v>33</v>
      </c>
      <c r="N531" t="s">
        <v>27</v>
      </c>
      <c r="O531" t="s">
        <v>27</v>
      </c>
      <c r="P531" t="s">
        <v>31</v>
      </c>
      <c r="Q531" t="s">
        <v>31</v>
      </c>
      <c r="R531" t="s">
        <v>31</v>
      </c>
      <c r="S531" t="s">
        <v>31</v>
      </c>
      <c r="T531" t="s">
        <v>31</v>
      </c>
    </row>
    <row r="532" spans="1:20" hidden="1" x14ac:dyDescent="0.3">
      <c r="A532" t="s">
        <v>1532</v>
      </c>
      <c r="B532" t="s">
        <v>28</v>
      </c>
      <c r="C532" t="s">
        <v>29</v>
      </c>
      <c r="D532" t="s">
        <v>30</v>
      </c>
      <c r="E532">
        <v>2005</v>
      </c>
      <c r="F532">
        <v>2230000</v>
      </c>
      <c r="G532" t="s">
        <v>3316</v>
      </c>
      <c r="H532" t="s">
        <v>2645</v>
      </c>
      <c r="I532" t="s">
        <v>34</v>
      </c>
      <c r="J532" t="s">
        <v>3339</v>
      </c>
      <c r="K532" t="s">
        <v>31</v>
      </c>
      <c r="L532" t="s">
        <v>31</v>
      </c>
      <c r="M532" t="s">
        <v>27</v>
      </c>
      <c r="N532" t="s">
        <v>27</v>
      </c>
      <c r="O532" t="s">
        <v>33</v>
      </c>
      <c r="P532" t="s">
        <v>31</v>
      </c>
      <c r="Q532" t="s">
        <v>31</v>
      </c>
      <c r="R532" t="s">
        <v>31</v>
      </c>
      <c r="S532" t="s">
        <v>31</v>
      </c>
      <c r="T532" t="s">
        <v>31</v>
      </c>
    </row>
    <row r="533" spans="1:20" hidden="1" x14ac:dyDescent="0.3">
      <c r="A533" t="s">
        <v>1533</v>
      </c>
      <c r="B533" t="s">
        <v>28</v>
      </c>
      <c r="C533" t="s">
        <v>29</v>
      </c>
      <c r="D533" t="s">
        <v>30</v>
      </c>
      <c r="E533">
        <v>2005</v>
      </c>
      <c r="F533" t="s">
        <v>31</v>
      </c>
      <c r="G533" t="s">
        <v>3288</v>
      </c>
      <c r="H533" t="s">
        <v>2749</v>
      </c>
      <c r="I533" t="s">
        <v>45</v>
      </c>
      <c r="J533" t="s">
        <v>3108</v>
      </c>
      <c r="K533" t="s">
        <v>31</v>
      </c>
      <c r="L533" t="s">
        <v>37</v>
      </c>
      <c r="M533" t="s">
        <v>27</v>
      </c>
      <c r="N533" t="s">
        <v>27</v>
      </c>
      <c r="O533" t="s">
        <v>27</v>
      </c>
      <c r="P533" t="s">
        <v>31</v>
      </c>
      <c r="Q533" t="s">
        <v>31</v>
      </c>
      <c r="R533" t="s">
        <v>31</v>
      </c>
      <c r="S533" t="s">
        <v>31</v>
      </c>
      <c r="T533" t="s">
        <v>31</v>
      </c>
    </row>
    <row r="534" spans="1:20" hidden="1" x14ac:dyDescent="0.3">
      <c r="A534" t="s">
        <v>1534</v>
      </c>
      <c r="B534" t="s">
        <v>28</v>
      </c>
      <c r="C534" t="s">
        <v>29</v>
      </c>
      <c r="D534" t="s">
        <v>30</v>
      </c>
      <c r="E534">
        <v>2005</v>
      </c>
      <c r="F534">
        <v>1000</v>
      </c>
      <c r="G534" t="s">
        <v>3288</v>
      </c>
      <c r="H534" t="s">
        <v>2751</v>
      </c>
      <c r="I534" t="s">
        <v>234</v>
      </c>
      <c r="J534" t="s">
        <v>3340</v>
      </c>
      <c r="K534" t="s">
        <v>31</v>
      </c>
      <c r="L534" t="s">
        <v>31</v>
      </c>
      <c r="M534" t="s">
        <v>27</v>
      </c>
      <c r="N534" t="s">
        <v>27</v>
      </c>
      <c r="O534" t="s">
        <v>27</v>
      </c>
      <c r="P534" t="s">
        <v>31</v>
      </c>
      <c r="Q534" t="s">
        <v>31</v>
      </c>
      <c r="R534" t="s">
        <v>31</v>
      </c>
      <c r="S534" t="s">
        <v>31</v>
      </c>
      <c r="T534" t="s">
        <v>31</v>
      </c>
    </row>
    <row r="535" spans="1:20" hidden="1" x14ac:dyDescent="0.3">
      <c r="A535" t="s">
        <v>1535</v>
      </c>
      <c r="B535" t="s">
        <v>28</v>
      </c>
      <c r="C535" t="s">
        <v>29</v>
      </c>
      <c r="D535" t="s">
        <v>30</v>
      </c>
      <c r="E535">
        <v>2005</v>
      </c>
      <c r="F535">
        <v>400000</v>
      </c>
      <c r="G535" t="s">
        <v>3288</v>
      </c>
      <c r="H535" t="s">
        <v>2672</v>
      </c>
      <c r="I535" t="s">
        <v>73</v>
      </c>
      <c r="J535" t="s">
        <v>3341</v>
      </c>
      <c r="K535" t="s">
        <v>31</v>
      </c>
      <c r="L535" t="s">
        <v>31</v>
      </c>
      <c r="M535" t="s">
        <v>27</v>
      </c>
      <c r="N535" t="s">
        <v>27</v>
      </c>
      <c r="O535" t="s">
        <v>27</v>
      </c>
      <c r="P535" t="s">
        <v>31</v>
      </c>
      <c r="Q535" t="s">
        <v>31</v>
      </c>
      <c r="R535" t="s">
        <v>31</v>
      </c>
      <c r="S535" t="s">
        <v>31</v>
      </c>
      <c r="T535" t="s">
        <v>31</v>
      </c>
    </row>
    <row r="536" spans="1:20" hidden="1" x14ac:dyDescent="0.3">
      <c r="A536" t="s">
        <v>1536</v>
      </c>
      <c r="B536" t="s">
        <v>28</v>
      </c>
      <c r="C536" t="s">
        <v>29</v>
      </c>
      <c r="D536" t="s">
        <v>30</v>
      </c>
      <c r="E536">
        <v>2005</v>
      </c>
      <c r="F536" t="s">
        <v>31</v>
      </c>
      <c r="G536" t="s">
        <v>3288</v>
      </c>
      <c r="H536" t="s">
        <v>2903</v>
      </c>
      <c r="I536" t="s">
        <v>148</v>
      </c>
      <c r="J536" t="s">
        <v>3342</v>
      </c>
      <c r="K536" t="s">
        <v>31</v>
      </c>
      <c r="L536" t="s">
        <v>31</v>
      </c>
      <c r="M536" t="s">
        <v>27</v>
      </c>
      <c r="N536" t="s">
        <v>27</v>
      </c>
      <c r="O536" t="s">
        <v>27</v>
      </c>
      <c r="P536" t="s">
        <v>31</v>
      </c>
      <c r="Q536" t="s">
        <v>31</v>
      </c>
      <c r="R536" t="s">
        <v>31</v>
      </c>
      <c r="S536" t="s">
        <v>31</v>
      </c>
      <c r="T536" t="s">
        <v>31</v>
      </c>
    </row>
    <row r="537" spans="1:20" hidden="1" x14ac:dyDescent="0.3">
      <c r="A537" t="s">
        <v>1537</v>
      </c>
      <c r="B537" t="s">
        <v>51</v>
      </c>
      <c r="C537" t="s">
        <v>37</v>
      </c>
      <c r="D537" t="s">
        <v>121</v>
      </c>
      <c r="E537">
        <v>2005</v>
      </c>
      <c r="F537" t="s">
        <v>31</v>
      </c>
      <c r="G537" t="s">
        <v>31</v>
      </c>
      <c r="H537" t="s">
        <v>2701</v>
      </c>
      <c r="I537" t="s">
        <v>60</v>
      </c>
      <c r="J537" t="s">
        <v>3343</v>
      </c>
      <c r="K537" t="s">
        <v>3054</v>
      </c>
      <c r="L537" t="s">
        <v>54</v>
      </c>
      <c r="M537" t="s">
        <v>27</v>
      </c>
      <c r="N537" t="s">
        <v>27</v>
      </c>
      <c r="O537" t="s">
        <v>33</v>
      </c>
      <c r="P537" t="s">
        <v>31</v>
      </c>
      <c r="Q537">
        <v>12210</v>
      </c>
      <c r="R537" t="s">
        <v>31</v>
      </c>
      <c r="S537" t="s">
        <v>31</v>
      </c>
      <c r="T537" t="s">
        <v>31</v>
      </c>
    </row>
    <row r="538" spans="1:20" hidden="1" x14ac:dyDescent="0.3">
      <c r="A538" t="s">
        <v>1538</v>
      </c>
      <c r="B538" t="s">
        <v>51</v>
      </c>
      <c r="C538" t="s">
        <v>37</v>
      </c>
      <c r="D538" t="s">
        <v>121</v>
      </c>
      <c r="E538">
        <v>2005</v>
      </c>
      <c r="F538" t="s">
        <v>31</v>
      </c>
      <c r="G538" t="s">
        <v>31</v>
      </c>
      <c r="H538" t="s">
        <v>2709</v>
      </c>
      <c r="I538" t="s">
        <v>70</v>
      </c>
      <c r="J538" t="s">
        <v>3275</v>
      </c>
      <c r="K538" t="s">
        <v>2649</v>
      </c>
      <c r="L538" t="s">
        <v>31</v>
      </c>
      <c r="M538" t="s">
        <v>27</v>
      </c>
      <c r="N538" t="s">
        <v>27</v>
      </c>
      <c r="O538" t="s">
        <v>27</v>
      </c>
      <c r="P538" t="s">
        <v>31</v>
      </c>
      <c r="Q538" t="s">
        <v>31</v>
      </c>
      <c r="R538" t="s">
        <v>31</v>
      </c>
      <c r="S538" t="s">
        <v>31</v>
      </c>
      <c r="T538" t="s">
        <v>31</v>
      </c>
    </row>
    <row r="539" spans="1:20" hidden="1" x14ac:dyDescent="0.3">
      <c r="A539" t="s">
        <v>1539</v>
      </c>
      <c r="B539" t="s">
        <v>39</v>
      </c>
      <c r="C539" t="s">
        <v>40</v>
      </c>
      <c r="D539" t="s">
        <v>41</v>
      </c>
      <c r="E539">
        <v>2005</v>
      </c>
      <c r="F539" t="s">
        <v>31</v>
      </c>
      <c r="G539" t="s">
        <v>31</v>
      </c>
      <c r="H539" t="s">
        <v>2739</v>
      </c>
      <c r="I539" t="s">
        <v>77</v>
      </c>
      <c r="J539" t="s">
        <v>3111</v>
      </c>
      <c r="K539" t="s">
        <v>3344</v>
      </c>
      <c r="L539" t="s">
        <v>31</v>
      </c>
      <c r="M539" t="s">
        <v>27</v>
      </c>
      <c r="N539" t="s">
        <v>27</v>
      </c>
      <c r="O539" t="s">
        <v>27</v>
      </c>
      <c r="P539" t="s">
        <v>31</v>
      </c>
      <c r="Q539">
        <v>275</v>
      </c>
      <c r="R539" t="s">
        <v>31</v>
      </c>
      <c r="S539" t="s">
        <v>31</v>
      </c>
      <c r="T539" t="s">
        <v>31</v>
      </c>
    </row>
    <row r="540" spans="1:20" hidden="1" x14ac:dyDescent="0.3">
      <c r="A540" t="s">
        <v>1540</v>
      </c>
      <c r="B540" t="s">
        <v>28</v>
      </c>
      <c r="C540" t="s">
        <v>29</v>
      </c>
      <c r="D540" t="s">
        <v>97</v>
      </c>
      <c r="E540">
        <v>2005</v>
      </c>
      <c r="F540" t="s">
        <v>31</v>
      </c>
      <c r="G540" t="s">
        <v>31</v>
      </c>
      <c r="H540" t="s">
        <v>2645</v>
      </c>
      <c r="I540" t="s">
        <v>34</v>
      </c>
      <c r="J540" t="s">
        <v>3345</v>
      </c>
      <c r="K540" t="s">
        <v>31</v>
      </c>
      <c r="L540" t="s">
        <v>31</v>
      </c>
      <c r="M540" t="s">
        <v>27</v>
      </c>
      <c r="N540" t="s">
        <v>27</v>
      </c>
      <c r="O540" t="s">
        <v>27</v>
      </c>
      <c r="P540" t="s">
        <v>31</v>
      </c>
      <c r="Q540" t="s">
        <v>31</v>
      </c>
      <c r="R540" t="s">
        <v>31</v>
      </c>
      <c r="S540" t="s">
        <v>31</v>
      </c>
      <c r="T540" t="s">
        <v>31</v>
      </c>
    </row>
    <row r="541" spans="1:20" hidden="1" x14ac:dyDescent="0.3">
      <c r="A541" t="s">
        <v>1541</v>
      </c>
      <c r="B541" t="s">
        <v>51</v>
      </c>
      <c r="C541" t="s">
        <v>37</v>
      </c>
      <c r="D541" t="s">
        <v>121</v>
      </c>
      <c r="E541">
        <v>2005</v>
      </c>
      <c r="F541" t="s">
        <v>31</v>
      </c>
      <c r="G541" t="s">
        <v>3346</v>
      </c>
      <c r="H541" t="s">
        <v>2695</v>
      </c>
      <c r="I541" t="s">
        <v>161</v>
      </c>
      <c r="J541" t="s">
        <v>3347</v>
      </c>
      <c r="K541" t="s">
        <v>2649</v>
      </c>
      <c r="L541" t="s">
        <v>54</v>
      </c>
      <c r="M541" t="s">
        <v>27</v>
      </c>
      <c r="N541" t="s">
        <v>27</v>
      </c>
      <c r="O541" t="s">
        <v>33</v>
      </c>
      <c r="P541">
        <v>80</v>
      </c>
      <c r="Q541" t="s">
        <v>31</v>
      </c>
      <c r="R541" t="s">
        <v>31</v>
      </c>
      <c r="S541" t="s">
        <v>31</v>
      </c>
      <c r="T541" t="s">
        <v>31</v>
      </c>
    </row>
    <row r="542" spans="1:20" hidden="1" x14ac:dyDescent="0.3">
      <c r="A542" t="s">
        <v>1542</v>
      </c>
      <c r="B542" t="s">
        <v>28</v>
      </c>
      <c r="C542" t="s">
        <v>29</v>
      </c>
      <c r="D542" t="s">
        <v>30</v>
      </c>
      <c r="E542">
        <v>2005</v>
      </c>
      <c r="F542" t="s">
        <v>31</v>
      </c>
      <c r="G542" t="s">
        <v>31</v>
      </c>
      <c r="H542" t="s">
        <v>2749</v>
      </c>
      <c r="I542" t="s">
        <v>45</v>
      </c>
      <c r="J542" t="s">
        <v>3348</v>
      </c>
      <c r="K542" t="s">
        <v>31</v>
      </c>
      <c r="L542" t="s">
        <v>37</v>
      </c>
      <c r="M542" t="s">
        <v>27</v>
      </c>
      <c r="N542" t="s">
        <v>27</v>
      </c>
      <c r="O542" t="s">
        <v>27</v>
      </c>
      <c r="P542" t="s">
        <v>31</v>
      </c>
      <c r="Q542" t="s">
        <v>31</v>
      </c>
      <c r="R542" t="s">
        <v>31</v>
      </c>
      <c r="S542" t="s">
        <v>31</v>
      </c>
      <c r="T542" t="s">
        <v>31</v>
      </c>
    </row>
    <row r="543" spans="1:20" hidden="1" x14ac:dyDescent="0.3">
      <c r="A543" t="s">
        <v>1543</v>
      </c>
      <c r="B543" t="s">
        <v>28</v>
      </c>
      <c r="C543" t="s">
        <v>29</v>
      </c>
      <c r="D543" t="s">
        <v>30</v>
      </c>
      <c r="E543">
        <v>2005</v>
      </c>
      <c r="F543" t="s">
        <v>31</v>
      </c>
      <c r="G543" t="s">
        <v>3295</v>
      </c>
      <c r="H543" t="s">
        <v>2753</v>
      </c>
      <c r="I543" t="s">
        <v>49</v>
      </c>
      <c r="J543" t="s">
        <v>3349</v>
      </c>
      <c r="K543" t="s">
        <v>31</v>
      </c>
      <c r="L543" t="s">
        <v>31</v>
      </c>
      <c r="M543" t="s">
        <v>27</v>
      </c>
      <c r="N543" t="s">
        <v>27</v>
      </c>
      <c r="O543" t="s">
        <v>27</v>
      </c>
      <c r="P543" t="s">
        <v>31</v>
      </c>
      <c r="Q543" t="s">
        <v>31</v>
      </c>
      <c r="R543" t="s">
        <v>31</v>
      </c>
      <c r="S543" t="s">
        <v>31</v>
      </c>
      <c r="T543" t="s">
        <v>31</v>
      </c>
    </row>
    <row r="544" spans="1:20" hidden="1" x14ac:dyDescent="0.3">
      <c r="A544" t="s">
        <v>1544</v>
      </c>
      <c r="B544" t="s">
        <v>28</v>
      </c>
      <c r="C544" t="s">
        <v>29</v>
      </c>
      <c r="D544" t="s">
        <v>30</v>
      </c>
      <c r="E544">
        <v>2005</v>
      </c>
      <c r="F544">
        <v>500</v>
      </c>
      <c r="G544" t="s">
        <v>3295</v>
      </c>
      <c r="H544" t="s">
        <v>2749</v>
      </c>
      <c r="I544" t="s">
        <v>45</v>
      </c>
      <c r="J544" t="s">
        <v>3350</v>
      </c>
      <c r="K544" t="s">
        <v>31</v>
      </c>
      <c r="L544" t="s">
        <v>37</v>
      </c>
      <c r="M544" t="s">
        <v>27</v>
      </c>
      <c r="N544" t="s">
        <v>27</v>
      </c>
      <c r="O544" t="s">
        <v>27</v>
      </c>
      <c r="P544" t="s">
        <v>31</v>
      </c>
      <c r="Q544" t="s">
        <v>31</v>
      </c>
      <c r="R544" t="s">
        <v>31</v>
      </c>
      <c r="S544" t="s">
        <v>31</v>
      </c>
      <c r="T544" t="s">
        <v>31</v>
      </c>
    </row>
    <row r="545" spans="1:20" hidden="1" x14ac:dyDescent="0.3">
      <c r="A545" t="s">
        <v>1545</v>
      </c>
      <c r="B545" t="s">
        <v>28</v>
      </c>
      <c r="C545" t="s">
        <v>29</v>
      </c>
      <c r="D545" t="s">
        <v>30</v>
      </c>
      <c r="E545">
        <v>2005</v>
      </c>
      <c r="F545">
        <v>3500</v>
      </c>
      <c r="G545" t="s">
        <v>3295</v>
      </c>
      <c r="H545" t="s">
        <v>2751</v>
      </c>
      <c r="I545" t="s">
        <v>234</v>
      </c>
      <c r="J545" t="s">
        <v>3351</v>
      </c>
      <c r="K545" t="s">
        <v>31</v>
      </c>
      <c r="L545" t="s">
        <v>82</v>
      </c>
      <c r="M545" t="s">
        <v>27</v>
      </c>
      <c r="N545" t="s">
        <v>27</v>
      </c>
      <c r="O545" t="s">
        <v>27</v>
      </c>
      <c r="P545" t="s">
        <v>31</v>
      </c>
      <c r="Q545" t="s">
        <v>31</v>
      </c>
      <c r="R545" t="s">
        <v>31</v>
      </c>
      <c r="S545" t="s">
        <v>31</v>
      </c>
      <c r="T545" t="s">
        <v>31</v>
      </c>
    </row>
    <row r="546" spans="1:20" hidden="1" x14ac:dyDescent="0.3">
      <c r="A546" t="s">
        <v>1546</v>
      </c>
      <c r="B546" t="s">
        <v>28</v>
      </c>
      <c r="C546" t="s">
        <v>29</v>
      </c>
      <c r="D546" t="s">
        <v>30</v>
      </c>
      <c r="E546">
        <v>2005</v>
      </c>
      <c r="F546">
        <v>5000000</v>
      </c>
      <c r="G546" t="s">
        <v>3295</v>
      </c>
      <c r="H546" t="s">
        <v>2672</v>
      </c>
      <c r="I546" t="s">
        <v>73</v>
      </c>
      <c r="J546" t="s">
        <v>3352</v>
      </c>
      <c r="K546" t="s">
        <v>31</v>
      </c>
      <c r="L546" t="s">
        <v>181</v>
      </c>
      <c r="M546" t="s">
        <v>33</v>
      </c>
      <c r="N546" t="s">
        <v>27</v>
      </c>
      <c r="O546" t="s">
        <v>33</v>
      </c>
      <c r="P546" t="s">
        <v>31</v>
      </c>
      <c r="Q546" t="s">
        <v>31</v>
      </c>
      <c r="R546" t="s">
        <v>31</v>
      </c>
      <c r="S546" t="s">
        <v>31</v>
      </c>
      <c r="T546" t="s">
        <v>31</v>
      </c>
    </row>
    <row r="547" spans="1:20" hidden="1" x14ac:dyDescent="0.3">
      <c r="A547" t="s">
        <v>1547</v>
      </c>
      <c r="B547" t="s">
        <v>51</v>
      </c>
      <c r="C547" t="s">
        <v>37</v>
      </c>
      <c r="D547" t="s">
        <v>121</v>
      </c>
      <c r="E547">
        <v>2005</v>
      </c>
      <c r="F547" t="s">
        <v>31</v>
      </c>
      <c r="G547" t="s">
        <v>31</v>
      </c>
      <c r="H547" t="s">
        <v>2739</v>
      </c>
      <c r="I547" t="s">
        <v>77</v>
      </c>
      <c r="J547" t="s">
        <v>3353</v>
      </c>
      <c r="K547" t="s">
        <v>2649</v>
      </c>
      <c r="L547" t="s">
        <v>31</v>
      </c>
      <c r="M547" t="s">
        <v>27</v>
      </c>
      <c r="N547" t="s">
        <v>27</v>
      </c>
      <c r="O547" t="s">
        <v>33</v>
      </c>
      <c r="P547" t="s">
        <v>31</v>
      </c>
      <c r="Q547">
        <v>330</v>
      </c>
      <c r="R547" t="s">
        <v>31</v>
      </c>
      <c r="S547" t="s">
        <v>31</v>
      </c>
      <c r="T547" t="s">
        <v>3354</v>
      </c>
    </row>
    <row r="548" spans="1:20" hidden="1" x14ac:dyDescent="0.3">
      <c r="A548" t="s">
        <v>1548</v>
      </c>
      <c r="B548" t="s">
        <v>51</v>
      </c>
      <c r="C548" t="s">
        <v>37</v>
      </c>
      <c r="D548" t="s">
        <v>121</v>
      </c>
      <c r="E548">
        <v>2005</v>
      </c>
      <c r="F548" t="s">
        <v>31</v>
      </c>
      <c r="G548" t="s">
        <v>31</v>
      </c>
      <c r="H548" t="s">
        <v>2719</v>
      </c>
      <c r="I548" t="s">
        <v>90</v>
      </c>
      <c r="J548" t="s">
        <v>3000</v>
      </c>
      <c r="K548" t="s">
        <v>2649</v>
      </c>
      <c r="L548" t="s">
        <v>31</v>
      </c>
      <c r="M548" t="s">
        <v>27</v>
      </c>
      <c r="N548" t="s">
        <v>27</v>
      </c>
      <c r="O548" t="s">
        <v>27</v>
      </c>
      <c r="P548" t="s">
        <v>31</v>
      </c>
      <c r="Q548" t="s">
        <v>31</v>
      </c>
      <c r="R548" t="s">
        <v>31</v>
      </c>
      <c r="S548" t="s">
        <v>31</v>
      </c>
      <c r="T548" t="s">
        <v>31</v>
      </c>
    </row>
    <row r="549" spans="1:20" hidden="1" x14ac:dyDescent="0.3">
      <c r="A549" t="s">
        <v>1549</v>
      </c>
      <c r="B549" t="s">
        <v>28</v>
      </c>
      <c r="C549" t="s">
        <v>29</v>
      </c>
      <c r="D549" t="s">
        <v>30</v>
      </c>
      <c r="E549">
        <v>2005</v>
      </c>
      <c r="F549" t="s">
        <v>31</v>
      </c>
      <c r="G549" t="s">
        <v>3355</v>
      </c>
      <c r="H549" t="s">
        <v>2675</v>
      </c>
      <c r="I549" t="s">
        <v>81</v>
      </c>
      <c r="J549" t="s">
        <v>3356</v>
      </c>
      <c r="K549" t="s">
        <v>31</v>
      </c>
      <c r="L549" t="s">
        <v>181</v>
      </c>
      <c r="M549" t="s">
        <v>27</v>
      </c>
      <c r="N549" t="s">
        <v>27</v>
      </c>
      <c r="O549" t="s">
        <v>33</v>
      </c>
      <c r="P549">
        <v>37</v>
      </c>
      <c r="Q549" t="s">
        <v>31</v>
      </c>
      <c r="R549" t="s">
        <v>31</v>
      </c>
      <c r="S549" t="s">
        <v>31</v>
      </c>
      <c r="T549" t="s">
        <v>31</v>
      </c>
    </row>
    <row r="550" spans="1:20" hidden="1" x14ac:dyDescent="0.3">
      <c r="A550" t="s">
        <v>1550</v>
      </c>
      <c r="B550" t="s">
        <v>39</v>
      </c>
      <c r="C550" t="s">
        <v>40</v>
      </c>
      <c r="D550" t="s">
        <v>41</v>
      </c>
      <c r="E550">
        <v>2005</v>
      </c>
      <c r="F550">
        <v>100000</v>
      </c>
      <c r="G550" t="s">
        <v>31</v>
      </c>
      <c r="H550" t="s">
        <v>2645</v>
      </c>
      <c r="I550" t="s">
        <v>34</v>
      </c>
      <c r="J550" t="s">
        <v>3357</v>
      </c>
      <c r="K550" t="s">
        <v>31</v>
      </c>
      <c r="L550" t="s">
        <v>31</v>
      </c>
      <c r="M550" t="s">
        <v>27</v>
      </c>
      <c r="N550" t="s">
        <v>27</v>
      </c>
      <c r="O550" t="s">
        <v>33</v>
      </c>
      <c r="P550" t="s">
        <v>31</v>
      </c>
      <c r="Q550" t="s">
        <v>31</v>
      </c>
      <c r="R550" t="s">
        <v>31</v>
      </c>
      <c r="S550" t="s">
        <v>31</v>
      </c>
      <c r="T550" t="s">
        <v>31</v>
      </c>
    </row>
    <row r="551" spans="1:20" hidden="1" x14ac:dyDescent="0.3">
      <c r="A551" t="s">
        <v>1551</v>
      </c>
      <c r="B551" t="s">
        <v>39</v>
      </c>
      <c r="C551" t="s">
        <v>157</v>
      </c>
      <c r="D551" t="s">
        <v>157</v>
      </c>
      <c r="E551">
        <v>2005</v>
      </c>
      <c r="F551" t="s">
        <v>31</v>
      </c>
      <c r="G551" t="s">
        <v>3358</v>
      </c>
      <c r="H551" t="s">
        <v>2769</v>
      </c>
      <c r="I551" t="s">
        <v>117</v>
      </c>
      <c r="J551" t="s">
        <v>3359</v>
      </c>
      <c r="K551" t="s">
        <v>31</v>
      </c>
      <c r="L551" t="s">
        <v>31</v>
      </c>
      <c r="M551" t="s">
        <v>27</v>
      </c>
      <c r="N551" t="s">
        <v>27</v>
      </c>
      <c r="O551" t="s">
        <v>27</v>
      </c>
      <c r="P551" t="s">
        <v>31</v>
      </c>
      <c r="Q551" t="s">
        <v>31</v>
      </c>
      <c r="R551" t="s">
        <v>31</v>
      </c>
      <c r="S551" t="s">
        <v>31</v>
      </c>
      <c r="T551" t="s">
        <v>31</v>
      </c>
    </row>
    <row r="552" spans="1:20" hidden="1" x14ac:dyDescent="0.3">
      <c r="A552" t="s">
        <v>2227</v>
      </c>
      <c r="B552" t="s">
        <v>51</v>
      </c>
      <c r="C552" t="s">
        <v>37</v>
      </c>
      <c r="D552" t="s">
        <v>121</v>
      </c>
      <c r="E552">
        <v>2005</v>
      </c>
      <c r="F552">
        <v>200000</v>
      </c>
      <c r="G552" t="s">
        <v>31</v>
      </c>
      <c r="H552" t="s">
        <v>2645</v>
      </c>
      <c r="I552" t="s">
        <v>34</v>
      </c>
      <c r="J552" t="s">
        <v>3360</v>
      </c>
      <c r="K552" t="s">
        <v>3361</v>
      </c>
      <c r="L552" t="s">
        <v>54</v>
      </c>
      <c r="M552" t="s">
        <v>27</v>
      </c>
      <c r="N552" t="s">
        <v>27</v>
      </c>
      <c r="O552" t="s">
        <v>33</v>
      </c>
      <c r="P552" t="s">
        <v>31</v>
      </c>
      <c r="Q552">
        <v>560</v>
      </c>
      <c r="R552" t="s">
        <v>31</v>
      </c>
      <c r="S552" t="s">
        <v>31</v>
      </c>
      <c r="T552" t="s">
        <v>3362</v>
      </c>
    </row>
    <row r="553" spans="1:20" hidden="1" x14ac:dyDescent="0.3">
      <c r="A553" t="s">
        <v>2228</v>
      </c>
      <c r="B553" t="s">
        <v>28</v>
      </c>
      <c r="C553" t="s">
        <v>29</v>
      </c>
      <c r="D553" t="s">
        <v>189</v>
      </c>
      <c r="E553">
        <v>2005</v>
      </c>
      <c r="F553" t="s">
        <v>31</v>
      </c>
      <c r="G553" t="s">
        <v>31</v>
      </c>
      <c r="H553" t="s">
        <v>2658</v>
      </c>
      <c r="I553" t="s">
        <v>130</v>
      </c>
      <c r="J553" t="s">
        <v>2684</v>
      </c>
      <c r="K553" t="s">
        <v>31</v>
      </c>
      <c r="L553" t="s">
        <v>31</v>
      </c>
      <c r="M553" t="s">
        <v>27</v>
      </c>
      <c r="N553" t="s">
        <v>27</v>
      </c>
      <c r="O553" t="s">
        <v>27</v>
      </c>
      <c r="P553" t="s">
        <v>31</v>
      </c>
      <c r="Q553">
        <v>90</v>
      </c>
      <c r="R553" t="s">
        <v>31</v>
      </c>
      <c r="S553" t="s">
        <v>31</v>
      </c>
      <c r="T553" t="s">
        <v>31</v>
      </c>
    </row>
    <row r="554" spans="1:20" hidden="1" x14ac:dyDescent="0.3">
      <c r="A554" t="s">
        <v>2229</v>
      </c>
      <c r="B554" t="s">
        <v>51</v>
      </c>
      <c r="C554" t="s">
        <v>37</v>
      </c>
      <c r="D554" t="s">
        <v>121</v>
      </c>
      <c r="E554">
        <v>2005</v>
      </c>
      <c r="F554" t="s">
        <v>31</v>
      </c>
      <c r="G554" t="s">
        <v>31</v>
      </c>
      <c r="H554" t="s">
        <v>2709</v>
      </c>
      <c r="I554" t="s">
        <v>70</v>
      </c>
      <c r="J554" t="s">
        <v>3363</v>
      </c>
      <c r="K554" t="s">
        <v>2649</v>
      </c>
      <c r="L554" t="s">
        <v>31</v>
      </c>
      <c r="M554" t="s">
        <v>27</v>
      </c>
      <c r="N554" t="s">
        <v>27</v>
      </c>
      <c r="O554" t="s">
        <v>27</v>
      </c>
      <c r="P554" t="s">
        <v>31</v>
      </c>
      <c r="Q554" t="s">
        <v>31</v>
      </c>
      <c r="R554" t="s">
        <v>31</v>
      </c>
      <c r="S554" t="s">
        <v>31</v>
      </c>
      <c r="T554" t="s">
        <v>31</v>
      </c>
    </row>
    <row r="555" spans="1:20" hidden="1" x14ac:dyDescent="0.3">
      <c r="A555" t="s">
        <v>2230</v>
      </c>
      <c r="B555" t="s">
        <v>51</v>
      </c>
      <c r="C555" t="s">
        <v>2655</v>
      </c>
      <c r="D555" t="s">
        <v>134</v>
      </c>
      <c r="E555">
        <v>2005</v>
      </c>
      <c r="F555" t="s">
        <v>31</v>
      </c>
      <c r="G555" t="s">
        <v>3364</v>
      </c>
      <c r="H555" t="s">
        <v>2719</v>
      </c>
      <c r="I555" t="s">
        <v>90</v>
      </c>
      <c r="J555" t="s">
        <v>3365</v>
      </c>
      <c r="K555" t="s">
        <v>2649</v>
      </c>
      <c r="L555" t="s">
        <v>31</v>
      </c>
      <c r="M555" t="s">
        <v>27</v>
      </c>
      <c r="N555" t="s">
        <v>27</v>
      </c>
      <c r="O555" t="s">
        <v>33</v>
      </c>
      <c r="P555" t="s">
        <v>31</v>
      </c>
      <c r="Q555" t="s">
        <v>31</v>
      </c>
      <c r="R555" t="s">
        <v>31</v>
      </c>
      <c r="S555" t="s">
        <v>31</v>
      </c>
      <c r="T555" t="s">
        <v>31</v>
      </c>
    </row>
    <row r="556" spans="1:20" hidden="1" x14ac:dyDescent="0.3">
      <c r="A556" t="s">
        <v>2231</v>
      </c>
      <c r="B556" t="s">
        <v>91</v>
      </c>
      <c r="C556" t="s">
        <v>92</v>
      </c>
      <c r="D556" t="s">
        <v>93</v>
      </c>
      <c r="E556">
        <v>2005</v>
      </c>
      <c r="F556">
        <v>50</v>
      </c>
      <c r="G556" t="s">
        <v>3285</v>
      </c>
      <c r="H556" t="s">
        <v>2678</v>
      </c>
      <c r="I556" t="s">
        <v>53</v>
      </c>
      <c r="J556" t="s">
        <v>3366</v>
      </c>
      <c r="K556" t="s">
        <v>31</v>
      </c>
      <c r="L556" t="s">
        <v>31</v>
      </c>
      <c r="M556" t="s">
        <v>27</v>
      </c>
      <c r="N556" t="s">
        <v>27</v>
      </c>
      <c r="O556" t="s">
        <v>27</v>
      </c>
      <c r="P556" t="s">
        <v>31</v>
      </c>
      <c r="Q556">
        <v>7.8</v>
      </c>
      <c r="R556">
        <v>-19.986999999999998</v>
      </c>
      <c r="S556">
        <v>-69.197000000000003</v>
      </c>
      <c r="T556" t="s">
        <v>31</v>
      </c>
    </row>
    <row r="557" spans="1:20" hidden="1" x14ac:dyDescent="0.3">
      <c r="A557" t="s">
        <v>2232</v>
      </c>
      <c r="B557" t="s">
        <v>51</v>
      </c>
      <c r="C557" t="s">
        <v>37</v>
      </c>
      <c r="D557" t="s">
        <v>121</v>
      </c>
      <c r="E557">
        <v>2005</v>
      </c>
      <c r="F557" t="s">
        <v>31</v>
      </c>
      <c r="G557" t="s">
        <v>3314</v>
      </c>
      <c r="H557" t="s">
        <v>2753</v>
      </c>
      <c r="I557" t="s">
        <v>49</v>
      </c>
      <c r="J557" t="s">
        <v>3367</v>
      </c>
      <c r="K557" t="s">
        <v>2664</v>
      </c>
      <c r="L557" t="s">
        <v>54</v>
      </c>
      <c r="M557" t="s">
        <v>27</v>
      </c>
      <c r="N557" t="s">
        <v>27</v>
      </c>
      <c r="O557" t="s">
        <v>27</v>
      </c>
      <c r="P557" t="s">
        <v>31</v>
      </c>
      <c r="Q557" t="s">
        <v>31</v>
      </c>
      <c r="R557" t="s">
        <v>31</v>
      </c>
      <c r="S557" t="s">
        <v>31</v>
      </c>
      <c r="T557" t="s">
        <v>31</v>
      </c>
    </row>
    <row r="558" spans="1:20" hidden="1" x14ac:dyDescent="0.3">
      <c r="A558" t="s">
        <v>2233</v>
      </c>
      <c r="B558" t="s">
        <v>51</v>
      </c>
      <c r="C558" t="s">
        <v>37</v>
      </c>
      <c r="D558" t="s">
        <v>121</v>
      </c>
      <c r="E558">
        <v>2005</v>
      </c>
      <c r="F558" t="s">
        <v>31</v>
      </c>
      <c r="G558" t="s">
        <v>31</v>
      </c>
      <c r="H558" t="s">
        <v>2672</v>
      </c>
      <c r="I558" t="s">
        <v>73</v>
      </c>
      <c r="J558" t="s">
        <v>3368</v>
      </c>
      <c r="K558" t="s">
        <v>2649</v>
      </c>
      <c r="L558" t="s">
        <v>54</v>
      </c>
      <c r="M558" t="s">
        <v>27</v>
      </c>
      <c r="N558" t="s">
        <v>27</v>
      </c>
      <c r="O558" t="s">
        <v>33</v>
      </c>
      <c r="P558" t="s">
        <v>31</v>
      </c>
      <c r="Q558">
        <v>242700</v>
      </c>
      <c r="R558" t="s">
        <v>31</v>
      </c>
      <c r="S558" t="s">
        <v>31</v>
      </c>
      <c r="T558" t="s">
        <v>3369</v>
      </c>
    </row>
    <row r="559" spans="1:20" hidden="1" x14ac:dyDescent="0.3">
      <c r="A559" t="s">
        <v>2234</v>
      </c>
      <c r="B559" t="s">
        <v>28</v>
      </c>
      <c r="C559" t="s">
        <v>29</v>
      </c>
      <c r="D559" t="s">
        <v>30</v>
      </c>
      <c r="E559">
        <v>2005</v>
      </c>
      <c r="F559" t="s">
        <v>31</v>
      </c>
      <c r="G559" t="s">
        <v>3288</v>
      </c>
      <c r="H559" t="s">
        <v>3186</v>
      </c>
      <c r="I559" t="s">
        <v>561</v>
      </c>
      <c r="J559" t="s">
        <v>3370</v>
      </c>
      <c r="K559" t="s">
        <v>31</v>
      </c>
      <c r="L559" t="s">
        <v>54</v>
      </c>
      <c r="M559" t="s">
        <v>27</v>
      </c>
      <c r="N559" t="s">
        <v>27</v>
      </c>
      <c r="O559" t="s">
        <v>27</v>
      </c>
      <c r="P559" t="s">
        <v>31</v>
      </c>
      <c r="Q559" t="s">
        <v>31</v>
      </c>
      <c r="R559" t="s">
        <v>31</v>
      </c>
      <c r="S559" t="s">
        <v>31</v>
      </c>
      <c r="T559" t="s">
        <v>31</v>
      </c>
    </row>
    <row r="560" spans="1:20" hidden="1" x14ac:dyDescent="0.3">
      <c r="A560" t="s">
        <v>2235</v>
      </c>
      <c r="B560" t="s">
        <v>28</v>
      </c>
      <c r="C560" t="s">
        <v>29</v>
      </c>
      <c r="D560" t="s">
        <v>189</v>
      </c>
      <c r="E560">
        <v>2005</v>
      </c>
      <c r="F560" t="s">
        <v>31</v>
      </c>
      <c r="G560" t="s">
        <v>31</v>
      </c>
      <c r="H560" t="s">
        <v>2730</v>
      </c>
      <c r="I560" t="s">
        <v>57</v>
      </c>
      <c r="J560" t="s">
        <v>3371</v>
      </c>
      <c r="K560" t="s">
        <v>31</v>
      </c>
      <c r="L560" t="s">
        <v>31</v>
      </c>
      <c r="M560" t="s">
        <v>33</v>
      </c>
      <c r="N560" t="s">
        <v>27</v>
      </c>
      <c r="O560" t="s">
        <v>27</v>
      </c>
      <c r="P560" t="s">
        <v>31</v>
      </c>
      <c r="Q560">
        <v>175</v>
      </c>
      <c r="R560" t="s">
        <v>31</v>
      </c>
      <c r="S560" t="s">
        <v>31</v>
      </c>
      <c r="T560" t="s">
        <v>31</v>
      </c>
    </row>
    <row r="561" spans="1:20" hidden="1" x14ac:dyDescent="0.3">
      <c r="A561" t="s">
        <v>2236</v>
      </c>
      <c r="B561" t="s">
        <v>28</v>
      </c>
      <c r="C561" t="s">
        <v>29</v>
      </c>
      <c r="D561" t="s">
        <v>30</v>
      </c>
      <c r="E561">
        <v>2005</v>
      </c>
      <c r="F561">
        <v>125000000</v>
      </c>
      <c r="G561" t="s">
        <v>3372</v>
      </c>
      <c r="H561" t="s">
        <v>2645</v>
      </c>
      <c r="I561" t="s">
        <v>34</v>
      </c>
      <c r="J561" t="s">
        <v>3373</v>
      </c>
      <c r="K561" t="s">
        <v>31</v>
      </c>
      <c r="L561" t="s">
        <v>209</v>
      </c>
      <c r="M561" t="s">
        <v>27</v>
      </c>
      <c r="N561" t="s">
        <v>27</v>
      </c>
      <c r="O561" t="s">
        <v>33</v>
      </c>
      <c r="P561" t="s">
        <v>31</v>
      </c>
      <c r="Q561">
        <v>280</v>
      </c>
      <c r="R561" t="s">
        <v>31</v>
      </c>
      <c r="S561" t="s">
        <v>31</v>
      </c>
      <c r="T561" t="s">
        <v>31</v>
      </c>
    </row>
    <row r="562" spans="1:20" hidden="1" x14ac:dyDescent="0.3">
      <c r="A562" t="s">
        <v>2237</v>
      </c>
      <c r="B562" t="s">
        <v>28</v>
      </c>
      <c r="C562" t="s">
        <v>29</v>
      </c>
      <c r="D562" t="s">
        <v>30</v>
      </c>
      <c r="E562">
        <v>2005</v>
      </c>
      <c r="F562">
        <v>10000</v>
      </c>
      <c r="G562" t="s">
        <v>31</v>
      </c>
      <c r="H562" t="s">
        <v>2672</v>
      </c>
      <c r="I562" t="s">
        <v>73</v>
      </c>
      <c r="J562" t="s">
        <v>3374</v>
      </c>
      <c r="K562" t="s">
        <v>31</v>
      </c>
      <c r="L562" t="s">
        <v>37</v>
      </c>
      <c r="M562" t="s">
        <v>27</v>
      </c>
      <c r="N562" t="s">
        <v>27</v>
      </c>
      <c r="O562" t="s">
        <v>27</v>
      </c>
      <c r="P562" t="s">
        <v>31</v>
      </c>
      <c r="Q562">
        <v>65</v>
      </c>
      <c r="R562" t="s">
        <v>31</v>
      </c>
      <c r="S562" t="s">
        <v>31</v>
      </c>
      <c r="T562" t="s">
        <v>31</v>
      </c>
    </row>
    <row r="563" spans="1:20" hidden="1" x14ac:dyDescent="0.3">
      <c r="A563" t="s">
        <v>2238</v>
      </c>
      <c r="B563" t="s">
        <v>28</v>
      </c>
      <c r="C563" t="s">
        <v>29</v>
      </c>
      <c r="D563" t="s">
        <v>30</v>
      </c>
      <c r="E563">
        <v>2005</v>
      </c>
      <c r="F563">
        <v>20000</v>
      </c>
      <c r="G563" t="s">
        <v>31</v>
      </c>
      <c r="H563" t="s">
        <v>2695</v>
      </c>
      <c r="I563" t="s">
        <v>161</v>
      </c>
      <c r="J563" t="s">
        <v>3375</v>
      </c>
      <c r="K563" t="s">
        <v>31</v>
      </c>
      <c r="L563" t="s">
        <v>31</v>
      </c>
      <c r="M563" t="s">
        <v>27</v>
      </c>
      <c r="N563" t="s">
        <v>27</v>
      </c>
      <c r="O563" t="s">
        <v>27</v>
      </c>
      <c r="P563" t="s">
        <v>31</v>
      </c>
      <c r="Q563" t="s">
        <v>31</v>
      </c>
      <c r="R563" t="s">
        <v>31</v>
      </c>
      <c r="S563" t="s">
        <v>31</v>
      </c>
      <c r="T563" t="s">
        <v>31</v>
      </c>
    </row>
    <row r="564" spans="1:20" hidden="1" x14ac:dyDescent="0.3">
      <c r="A564" t="s">
        <v>2239</v>
      </c>
      <c r="B564" t="s">
        <v>28</v>
      </c>
      <c r="C564" t="s">
        <v>29</v>
      </c>
      <c r="D564" t="s">
        <v>30</v>
      </c>
      <c r="E564">
        <v>2005</v>
      </c>
      <c r="F564">
        <v>100000</v>
      </c>
      <c r="G564" t="s">
        <v>31</v>
      </c>
      <c r="H564" t="s">
        <v>2753</v>
      </c>
      <c r="I564" t="s">
        <v>49</v>
      </c>
      <c r="J564" t="s">
        <v>3376</v>
      </c>
      <c r="K564" t="s">
        <v>31</v>
      </c>
      <c r="L564" t="s">
        <v>54</v>
      </c>
      <c r="M564" t="s">
        <v>27</v>
      </c>
      <c r="N564" t="s">
        <v>27</v>
      </c>
      <c r="O564" t="s">
        <v>27</v>
      </c>
      <c r="P564" t="s">
        <v>31</v>
      </c>
      <c r="Q564" t="s">
        <v>31</v>
      </c>
      <c r="R564" t="s">
        <v>31</v>
      </c>
      <c r="S564" t="s">
        <v>31</v>
      </c>
      <c r="T564" t="s">
        <v>31</v>
      </c>
    </row>
    <row r="565" spans="1:20" hidden="1" x14ac:dyDescent="0.3">
      <c r="A565" t="s">
        <v>2240</v>
      </c>
      <c r="B565" t="s">
        <v>28</v>
      </c>
      <c r="C565" t="s">
        <v>29</v>
      </c>
      <c r="D565" t="s">
        <v>30</v>
      </c>
      <c r="E565">
        <v>2005</v>
      </c>
      <c r="F565">
        <v>355700</v>
      </c>
      <c r="G565" t="s">
        <v>31</v>
      </c>
      <c r="H565" t="s">
        <v>2680</v>
      </c>
      <c r="I565" t="s">
        <v>115</v>
      </c>
      <c r="J565" t="s">
        <v>3377</v>
      </c>
      <c r="K565" t="s">
        <v>31</v>
      </c>
      <c r="L565" t="s">
        <v>54</v>
      </c>
      <c r="M565" t="s">
        <v>27</v>
      </c>
      <c r="N565" t="s">
        <v>27</v>
      </c>
      <c r="O565" t="s">
        <v>27</v>
      </c>
      <c r="P565" t="s">
        <v>31</v>
      </c>
      <c r="Q565" t="s">
        <v>31</v>
      </c>
      <c r="R565" t="s">
        <v>31</v>
      </c>
      <c r="S565" t="s">
        <v>31</v>
      </c>
      <c r="T565" t="s">
        <v>31</v>
      </c>
    </row>
    <row r="566" spans="1:20" hidden="1" x14ac:dyDescent="0.3">
      <c r="A566" t="s">
        <v>2241</v>
      </c>
      <c r="B566" t="s">
        <v>28</v>
      </c>
      <c r="C566" t="s">
        <v>29</v>
      </c>
      <c r="D566" t="s">
        <v>30</v>
      </c>
      <c r="E566">
        <v>2005</v>
      </c>
      <c r="F566" t="s">
        <v>31</v>
      </c>
      <c r="G566" t="s">
        <v>3295</v>
      </c>
      <c r="H566" t="s">
        <v>2804</v>
      </c>
      <c r="I566" t="s">
        <v>102</v>
      </c>
      <c r="J566" t="s">
        <v>31</v>
      </c>
      <c r="K566" t="s">
        <v>31</v>
      </c>
      <c r="L566" t="s">
        <v>31</v>
      </c>
      <c r="M566" t="s">
        <v>33</v>
      </c>
      <c r="N566" t="s">
        <v>27</v>
      </c>
      <c r="O566" t="s">
        <v>27</v>
      </c>
      <c r="P566" t="s">
        <v>31</v>
      </c>
      <c r="Q566" t="s">
        <v>31</v>
      </c>
      <c r="R566" t="s">
        <v>31</v>
      </c>
      <c r="S566" t="s">
        <v>31</v>
      </c>
      <c r="T566" t="s">
        <v>31</v>
      </c>
    </row>
    <row r="567" spans="1:20" hidden="1" x14ac:dyDescent="0.3">
      <c r="A567" t="s">
        <v>2242</v>
      </c>
      <c r="B567" t="s">
        <v>28</v>
      </c>
      <c r="C567" t="s">
        <v>29</v>
      </c>
      <c r="D567" t="s">
        <v>30</v>
      </c>
      <c r="E567">
        <v>2005</v>
      </c>
      <c r="F567">
        <v>700000</v>
      </c>
      <c r="G567" t="s">
        <v>3295</v>
      </c>
      <c r="H567" t="s">
        <v>2716</v>
      </c>
      <c r="I567" t="s">
        <v>242</v>
      </c>
      <c r="J567" t="s">
        <v>3378</v>
      </c>
      <c r="K567" t="s">
        <v>31</v>
      </c>
      <c r="L567" t="s">
        <v>82</v>
      </c>
      <c r="M567" t="s">
        <v>33</v>
      </c>
      <c r="N567" t="s">
        <v>27</v>
      </c>
      <c r="O567" t="s">
        <v>27</v>
      </c>
      <c r="P567" t="s">
        <v>31</v>
      </c>
      <c r="Q567" t="s">
        <v>31</v>
      </c>
      <c r="R567" t="s">
        <v>31</v>
      </c>
      <c r="S567" t="s">
        <v>31</v>
      </c>
      <c r="T567" t="s">
        <v>31</v>
      </c>
    </row>
    <row r="568" spans="1:20" hidden="1" x14ac:dyDescent="0.3">
      <c r="A568" t="s">
        <v>2243</v>
      </c>
      <c r="B568" t="s">
        <v>28</v>
      </c>
      <c r="C568" t="s">
        <v>29</v>
      </c>
      <c r="D568" t="s">
        <v>30</v>
      </c>
      <c r="E568">
        <v>2005</v>
      </c>
      <c r="F568">
        <v>14300000</v>
      </c>
      <c r="G568" t="s">
        <v>3295</v>
      </c>
      <c r="H568" t="s">
        <v>2645</v>
      </c>
      <c r="I568" t="s">
        <v>34</v>
      </c>
      <c r="J568" t="s">
        <v>3379</v>
      </c>
      <c r="K568" t="s">
        <v>31</v>
      </c>
      <c r="L568" t="s">
        <v>382</v>
      </c>
      <c r="M568" t="s">
        <v>27</v>
      </c>
      <c r="N568" t="s">
        <v>27</v>
      </c>
      <c r="O568" t="s">
        <v>33</v>
      </c>
      <c r="P568" t="s">
        <v>31</v>
      </c>
      <c r="Q568">
        <v>165</v>
      </c>
      <c r="R568" t="s">
        <v>31</v>
      </c>
      <c r="S568" t="s">
        <v>31</v>
      </c>
      <c r="T568" t="s">
        <v>31</v>
      </c>
    </row>
    <row r="569" spans="1:20" hidden="1" x14ac:dyDescent="0.3">
      <c r="A569" t="s">
        <v>2244</v>
      </c>
      <c r="B569" t="s">
        <v>51</v>
      </c>
      <c r="C569" t="s">
        <v>37</v>
      </c>
      <c r="D569" t="s">
        <v>121</v>
      </c>
      <c r="E569">
        <v>2005</v>
      </c>
      <c r="F569" t="s">
        <v>31</v>
      </c>
      <c r="G569" t="s">
        <v>31</v>
      </c>
      <c r="H569" t="s">
        <v>2749</v>
      </c>
      <c r="I569" t="s">
        <v>45</v>
      </c>
      <c r="J569" t="s">
        <v>3380</v>
      </c>
      <c r="K569" t="s">
        <v>2649</v>
      </c>
      <c r="L569" t="s">
        <v>54</v>
      </c>
      <c r="M569" t="s">
        <v>27</v>
      </c>
      <c r="N569" t="s">
        <v>27</v>
      </c>
      <c r="O569" t="s">
        <v>27</v>
      </c>
      <c r="P569" t="s">
        <v>31</v>
      </c>
      <c r="Q569" t="s">
        <v>31</v>
      </c>
      <c r="R569" t="s">
        <v>31</v>
      </c>
      <c r="S569" t="s">
        <v>31</v>
      </c>
      <c r="T569" t="s">
        <v>31</v>
      </c>
    </row>
    <row r="570" spans="1:20" hidden="1" x14ac:dyDescent="0.3">
      <c r="A570" t="s">
        <v>2245</v>
      </c>
      <c r="B570" t="s">
        <v>28</v>
      </c>
      <c r="C570" t="s">
        <v>29</v>
      </c>
      <c r="D570" t="s">
        <v>30</v>
      </c>
      <c r="E570">
        <v>2005</v>
      </c>
      <c r="F570" t="s">
        <v>31</v>
      </c>
      <c r="G570" t="s">
        <v>3355</v>
      </c>
      <c r="H570" t="s">
        <v>2647</v>
      </c>
      <c r="I570" t="s">
        <v>47</v>
      </c>
      <c r="J570" t="s">
        <v>3381</v>
      </c>
      <c r="K570" t="s">
        <v>31</v>
      </c>
      <c r="L570" t="s">
        <v>31</v>
      </c>
      <c r="M570" t="s">
        <v>27</v>
      </c>
      <c r="N570" t="s">
        <v>27</v>
      </c>
      <c r="O570" t="s">
        <v>27</v>
      </c>
      <c r="P570" t="s">
        <v>31</v>
      </c>
      <c r="Q570">
        <v>175</v>
      </c>
      <c r="R570" t="s">
        <v>31</v>
      </c>
      <c r="S570" t="s">
        <v>31</v>
      </c>
      <c r="T570" t="s">
        <v>31</v>
      </c>
    </row>
    <row r="571" spans="1:20" hidden="1" x14ac:dyDescent="0.3">
      <c r="A571" t="s">
        <v>2246</v>
      </c>
      <c r="B571" t="s">
        <v>28</v>
      </c>
      <c r="C571" t="s">
        <v>29</v>
      </c>
      <c r="D571" t="s">
        <v>30</v>
      </c>
      <c r="E571">
        <v>2005</v>
      </c>
      <c r="F571" t="s">
        <v>31</v>
      </c>
      <c r="G571" t="s">
        <v>3355</v>
      </c>
      <c r="H571" t="s">
        <v>2753</v>
      </c>
      <c r="I571" t="s">
        <v>49</v>
      </c>
      <c r="J571" t="s">
        <v>3382</v>
      </c>
      <c r="K571" t="s">
        <v>31</v>
      </c>
      <c r="L571" t="s">
        <v>181</v>
      </c>
      <c r="M571" t="s">
        <v>27</v>
      </c>
      <c r="N571" t="s">
        <v>27</v>
      </c>
      <c r="O571" t="s">
        <v>27</v>
      </c>
      <c r="P571" t="s">
        <v>31</v>
      </c>
      <c r="Q571" t="s">
        <v>31</v>
      </c>
      <c r="R571" t="s">
        <v>31</v>
      </c>
      <c r="S571" t="s">
        <v>31</v>
      </c>
      <c r="T571" t="s">
        <v>31</v>
      </c>
    </row>
    <row r="572" spans="1:20" hidden="1" x14ac:dyDescent="0.3">
      <c r="A572" t="s">
        <v>2247</v>
      </c>
      <c r="B572" t="s">
        <v>28</v>
      </c>
      <c r="C572" t="s">
        <v>29</v>
      </c>
      <c r="D572" t="s">
        <v>30</v>
      </c>
      <c r="E572">
        <v>2005</v>
      </c>
      <c r="F572" t="s">
        <v>31</v>
      </c>
      <c r="G572" t="s">
        <v>3383</v>
      </c>
      <c r="H572" t="s">
        <v>2706</v>
      </c>
      <c r="I572" t="s">
        <v>32</v>
      </c>
      <c r="J572" t="s">
        <v>3328</v>
      </c>
      <c r="K572" t="s">
        <v>31</v>
      </c>
      <c r="L572" t="s">
        <v>31</v>
      </c>
      <c r="M572" t="s">
        <v>27</v>
      </c>
      <c r="N572" t="s">
        <v>27</v>
      </c>
      <c r="O572" t="s">
        <v>27</v>
      </c>
      <c r="P572" t="s">
        <v>31</v>
      </c>
      <c r="Q572" t="s">
        <v>31</v>
      </c>
      <c r="R572" t="s">
        <v>31</v>
      </c>
      <c r="S572" t="s">
        <v>31</v>
      </c>
      <c r="T572" t="s">
        <v>31</v>
      </c>
    </row>
    <row r="573" spans="1:20" hidden="1" x14ac:dyDescent="0.3">
      <c r="A573" t="s">
        <v>2248</v>
      </c>
      <c r="B573" t="s">
        <v>28</v>
      </c>
      <c r="C573" t="s">
        <v>29</v>
      </c>
      <c r="D573" t="s">
        <v>30</v>
      </c>
      <c r="E573">
        <v>2005</v>
      </c>
      <c r="F573">
        <v>15500</v>
      </c>
      <c r="G573" t="s">
        <v>3383</v>
      </c>
      <c r="H573" t="s">
        <v>2753</v>
      </c>
      <c r="I573" t="s">
        <v>49</v>
      </c>
      <c r="J573" t="s">
        <v>3384</v>
      </c>
      <c r="K573" t="s">
        <v>31</v>
      </c>
      <c r="L573" t="s">
        <v>82</v>
      </c>
      <c r="M573" t="s">
        <v>33</v>
      </c>
      <c r="N573" t="s">
        <v>27</v>
      </c>
      <c r="O573" t="s">
        <v>33</v>
      </c>
      <c r="P573">
        <v>507</v>
      </c>
      <c r="Q573">
        <v>75</v>
      </c>
      <c r="R573" t="s">
        <v>31</v>
      </c>
      <c r="S573" t="s">
        <v>31</v>
      </c>
      <c r="T573" t="s">
        <v>31</v>
      </c>
    </row>
    <row r="574" spans="1:20" hidden="1" x14ac:dyDescent="0.3">
      <c r="A574" t="s">
        <v>2249</v>
      </c>
      <c r="B574" t="s">
        <v>51</v>
      </c>
      <c r="C574" t="s">
        <v>37</v>
      </c>
      <c r="D574" t="s">
        <v>121</v>
      </c>
      <c r="E574">
        <v>2005</v>
      </c>
      <c r="F574">
        <v>357000</v>
      </c>
      <c r="G574" t="s">
        <v>31</v>
      </c>
      <c r="H574" t="s">
        <v>2739</v>
      </c>
      <c r="I574" t="s">
        <v>77</v>
      </c>
      <c r="J574" t="s">
        <v>3385</v>
      </c>
      <c r="K574" t="s">
        <v>2649</v>
      </c>
      <c r="L574" t="s">
        <v>31</v>
      </c>
      <c r="M574" t="s">
        <v>27</v>
      </c>
      <c r="N574" t="s">
        <v>27</v>
      </c>
      <c r="O574" t="s">
        <v>27</v>
      </c>
      <c r="P574" t="s">
        <v>31</v>
      </c>
      <c r="Q574">
        <v>86680</v>
      </c>
      <c r="R574" t="s">
        <v>31</v>
      </c>
      <c r="S574" t="s">
        <v>31</v>
      </c>
      <c r="T574" t="s">
        <v>3386</v>
      </c>
    </row>
    <row r="575" spans="1:20" hidden="1" x14ac:dyDescent="0.3">
      <c r="A575" t="s">
        <v>2250</v>
      </c>
      <c r="B575" t="s">
        <v>28</v>
      </c>
      <c r="C575" t="s">
        <v>29</v>
      </c>
      <c r="D575" t="s">
        <v>30</v>
      </c>
      <c r="E575">
        <v>2005</v>
      </c>
      <c r="F575" t="s">
        <v>31</v>
      </c>
      <c r="G575" t="s">
        <v>3387</v>
      </c>
      <c r="H575" t="s">
        <v>2680</v>
      </c>
      <c r="I575" t="s">
        <v>115</v>
      </c>
      <c r="J575" t="s">
        <v>2681</v>
      </c>
      <c r="K575" t="s">
        <v>31</v>
      </c>
      <c r="L575" t="s">
        <v>31</v>
      </c>
      <c r="M575" t="s">
        <v>27</v>
      </c>
      <c r="N575" t="s">
        <v>27</v>
      </c>
      <c r="O575" t="s">
        <v>27</v>
      </c>
      <c r="P575" t="s">
        <v>31</v>
      </c>
      <c r="Q575" t="s">
        <v>31</v>
      </c>
      <c r="R575" t="s">
        <v>31</v>
      </c>
      <c r="S575" t="s">
        <v>31</v>
      </c>
      <c r="T575" t="s">
        <v>31</v>
      </c>
    </row>
    <row r="576" spans="1:20" hidden="1" x14ac:dyDescent="0.3">
      <c r="A576" t="s">
        <v>2251</v>
      </c>
      <c r="B576" t="s">
        <v>39</v>
      </c>
      <c r="C576" t="s">
        <v>40</v>
      </c>
      <c r="D576" t="s">
        <v>41</v>
      </c>
      <c r="E576">
        <v>2005</v>
      </c>
      <c r="F576" t="s">
        <v>31</v>
      </c>
      <c r="G576" t="s">
        <v>31</v>
      </c>
      <c r="H576" t="s">
        <v>2888</v>
      </c>
      <c r="I576" t="s">
        <v>75</v>
      </c>
      <c r="J576" t="s">
        <v>3388</v>
      </c>
      <c r="K576" t="s">
        <v>157</v>
      </c>
      <c r="L576" t="s">
        <v>31</v>
      </c>
      <c r="M576" t="s">
        <v>33</v>
      </c>
      <c r="N576" t="s">
        <v>27</v>
      </c>
      <c r="O576" t="s">
        <v>27</v>
      </c>
      <c r="P576" t="s">
        <v>31</v>
      </c>
      <c r="Q576">
        <v>1000</v>
      </c>
      <c r="R576" t="s">
        <v>31</v>
      </c>
      <c r="S576" t="s">
        <v>31</v>
      </c>
      <c r="T576" t="s">
        <v>31</v>
      </c>
    </row>
    <row r="577" spans="1:20" hidden="1" x14ac:dyDescent="0.3">
      <c r="A577" t="s">
        <v>603</v>
      </c>
      <c r="B577" t="s">
        <v>51</v>
      </c>
      <c r="C577" t="s">
        <v>37</v>
      </c>
      <c r="D577" t="s">
        <v>121</v>
      </c>
      <c r="E577">
        <v>2006</v>
      </c>
      <c r="F577">
        <v>169000</v>
      </c>
      <c r="G577" t="s">
        <v>3389</v>
      </c>
      <c r="H577" t="s">
        <v>3306</v>
      </c>
      <c r="I577" t="s">
        <v>604</v>
      </c>
      <c r="J577" t="s">
        <v>3390</v>
      </c>
      <c r="K577" t="s">
        <v>2649</v>
      </c>
      <c r="L577" t="s">
        <v>31</v>
      </c>
      <c r="M577" t="s">
        <v>27</v>
      </c>
      <c r="N577" t="s">
        <v>33</v>
      </c>
      <c r="O577" t="s">
        <v>33</v>
      </c>
      <c r="P577" t="s">
        <v>31</v>
      </c>
      <c r="Q577">
        <v>24224</v>
      </c>
      <c r="R577">
        <v>6.89</v>
      </c>
      <c r="S577">
        <v>-58.66</v>
      </c>
      <c r="T577" t="s">
        <v>3391</v>
      </c>
    </row>
    <row r="578" spans="1:20" hidden="1" x14ac:dyDescent="0.3">
      <c r="A578" t="s">
        <v>605</v>
      </c>
      <c r="B578" t="s">
        <v>51</v>
      </c>
      <c r="C578" t="s">
        <v>37</v>
      </c>
      <c r="D578" t="s">
        <v>121</v>
      </c>
      <c r="E578">
        <v>2006</v>
      </c>
      <c r="F578" t="s">
        <v>31</v>
      </c>
      <c r="G578" t="s">
        <v>31</v>
      </c>
      <c r="H578" t="s">
        <v>2678</v>
      </c>
      <c r="I578" t="s">
        <v>53</v>
      </c>
      <c r="J578" t="s">
        <v>3392</v>
      </c>
      <c r="K578" t="s">
        <v>3393</v>
      </c>
      <c r="L578" t="s">
        <v>181</v>
      </c>
      <c r="M578" t="s">
        <v>27</v>
      </c>
      <c r="N578" t="s">
        <v>27</v>
      </c>
      <c r="O578" t="s">
        <v>27</v>
      </c>
      <c r="P578" t="s">
        <v>31</v>
      </c>
      <c r="Q578" t="s">
        <v>31</v>
      </c>
      <c r="R578" t="s">
        <v>31</v>
      </c>
      <c r="S578" t="s">
        <v>31</v>
      </c>
      <c r="T578" t="s">
        <v>31</v>
      </c>
    </row>
    <row r="579" spans="1:20" hidden="1" x14ac:dyDescent="0.3">
      <c r="A579" t="s">
        <v>606</v>
      </c>
      <c r="B579" t="s">
        <v>91</v>
      </c>
      <c r="C579" t="s">
        <v>2712</v>
      </c>
      <c r="D579" t="s">
        <v>105</v>
      </c>
      <c r="E579">
        <v>2006</v>
      </c>
      <c r="F579" t="s">
        <v>31</v>
      </c>
      <c r="G579" t="s">
        <v>3394</v>
      </c>
      <c r="H579" t="s">
        <v>2647</v>
      </c>
      <c r="I579" t="s">
        <v>47</v>
      </c>
      <c r="J579" t="s">
        <v>3395</v>
      </c>
      <c r="K579" t="s">
        <v>31</v>
      </c>
      <c r="L579" t="s">
        <v>31</v>
      </c>
      <c r="M579" t="s">
        <v>27</v>
      </c>
      <c r="N579" t="s">
        <v>27</v>
      </c>
      <c r="O579" t="s">
        <v>27</v>
      </c>
      <c r="P579">
        <v>248</v>
      </c>
      <c r="Q579" t="s">
        <v>31</v>
      </c>
      <c r="R579" t="s">
        <v>31</v>
      </c>
      <c r="S579" t="s">
        <v>31</v>
      </c>
      <c r="T579" t="s">
        <v>31</v>
      </c>
    </row>
    <row r="580" spans="1:20" hidden="1" x14ac:dyDescent="0.3">
      <c r="A580" t="s">
        <v>607</v>
      </c>
      <c r="B580" t="s">
        <v>28</v>
      </c>
      <c r="C580" t="s">
        <v>29</v>
      </c>
      <c r="D580" t="s">
        <v>65</v>
      </c>
      <c r="E580">
        <v>2006</v>
      </c>
      <c r="F580">
        <v>600000</v>
      </c>
      <c r="G580" t="s">
        <v>3396</v>
      </c>
      <c r="H580" t="s">
        <v>2645</v>
      </c>
      <c r="I580" t="s">
        <v>34</v>
      </c>
      <c r="J580" t="s">
        <v>3397</v>
      </c>
      <c r="K580" t="s">
        <v>31</v>
      </c>
      <c r="L580" t="s">
        <v>65</v>
      </c>
      <c r="M580" t="s">
        <v>27</v>
      </c>
      <c r="N580" t="s">
        <v>27</v>
      </c>
      <c r="O580" t="s">
        <v>27</v>
      </c>
      <c r="P580" t="s">
        <v>31</v>
      </c>
      <c r="Q580" t="s">
        <v>31</v>
      </c>
      <c r="R580" t="s">
        <v>31</v>
      </c>
      <c r="S580" t="s">
        <v>31</v>
      </c>
      <c r="T580" t="s">
        <v>31</v>
      </c>
    </row>
    <row r="581" spans="1:20" hidden="1" x14ac:dyDescent="0.3">
      <c r="A581" t="s">
        <v>608</v>
      </c>
      <c r="B581" t="s">
        <v>51</v>
      </c>
      <c r="C581" t="s">
        <v>37</v>
      </c>
      <c r="D581" t="s">
        <v>52</v>
      </c>
      <c r="E581">
        <v>2006</v>
      </c>
      <c r="F581" t="s">
        <v>31</v>
      </c>
      <c r="G581" t="s">
        <v>31</v>
      </c>
      <c r="H581" t="s">
        <v>2658</v>
      </c>
      <c r="I581" t="s">
        <v>130</v>
      </c>
      <c r="J581" t="s">
        <v>3398</v>
      </c>
      <c r="K581" t="s">
        <v>31</v>
      </c>
      <c r="L581" t="s">
        <v>54</v>
      </c>
      <c r="M581" t="s">
        <v>27</v>
      </c>
      <c r="N581" t="s">
        <v>27</v>
      </c>
      <c r="O581" t="s">
        <v>27</v>
      </c>
      <c r="P581" t="s">
        <v>31</v>
      </c>
      <c r="Q581" t="s">
        <v>31</v>
      </c>
      <c r="R581" t="s">
        <v>31</v>
      </c>
      <c r="S581" t="s">
        <v>31</v>
      </c>
      <c r="T581" t="s">
        <v>31</v>
      </c>
    </row>
    <row r="582" spans="1:20" hidden="1" x14ac:dyDescent="0.3">
      <c r="A582" t="s">
        <v>609</v>
      </c>
      <c r="B582" t="s">
        <v>51</v>
      </c>
      <c r="C582" t="s">
        <v>37</v>
      </c>
      <c r="D582" t="s">
        <v>121</v>
      </c>
      <c r="E582">
        <v>2006</v>
      </c>
      <c r="F582" t="s">
        <v>31</v>
      </c>
      <c r="G582" t="s">
        <v>31</v>
      </c>
      <c r="H582" t="s">
        <v>2739</v>
      </c>
      <c r="I582" t="s">
        <v>77</v>
      </c>
      <c r="J582" t="s">
        <v>3399</v>
      </c>
      <c r="K582" t="s">
        <v>2839</v>
      </c>
      <c r="L582" t="s">
        <v>31</v>
      </c>
      <c r="M582" t="s">
        <v>27</v>
      </c>
      <c r="N582" t="s">
        <v>27</v>
      </c>
      <c r="O582" t="s">
        <v>27</v>
      </c>
      <c r="P582" t="s">
        <v>31</v>
      </c>
      <c r="Q582">
        <v>3210</v>
      </c>
      <c r="R582">
        <v>67.930000000000007</v>
      </c>
      <c r="S582">
        <v>-99.99</v>
      </c>
      <c r="T582" t="s">
        <v>3400</v>
      </c>
    </row>
    <row r="583" spans="1:20" hidden="1" x14ac:dyDescent="0.3">
      <c r="A583" t="s">
        <v>610</v>
      </c>
      <c r="B583" t="s">
        <v>28</v>
      </c>
      <c r="C583" t="s">
        <v>29</v>
      </c>
      <c r="D583" t="s">
        <v>30</v>
      </c>
      <c r="E583">
        <v>2006</v>
      </c>
      <c r="F583" t="s">
        <v>31</v>
      </c>
      <c r="G583" t="s">
        <v>31</v>
      </c>
      <c r="H583" t="s">
        <v>2716</v>
      </c>
      <c r="I583" t="s">
        <v>242</v>
      </c>
      <c r="J583" t="s">
        <v>3401</v>
      </c>
      <c r="K583" t="s">
        <v>31</v>
      </c>
      <c r="L583" t="s">
        <v>37</v>
      </c>
      <c r="M583" t="s">
        <v>27</v>
      </c>
      <c r="N583" t="s">
        <v>27</v>
      </c>
      <c r="O583" t="s">
        <v>27</v>
      </c>
      <c r="P583" t="s">
        <v>31</v>
      </c>
      <c r="Q583">
        <v>75</v>
      </c>
      <c r="R583" t="s">
        <v>31</v>
      </c>
      <c r="S583" t="s">
        <v>31</v>
      </c>
      <c r="T583" t="s">
        <v>31</v>
      </c>
    </row>
    <row r="584" spans="1:20" hidden="1" x14ac:dyDescent="0.3">
      <c r="A584" t="s">
        <v>612</v>
      </c>
      <c r="B584" t="s">
        <v>91</v>
      </c>
      <c r="C584" t="s">
        <v>2712</v>
      </c>
      <c r="D584" t="s">
        <v>105</v>
      </c>
      <c r="E584">
        <v>2006</v>
      </c>
      <c r="F584">
        <v>150000</v>
      </c>
      <c r="G584" t="s">
        <v>3402</v>
      </c>
      <c r="H584" t="s">
        <v>2666</v>
      </c>
      <c r="I584" t="s">
        <v>109</v>
      </c>
      <c r="J584" t="s">
        <v>3403</v>
      </c>
      <c r="K584" t="s">
        <v>31</v>
      </c>
      <c r="L584" t="s">
        <v>31</v>
      </c>
      <c r="M584" t="s">
        <v>33</v>
      </c>
      <c r="N584" t="s">
        <v>33</v>
      </c>
      <c r="O584" t="s">
        <v>33</v>
      </c>
      <c r="P584">
        <v>8040</v>
      </c>
      <c r="Q584" t="s">
        <v>31</v>
      </c>
      <c r="R584">
        <v>-1.4670000000000001</v>
      </c>
      <c r="S584">
        <v>-78.441999999999993</v>
      </c>
      <c r="T584" t="s">
        <v>31</v>
      </c>
    </row>
    <row r="585" spans="1:20" hidden="1" x14ac:dyDescent="0.3">
      <c r="A585" t="s">
        <v>613</v>
      </c>
      <c r="B585" t="s">
        <v>51</v>
      </c>
      <c r="C585" t="s">
        <v>37</v>
      </c>
      <c r="D585" t="s">
        <v>121</v>
      </c>
      <c r="E585">
        <v>2006</v>
      </c>
      <c r="F585" t="s">
        <v>31</v>
      </c>
      <c r="G585" t="s">
        <v>31</v>
      </c>
      <c r="H585" t="s">
        <v>2672</v>
      </c>
      <c r="I585" t="s">
        <v>73</v>
      </c>
      <c r="J585" t="s">
        <v>3404</v>
      </c>
      <c r="K585" t="s">
        <v>2664</v>
      </c>
      <c r="L585" t="s">
        <v>31</v>
      </c>
      <c r="M585" t="s">
        <v>27</v>
      </c>
      <c r="N585" t="s">
        <v>27</v>
      </c>
      <c r="O585" t="s">
        <v>27</v>
      </c>
      <c r="P585" t="s">
        <v>31</v>
      </c>
      <c r="Q585" t="s">
        <v>31</v>
      </c>
      <c r="R585">
        <v>31.76</v>
      </c>
      <c r="S585">
        <v>-106.39</v>
      </c>
      <c r="T585" t="s">
        <v>31</v>
      </c>
    </row>
    <row r="586" spans="1:20" hidden="1" x14ac:dyDescent="0.3">
      <c r="A586" t="s">
        <v>614</v>
      </c>
      <c r="B586" t="s">
        <v>51</v>
      </c>
      <c r="C586" t="s">
        <v>37</v>
      </c>
      <c r="D586" t="s">
        <v>121</v>
      </c>
      <c r="E586">
        <v>2006</v>
      </c>
      <c r="F586">
        <v>100000</v>
      </c>
      <c r="G586" t="s">
        <v>31</v>
      </c>
      <c r="H586" t="s">
        <v>2645</v>
      </c>
      <c r="I586" t="s">
        <v>34</v>
      </c>
      <c r="J586" t="s">
        <v>3405</v>
      </c>
      <c r="K586" t="s">
        <v>2664</v>
      </c>
      <c r="L586" t="s">
        <v>31</v>
      </c>
      <c r="M586" t="s">
        <v>27</v>
      </c>
      <c r="N586" t="s">
        <v>27</v>
      </c>
      <c r="O586" t="s">
        <v>27</v>
      </c>
      <c r="P586" t="s">
        <v>31</v>
      </c>
      <c r="Q586">
        <v>3610</v>
      </c>
      <c r="R586">
        <v>31.76</v>
      </c>
      <c r="S586">
        <v>-106.39</v>
      </c>
      <c r="T586" t="s">
        <v>3406</v>
      </c>
    </row>
    <row r="587" spans="1:20" hidden="1" x14ac:dyDescent="0.3">
      <c r="A587" t="s">
        <v>615</v>
      </c>
      <c r="B587" t="s">
        <v>28</v>
      </c>
      <c r="C587" t="s">
        <v>29</v>
      </c>
      <c r="D587" t="s">
        <v>30</v>
      </c>
      <c r="E587">
        <v>2006</v>
      </c>
      <c r="F587" t="s">
        <v>31</v>
      </c>
      <c r="G587" t="s">
        <v>31</v>
      </c>
      <c r="H587" t="s">
        <v>2749</v>
      </c>
      <c r="I587" t="s">
        <v>45</v>
      </c>
      <c r="J587" t="s">
        <v>3407</v>
      </c>
      <c r="K587" t="s">
        <v>31</v>
      </c>
      <c r="L587" t="s">
        <v>37</v>
      </c>
      <c r="M587" t="s">
        <v>27</v>
      </c>
      <c r="N587" t="s">
        <v>27</v>
      </c>
      <c r="O587" t="s">
        <v>27</v>
      </c>
      <c r="P587" t="s">
        <v>31</v>
      </c>
      <c r="Q587" t="s">
        <v>31</v>
      </c>
      <c r="R587" t="s">
        <v>31</v>
      </c>
      <c r="S587" t="s">
        <v>31</v>
      </c>
      <c r="T587" t="s">
        <v>31</v>
      </c>
    </row>
    <row r="588" spans="1:20" hidden="1" x14ac:dyDescent="0.3">
      <c r="A588" t="s">
        <v>616</v>
      </c>
      <c r="B588" t="s">
        <v>28</v>
      </c>
      <c r="C588" t="s">
        <v>29</v>
      </c>
      <c r="D588" t="s">
        <v>30</v>
      </c>
      <c r="E588">
        <v>2006</v>
      </c>
      <c r="F588">
        <v>2700</v>
      </c>
      <c r="G588" t="s">
        <v>3408</v>
      </c>
      <c r="H588" t="s">
        <v>2672</v>
      </c>
      <c r="I588" t="s">
        <v>73</v>
      </c>
      <c r="J588" t="s">
        <v>3409</v>
      </c>
      <c r="K588" t="s">
        <v>31</v>
      </c>
      <c r="L588" t="s">
        <v>82</v>
      </c>
      <c r="M588" t="s">
        <v>27</v>
      </c>
      <c r="N588" t="s">
        <v>27</v>
      </c>
      <c r="O588" t="s">
        <v>27</v>
      </c>
      <c r="P588" t="s">
        <v>31</v>
      </c>
      <c r="Q588">
        <v>250</v>
      </c>
      <c r="R588">
        <v>24.47</v>
      </c>
      <c r="S588">
        <v>-107.04</v>
      </c>
      <c r="T588" t="s">
        <v>31</v>
      </c>
    </row>
    <row r="589" spans="1:20" hidden="1" x14ac:dyDescent="0.3">
      <c r="A589" t="s">
        <v>617</v>
      </c>
      <c r="B589" t="s">
        <v>39</v>
      </c>
      <c r="C589" t="s">
        <v>40</v>
      </c>
      <c r="D589" t="s">
        <v>59</v>
      </c>
      <c r="E589">
        <v>2006</v>
      </c>
      <c r="F589">
        <v>25000</v>
      </c>
      <c r="G589" t="s">
        <v>31</v>
      </c>
      <c r="H589" t="s">
        <v>2645</v>
      </c>
      <c r="I589" t="s">
        <v>34</v>
      </c>
      <c r="J589" t="s">
        <v>3410</v>
      </c>
      <c r="K589" t="s">
        <v>31</v>
      </c>
      <c r="L589" t="s">
        <v>31</v>
      </c>
      <c r="M589" t="s">
        <v>27</v>
      </c>
      <c r="N589" t="s">
        <v>27</v>
      </c>
      <c r="O589" t="s">
        <v>33</v>
      </c>
      <c r="P589" t="s">
        <v>31</v>
      </c>
      <c r="Q589" t="s">
        <v>31</v>
      </c>
      <c r="R589" t="s">
        <v>31</v>
      </c>
      <c r="S589" t="s">
        <v>31</v>
      </c>
      <c r="T589" t="s">
        <v>31</v>
      </c>
    </row>
    <row r="590" spans="1:20" hidden="1" x14ac:dyDescent="0.3">
      <c r="A590" t="s">
        <v>619</v>
      </c>
      <c r="B590" t="s">
        <v>28</v>
      </c>
      <c r="C590" t="s">
        <v>29</v>
      </c>
      <c r="D590" t="s">
        <v>97</v>
      </c>
      <c r="E590">
        <v>2006</v>
      </c>
      <c r="F590">
        <v>95000</v>
      </c>
      <c r="G590" t="s">
        <v>31</v>
      </c>
      <c r="H590" t="s">
        <v>2645</v>
      </c>
      <c r="I590" t="s">
        <v>34</v>
      </c>
      <c r="J590" t="s">
        <v>3411</v>
      </c>
      <c r="K590" t="s">
        <v>31</v>
      </c>
      <c r="L590" t="s">
        <v>37</v>
      </c>
      <c r="M590" t="s">
        <v>27</v>
      </c>
      <c r="N590" t="s">
        <v>27</v>
      </c>
      <c r="O590" t="s">
        <v>27</v>
      </c>
      <c r="P590" t="s">
        <v>31</v>
      </c>
      <c r="Q590" t="s">
        <v>31</v>
      </c>
      <c r="R590" t="s">
        <v>31</v>
      </c>
      <c r="S590" t="s">
        <v>31</v>
      </c>
      <c r="T590" t="s">
        <v>31</v>
      </c>
    </row>
    <row r="591" spans="1:20" hidden="1" x14ac:dyDescent="0.3">
      <c r="A591" t="s">
        <v>620</v>
      </c>
      <c r="B591" t="s">
        <v>28</v>
      </c>
      <c r="C591" t="s">
        <v>29</v>
      </c>
      <c r="D591" t="s">
        <v>30</v>
      </c>
      <c r="E591">
        <v>2006</v>
      </c>
      <c r="F591" t="s">
        <v>31</v>
      </c>
      <c r="G591" t="s">
        <v>31</v>
      </c>
      <c r="H591" t="s">
        <v>2672</v>
      </c>
      <c r="I591" t="s">
        <v>73</v>
      </c>
      <c r="J591" t="s">
        <v>3412</v>
      </c>
      <c r="K591" t="s">
        <v>31</v>
      </c>
      <c r="L591" t="s">
        <v>37</v>
      </c>
      <c r="M591" t="s">
        <v>27</v>
      </c>
      <c r="N591" t="s">
        <v>27</v>
      </c>
      <c r="O591" t="s">
        <v>27</v>
      </c>
      <c r="P591" t="s">
        <v>31</v>
      </c>
      <c r="Q591" t="s">
        <v>31</v>
      </c>
      <c r="R591">
        <v>24.93</v>
      </c>
      <c r="S591">
        <v>-107.53</v>
      </c>
      <c r="T591" t="s">
        <v>31</v>
      </c>
    </row>
    <row r="592" spans="1:20" hidden="1" x14ac:dyDescent="0.3">
      <c r="A592" t="s">
        <v>621</v>
      </c>
      <c r="B592" t="s">
        <v>51</v>
      </c>
      <c r="C592" t="s">
        <v>37</v>
      </c>
      <c r="D592" t="s">
        <v>121</v>
      </c>
      <c r="E592">
        <v>2006</v>
      </c>
      <c r="F592" t="s">
        <v>31</v>
      </c>
      <c r="G592" t="s">
        <v>31</v>
      </c>
      <c r="H592" t="s">
        <v>2751</v>
      </c>
      <c r="I592" t="s">
        <v>234</v>
      </c>
      <c r="J592" t="s">
        <v>3413</v>
      </c>
      <c r="K592" t="s">
        <v>2649</v>
      </c>
      <c r="L592" t="s">
        <v>54</v>
      </c>
      <c r="M592" t="s">
        <v>27</v>
      </c>
      <c r="N592" t="s">
        <v>27</v>
      </c>
      <c r="O592" t="s">
        <v>27</v>
      </c>
      <c r="P592" t="s">
        <v>31</v>
      </c>
      <c r="Q592" t="s">
        <v>31</v>
      </c>
      <c r="R592" t="s">
        <v>31</v>
      </c>
      <c r="S592" t="s">
        <v>31</v>
      </c>
      <c r="T592" t="s">
        <v>31</v>
      </c>
    </row>
    <row r="593" spans="1:20" hidden="1" x14ac:dyDescent="0.3">
      <c r="A593" t="s">
        <v>622</v>
      </c>
      <c r="B593" t="s">
        <v>91</v>
      </c>
      <c r="C593" t="s">
        <v>92</v>
      </c>
      <c r="D593" t="s">
        <v>93</v>
      </c>
      <c r="E593">
        <v>2006</v>
      </c>
      <c r="F593">
        <v>150000</v>
      </c>
      <c r="G593" t="s">
        <v>3414</v>
      </c>
      <c r="H593" t="s">
        <v>2645</v>
      </c>
      <c r="I593" t="s">
        <v>34</v>
      </c>
      <c r="J593" t="s">
        <v>3415</v>
      </c>
      <c r="K593" t="s">
        <v>31</v>
      </c>
      <c r="L593" t="s">
        <v>214</v>
      </c>
      <c r="M593" t="s">
        <v>27</v>
      </c>
      <c r="N593" t="s">
        <v>27</v>
      </c>
      <c r="O593" t="s">
        <v>27</v>
      </c>
      <c r="P593" t="s">
        <v>31</v>
      </c>
      <c r="Q593">
        <v>6.7</v>
      </c>
      <c r="R593">
        <v>19.878</v>
      </c>
      <c r="S593">
        <v>-155.935</v>
      </c>
      <c r="T593" t="s">
        <v>31</v>
      </c>
    </row>
    <row r="594" spans="1:20" hidden="1" x14ac:dyDescent="0.3">
      <c r="A594" t="s">
        <v>623</v>
      </c>
      <c r="B594" t="s">
        <v>28</v>
      </c>
      <c r="C594" t="s">
        <v>2685</v>
      </c>
      <c r="D594" t="s">
        <v>68</v>
      </c>
      <c r="E594">
        <v>2006</v>
      </c>
      <c r="F594" t="s">
        <v>31</v>
      </c>
      <c r="G594" t="s">
        <v>31</v>
      </c>
      <c r="H594" t="s">
        <v>2680</v>
      </c>
      <c r="I594" t="s">
        <v>115</v>
      </c>
      <c r="J594" t="s">
        <v>3416</v>
      </c>
      <c r="K594" t="s">
        <v>31</v>
      </c>
      <c r="L594" t="s">
        <v>31</v>
      </c>
      <c r="M594" t="s">
        <v>27</v>
      </c>
      <c r="N594" t="s">
        <v>27</v>
      </c>
      <c r="O594" t="s">
        <v>27</v>
      </c>
      <c r="P594" t="s">
        <v>31</v>
      </c>
      <c r="Q594" t="s">
        <v>31</v>
      </c>
      <c r="R594" t="s">
        <v>31</v>
      </c>
      <c r="S594" t="s">
        <v>31</v>
      </c>
      <c r="T594" t="s">
        <v>31</v>
      </c>
    </row>
    <row r="595" spans="1:20" hidden="1" x14ac:dyDescent="0.3">
      <c r="A595" t="s">
        <v>624</v>
      </c>
      <c r="B595" t="s">
        <v>51</v>
      </c>
      <c r="C595" t="s">
        <v>37</v>
      </c>
      <c r="D595" t="s">
        <v>194</v>
      </c>
      <c r="E595">
        <v>2006</v>
      </c>
      <c r="F595" t="s">
        <v>31</v>
      </c>
      <c r="G595" t="s">
        <v>31</v>
      </c>
      <c r="H595" t="s">
        <v>2749</v>
      </c>
      <c r="I595" t="s">
        <v>45</v>
      </c>
      <c r="J595" t="s">
        <v>3108</v>
      </c>
      <c r="K595" t="s">
        <v>3417</v>
      </c>
      <c r="L595" t="s">
        <v>31</v>
      </c>
      <c r="M595" t="s">
        <v>27</v>
      </c>
      <c r="N595" t="s">
        <v>27</v>
      </c>
      <c r="O595" t="s">
        <v>27</v>
      </c>
      <c r="P595" t="s">
        <v>31</v>
      </c>
      <c r="Q595" t="s">
        <v>31</v>
      </c>
      <c r="R595" t="s">
        <v>31</v>
      </c>
      <c r="S595" t="s">
        <v>31</v>
      </c>
      <c r="T595" t="s">
        <v>31</v>
      </c>
    </row>
    <row r="596" spans="1:20" hidden="1" x14ac:dyDescent="0.3">
      <c r="A596" t="s">
        <v>625</v>
      </c>
      <c r="B596" t="s">
        <v>28</v>
      </c>
      <c r="C596" t="s">
        <v>29</v>
      </c>
      <c r="D596" t="s">
        <v>67</v>
      </c>
      <c r="E596">
        <v>2006</v>
      </c>
      <c r="F596">
        <v>360000</v>
      </c>
      <c r="G596" t="s">
        <v>31</v>
      </c>
      <c r="H596" t="s">
        <v>2645</v>
      </c>
      <c r="I596" t="s">
        <v>34</v>
      </c>
      <c r="J596" t="s">
        <v>3418</v>
      </c>
      <c r="K596" t="s">
        <v>31</v>
      </c>
      <c r="L596" t="s">
        <v>31</v>
      </c>
      <c r="M596" t="s">
        <v>27</v>
      </c>
      <c r="N596" t="s">
        <v>27</v>
      </c>
      <c r="O596" t="s">
        <v>33</v>
      </c>
      <c r="P596" t="s">
        <v>31</v>
      </c>
      <c r="Q596" t="s">
        <v>31</v>
      </c>
      <c r="R596" t="s">
        <v>31</v>
      </c>
      <c r="S596" t="s">
        <v>31</v>
      </c>
      <c r="T596" t="s">
        <v>31</v>
      </c>
    </row>
    <row r="597" spans="1:20" hidden="1" x14ac:dyDescent="0.3">
      <c r="A597" t="s">
        <v>626</v>
      </c>
      <c r="B597" t="s">
        <v>43</v>
      </c>
      <c r="C597" t="s">
        <v>2665</v>
      </c>
      <c r="D597" t="s">
        <v>627</v>
      </c>
      <c r="E597">
        <v>2006</v>
      </c>
      <c r="F597" t="s">
        <v>31</v>
      </c>
      <c r="G597" t="s">
        <v>31</v>
      </c>
      <c r="H597" t="s">
        <v>2751</v>
      </c>
      <c r="I597" t="s">
        <v>234</v>
      </c>
      <c r="J597" t="s">
        <v>3419</v>
      </c>
      <c r="K597" t="s">
        <v>31</v>
      </c>
      <c r="L597" t="s">
        <v>31</v>
      </c>
      <c r="M597" t="s">
        <v>27</v>
      </c>
      <c r="N597" t="s">
        <v>27</v>
      </c>
      <c r="O597" t="s">
        <v>27</v>
      </c>
      <c r="P597" t="s">
        <v>31</v>
      </c>
      <c r="Q597" t="s">
        <v>31</v>
      </c>
      <c r="R597" t="s">
        <v>31</v>
      </c>
      <c r="S597" t="s">
        <v>31</v>
      </c>
      <c r="T597" t="s">
        <v>31</v>
      </c>
    </row>
    <row r="598" spans="1:20" hidden="1" x14ac:dyDescent="0.3">
      <c r="A598" t="s">
        <v>629</v>
      </c>
      <c r="B598" t="s">
        <v>39</v>
      </c>
      <c r="C598" t="s">
        <v>157</v>
      </c>
      <c r="D598" t="s">
        <v>157</v>
      </c>
      <c r="E598">
        <v>2006</v>
      </c>
      <c r="F598" t="s">
        <v>31</v>
      </c>
      <c r="G598" t="s">
        <v>31</v>
      </c>
      <c r="H598" t="s">
        <v>2678</v>
      </c>
      <c r="I598" t="s">
        <v>53</v>
      </c>
      <c r="J598" t="s">
        <v>3420</v>
      </c>
      <c r="K598" t="s">
        <v>31</v>
      </c>
      <c r="L598" t="s">
        <v>31</v>
      </c>
      <c r="M598" t="s">
        <v>27</v>
      </c>
      <c r="N598" t="s">
        <v>27</v>
      </c>
      <c r="O598" t="s">
        <v>33</v>
      </c>
      <c r="P598" t="s">
        <v>31</v>
      </c>
      <c r="Q598" t="s">
        <v>31</v>
      </c>
      <c r="R598" t="s">
        <v>31</v>
      </c>
      <c r="S598" t="s">
        <v>31</v>
      </c>
      <c r="T598" t="s">
        <v>31</v>
      </c>
    </row>
    <row r="599" spans="1:20" hidden="1" x14ac:dyDescent="0.3">
      <c r="A599" t="s">
        <v>962</v>
      </c>
      <c r="B599" t="s">
        <v>51</v>
      </c>
      <c r="C599" t="s">
        <v>37</v>
      </c>
      <c r="D599" t="s">
        <v>121</v>
      </c>
      <c r="E599">
        <v>2006</v>
      </c>
      <c r="F599" t="s">
        <v>31</v>
      </c>
      <c r="G599" t="s">
        <v>31</v>
      </c>
      <c r="H599" t="s">
        <v>2669</v>
      </c>
      <c r="I599" t="s">
        <v>111</v>
      </c>
      <c r="J599" t="s">
        <v>3421</v>
      </c>
      <c r="K599" t="s">
        <v>2664</v>
      </c>
      <c r="L599" t="s">
        <v>530</v>
      </c>
      <c r="M599" t="s">
        <v>27</v>
      </c>
      <c r="N599" t="s">
        <v>27</v>
      </c>
      <c r="O599" t="s">
        <v>27</v>
      </c>
      <c r="P599" t="s">
        <v>31</v>
      </c>
      <c r="Q599" t="s">
        <v>31</v>
      </c>
      <c r="R599" t="s">
        <v>31</v>
      </c>
      <c r="S599" t="s">
        <v>31</v>
      </c>
      <c r="T599" t="s">
        <v>31</v>
      </c>
    </row>
    <row r="600" spans="1:20" hidden="1" x14ac:dyDescent="0.3">
      <c r="A600" t="s">
        <v>963</v>
      </c>
      <c r="B600" t="s">
        <v>51</v>
      </c>
      <c r="C600" t="s">
        <v>37</v>
      </c>
      <c r="D600" t="s">
        <v>56</v>
      </c>
      <c r="E600">
        <v>2006</v>
      </c>
      <c r="F600" t="s">
        <v>31</v>
      </c>
      <c r="G600" t="s">
        <v>3422</v>
      </c>
      <c r="H600" t="s">
        <v>2656</v>
      </c>
      <c r="I600" t="s">
        <v>119</v>
      </c>
      <c r="J600" t="s">
        <v>3423</v>
      </c>
      <c r="K600" t="s">
        <v>2652</v>
      </c>
      <c r="L600" t="s">
        <v>31</v>
      </c>
      <c r="M600" t="s">
        <v>27</v>
      </c>
      <c r="N600" t="s">
        <v>27</v>
      </c>
      <c r="O600" t="s">
        <v>27</v>
      </c>
      <c r="P600" t="s">
        <v>31</v>
      </c>
      <c r="Q600">
        <v>9335</v>
      </c>
      <c r="R600">
        <v>-22.56</v>
      </c>
      <c r="S600">
        <v>-43.36</v>
      </c>
      <c r="T600" t="s">
        <v>31</v>
      </c>
    </row>
    <row r="601" spans="1:20" hidden="1" x14ac:dyDescent="0.3">
      <c r="A601" t="s">
        <v>964</v>
      </c>
      <c r="B601" t="s">
        <v>51</v>
      </c>
      <c r="C601" t="s">
        <v>37</v>
      </c>
      <c r="D601" t="s">
        <v>121</v>
      </c>
      <c r="E601">
        <v>2006</v>
      </c>
      <c r="F601">
        <v>35000</v>
      </c>
      <c r="G601" t="s">
        <v>3424</v>
      </c>
      <c r="H601" t="s">
        <v>2669</v>
      </c>
      <c r="I601" t="s">
        <v>111</v>
      </c>
      <c r="J601" t="s">
        <v>3425</v>
      </c>
      <c r="K601" t="s">
        <v>2649</v>
      </c>
      <c r="L601" t="s">
        <v>54</v>
      </c>
      <c r="M601" t="s">
        <v>33</v>
      </c>
      <c r="N601" t="s">
        <v>33</v>
      </c>
      <c r="O601" t="s">
        <v>33</v>
      </c>
      <c r="P601">
        <v>2932</v>
      </c>
      <c r="Q601">
        <v>955800</v>
      </c>
      <c r="R601">
        <v>-16.03</v>
      </c>
      <c r="S601">
        <v>-63.43</v>
      </c>
      <c r="T601" t="s">
        <v>3426</v>
      </c>
    </row>
    <row r="602" spans="1:20" hidden="1" x14ac:dyDescent="0.3">
      <c r="A602" t="s">
        <v>965</v>
      </c>
      <c r="B602" t="s">
        <v>51</v>
      </c>
      <c r="C602" t="s">
        <v>37</v>
      </c>
      <c r="D602" t="s">
        <v>121</v>
      </c>
      <c r="E602">
        <v>2006</v>
      </c>
      <c r="F602">
        <v>2800</v>
      </c>
      <c r="G602" t="s">
        <v>3427</v>
      </c>
      <c r="H602" t="s">
        <v>2666</v>
      </c>
      <c r="I602" t="s">
        <v>109</v>
      </c>
      <c r="J602" t="s">
        <v>3428</v>
      </c>
      <c r="K602" t="s">
        <v>2649</v>
      </c>
      <c r="L602" t="s">
        <v>54</v>
      </c>
      <c r="M602" t="s">
        <v>33</v>
      </c>
      <c r="N602" t="s">
        <v>27</v>
      </c>
      <c r="O602" t="s">
        <v>27</v>
      </c>
      <c r="P602">
        <v>1670</v>
      </c>
      <c r="Q602">
        <v>30150</v>
      </c>
      <c r="R602">
        <v>-2.23</v>
      </c>
      <c r="S602">
        <v>-79.98</v>
      </c>
      <c r="T602" t="s">
        <v>3429</v>
      </c>
    </row>
    <row r="603" spans="1:20" hidden="1" x14ac:dyDescent="0.3">
      <c r="A603" t="s">
        <v>966</v>
      </c>
      <c r="B603" t="s">
        <v>28</v>
      </c>
      <c r="C603" t="s">
        <v>29</v>
      </c>
      <c r="D603" t="s">
        <v>97</v>
      </c>
      <c r="E603">
        <v>2006</v>
      </c>
      <c r="F603">
        <v>1200000</v>
      </c>
      <c r="G603" t="s">
        <v>3430</v>
      </c>
      <c r="H603" t="s">
        <v>2645</v>
      </c>
      <c r="I603" t="s">
        <v>34</v>
      </c>
      <c r="J603" t="s">
        <v>3431</v>
      </c>
      <c r="K603" t="s">
        <v>31</v>
      </c>
      <c r="L603" t="s">
        <v>37</v>
      </c>
      <c r="M603" t="s">
        <v>27</v>
      </c>
      <c r="N603" t="s">
        <v>27</v>
      </c>
      <c r="O603" t="s">
        <v>27</v>
      </c>
      <c r="P603" t="s">
        <v>31</v>
      </c>
      <c r="Q603">
        <v>202</v>
      </c>
      <c r="R603" t="s">
        <v>31</v>
      </c>
      <c r="S603" t="s">
        <v>31</v>
      </c>
      <c r="T603" t="s">
        <v>31</v>
      </c>
    </row>
    <row r="604" spans="1:20" hidden="1" x14ac:dyDescent="0.3">
      <c r="A604" t="s">
        <v>967</v>
      </c>
      <c r="B604" t="s">
        <v>51</v>
      </c>
      <c r="C604" t="s">
        <v>37</v>
      </c>
      <c r="D604" t="s">
        <v>121</v>
      </c>
      <c r="E604">
        <v>2006</v>
      </c>
      <c r="F604" t="s">
        <v>31</v>
      </c>
      <c r="G604" t="s">
        <v>31</v>
      </c>
      <c r="H604" t="s">
        <v>2647</v>
      </c>
      <c r="I604" t="s">
        <v>47</v>
      </c>
      <c r="J604" t="s">
        <v>3432</v>
      </c>
      <c r="K604" t="s">
        <v>31</v>
      </c>
      <c r="L604" t="s">
        <v>405</v>
      </c>
      <c r="M604" t="s">
        <v>33</v>
      </c>
      <c r="N604" t="s">
        <v>27</v>
      </c>
      <c r="O604" t="s">
        <v>27</v>
      </c>
      <c r="P604">
        <v>415</v>
      </c>
      <c r="Q604" t="s">
        <v>31</v>
      </c>
      <c r="R604">
        <v>5.43</v>
      </c>
      <c r="S604">
        <v>-75.599999999999994</v>
      </c>
      <c r="T604" t="s">
        <v>3433</v>
      </c>
    </row>
    <row r="605" spans="1:20" hidden="1" x14ac:dyDescent="0.3">
      <c r="A605" t="s">
        <v>968</v>
      </c>
      <c r="B605" t="s">
        <v>51</v>
      </c>
      <c r="C605" t="s">
        <v>37</v>
      </c>
      <c r="D605" t="s">
        <v>121</v>
      </c>
      <c r="E605">
        <v>2006</v>
      </c>
      <c r="F605" t="s">
        <v>31</v>
      </c>
      <c r="G605" t="s">
        <v>31</v>
      </c>
      <c r="H605" t="s">
        <v>2656</v>
      </c>
      <c r="I605" t="s">
        <v>119</v>
      </c>
      <c r="J605" t="s">
        <v>3434</v>
      </c>
      <c r="K605" t="s">
        <v>3054</v>
      </c>
      <c r="L605" t="s">
        <v>31</v>
      </c>
      <c r="M605" t="s">
        <v>27</v>
      </c>
      <c r="N605" t="s">
        <v>27</v>
      </c>
      <c r="O605" t="s">
        <v>33</v>
      </c>
      <c r="P605" t="s">
        <v>31</v>
      </c>
      <c r="Q605">
        <v>1164000</v>
      </c>
      <c r="R605">
        <v>2.81</v>
      </c>
      <c r="S605">
        <v>-52.29</v>
      </c>
      <c r="T605" t="s">
        <v>3435</v>
      </c>
    </row>
    <row r="606" spans="1:20" hidden="1" x14ac:dyDescent="0.3">
      <c r="A606" t="s">
        <v>969</v>
      </c>
      <c r="B606" t="s">
        <v>28</v>
      </c>
      <c r="C606" t="s">
        <v>29</v>
      </c>
      <c r="D606" t="s">
        <v>99</v>
      </c>
      <c r="E606">
        <v>2006</v>
      </c>
      <c r="F606">
        <v>450000</v>
      </c>
      <c r="G606" t="s">
        <v>31</v>
      </c>
      <c r="H606" t="s">
        <v>2645</v>
      </c>
      <c r="I606" t="s">
        <v>34</v>
      </c>
      <c r="J606" t="s">
        <v>3436</v>
      </c>
      <c r="K606" t="s">
        <v>31</v>
      </c>
      <c r="L606" t="s">
        <v>65</v>
      </c>
      <c r="M606" t="s">
        <v>27</v>
      </c>
      <c r="N606" t="s">
        <v>27</v>
      </c>
      <c r="O606" t="s">
        <v>27</v>
      </c>
      <c r="P606" t="s">
        <v>31</v>
      </c>
      <c r="Q606" t="s">
        <v>31</v>
      </c>
      <c r="R606" t="s">
        <v>31</v>
      </c>
      <c r="S606" t="s">
        <v>31</v>
      </c>
      <c r="T606" t="s">
        <v>31</v>
      </c>
    </row>
    <row r="607" spans="1:20" hidden="1" x14ac:dyDescent="0.3">
      <c r="A607" t="s">
        <v>970</v>
      </c>
      <c r="B607" t="s">
        <v>51</v>
      </c>
      <c r="C607" t="s">
        <v>37</v>
      </c>
      <c r="D607" t="s">
        <v>121</v>
      </c>
      <c r="E607">
        <v>2006</v>
      </c>
      <c r="F607" t="s">
        <v>31</v>
      </c>
      <c r="G607" t="s">
        <v>31</v>
      </c>
      <c r="H607" t="s">
        <v>2739</v>
      </c>
      <c r="I607" t="s">
        <v>77</v>
      </c>
      <c r="J607" t="s">
        <v>3437</v>
      </c>
      <c r="K607" t="s">
        <v>3438</v>
      </c>
      <c r="L607" t="s">
        <v>31</v>
      </c>
      <c r="M607" t="s">
        <v>27</v>
      </c>
      <c r="N607" t="s">
        <v>27</v>
      </c>
      <c r="O607" t="s">
        <v>27</v>
      </c>
      <c r="P607" t="s">
        <v>31</v>
      </c>
      <c r="Q607" t="s">
        <v>31</v>
      </c>
      <c r="R607">
        <v>50.13</v>
      </c>
      <c r="S607">
        <v>-99.99</v>
      </c>
      <c r="T607" t="s">
        <v>3439</v>
      </c>
    </row>
    <row r="608" spans="1:20" hidden="1" x14ac:dyDescent="0.3">
      <c r="A608" t="s">
        <v>971</v>
      </c>
      <c r="B608" t="s">
        <v>51</v>
      </c>
      <c r="C608" t="s">
        <v>37</v>
      </c>
      <c r="D608" t="s">
        <v>121</v>
      </c>
      <c r="E608">
        <v>2006</v>
      </c>
      <c r="F608">
        <v>1000000</v>
      </c>
      <c r="G608" t="s">
        <v>31</v>
      </c>
      <c r="H608" t="s">
        <v>2645</v>
      </c>
      <c r="I608" t="s">
        <v>34</v>
      </c>
      <c r="J608" t="s">
        <v>3440</v>
      </c>
      <c r="K608" t="s">
        <v>3441</v>
      </c>
      <c r="L608" t="s">
        <v>54</v>
      </c>
      <c r="M608" t="s">
        <v>27</v>
      </c>
      <c r="N608" t="s">
        <v>27</v>
      </c>
      <c r="O608" t="s">
        <v>27</v>
      </c>
      <c r="P608" t="s">
        <v>31</v>
      </c>
      <c r="Q608">
        <v>122600</v>
      </c>
      <c r="R608">
        <v>40.409999999999997</v>
      </c>
      <c r="S608">
        <v>-75.78</v>
      </c>
      <c r="T608" t="s">
        <v>31</v>
      </c>
    </row>
    <row r="609" spans="1:20" hidden="1" x14ac:dyDescent="0.3">
      <c r="A609" t="s">
        <v>972</v>
      </c>
      <c r="B609" t="s">
        <v>28</v>
      </c>
      <c r="C609" t="s">
        <v>2685</v>
      </c>
      <c r="D609" t="s">
        <v>95</v>
      </c>
      <c r="E609">
        <v>2006</v>
      </c>
      <c r="F609" t="s">
        <v>31</v>
      </c>
      <c r="G609" t="s">
        <v>31</v>
      </c>
      <c r="H609" t="s">
        <v>2645</v>
      </c>
      <c r="I609" t="s">
        <v>34</v>
      </c>
      <c r="J609" t="s">
        <v>3442</v>
      </c>
      <c r="K609" t="s">
        <v>31</v>
      </c>
      <c r="L609" t="s">
        <v>31</v>
      </c>
      <c r="M609" t="s">
        <v>27</v>
      </c>
      <c r="N609" t="s">
        <v>27</v>
      </c>
      <c r="O609" t="s">
        <v>33</v>
      </c>
      <c r="P609" t="s">
        <v>31</v>
      </c>
      <c r="Q609">
        <v>44</v>
      </c>
      <c r="R609" t="s">
        <v>31</v>
      </c>
      <c r="S609" t="s">
        <v>31</v>
      </c>
      <c r="T609" t="s">
        <v>31</v>
      </c>
    </row>
    <row r="610" spans="1:20" hidden="1" x14ac:dyDescent="0.3">
      <c r="A610" t="s">
        <v>973</v>
      </c>
      <c r="B610" t="s">
        <v>39</v>
      </c>
      <c r="C610" t="s">
        <v>40</v>
      </c>
      <c r="D610" t="s">
        <v>59</v>
      </c>
      <c r="E610">
        <v>2006</v>
      </c>
      <c r="F610">
        <v>25000</v>
      </c>
      <c r="G610" t="s">
        <v>31</v>
      </c>
      <c r="H610" t="s">
        <v>2645</v>
      </c>
      <c r="I610" t="s">
        <v>34</v>
      </c>
      <c r="J610" t="s">
        <v>3443</v>
      </c>
      <c r="K610" t="s">
        <v>31</v>
      </c>
      <c r="L610" t="s">
        <v>31</v>
      </c>
      <c r="M610" t="s">
        <v>27</v>
      </c>
      <c r="N610" t="s">
        <v>27</v>
      </c>
      <c r="O610" t="s">
        <v>33</v>
      </c>
      <c r="P610" t="s">
        <v>31</v>
      </c>
      <c r="Q610" t="s">
        <v>31</v>
      </c>
      <c r="R610" t="s">
        <v>31</v>
      </c>
      <c r="S610" t="s">
        <v>31</v>
      </c>
      <c r="T610" t="s">
        <v>31</v>
      </c>
    </row>
    <row r="611" spans="1:20" hidden="1" x14ac:dyDescent="0.3">
      <c r="A611" t="s">
        <v>974</v>
      </c>
      <c r="B611" t="s">
        <v>51</v>
      </c>
      <c r="C611" t="s">
        <v>37</v>
      </c>
      <c r="D611" t="s">
        <v>121</v>
      </c>
      <c r="E611">
        <v>2006</v>
      </c>
      <c r="F611" t="s">
        <v>31</v>
      </c>
      <c r="G611" t="s">
        <v>31</v>
      </c>
      <c r="H611" t="s">
        <v>2645</v>
      </c>
      <c r="I611" t="s">
        <v>34</v>
      </c>
      <c r="J611" t="s">
        <v>3444</v>
      </c>
      <c r="K611" t="s">
        <v>2649</v>
      </c>
      <c r="L611" t="s">
        <v>31</v>
      </c>
      <c r="M611" t="s">
        <v>27</v>
      </c>
      <c r="N611" t="s">
        <v>27</v>
      </c>
      <c r="O611" t="s">
        <v>27</v>
      </c>
      <c r="P611" t="s">
        <v>31</v>
      </c>
      <c r="Q611">
        <v>57890</v>
      </c>
      <c r="R611">
        <v>47.86</v>
      </c>
      <c r="S611">
        <v>-122.15</v>
      </c>
      <c r="T611" t="s">
        <v>3445</v>
      </c>
    </row>
    <row r="612" spans="1:20" hidden="1" x14ac:dyDescent="0.3">
      <c r="A612" t="s">
        <v>975</v>
      </c>
      <c r="B612" t="s">
        <v>51</v>
      </c>
      <c r="C612" t="s">
        <v>37</v>
      </c>
      <c r="D612" t="s">
        <v>121</v>
      </c>
      <c r="E612">
        <v>2006</v>
      </c>
      <c r="F612" t="s">
        <v>31</v>
      </c>
      <c r="G612" t="s">
        <v>31</v>
      </c>
      <c r="H612" t="s">
        <v>2774</v>
      </c>
      <c r="I612" t="s">
        <v>166</v>
      </c>
      <c r="J612" t="s">
        <v>3446</v>
      </c>
      <c r="K612" t="s">
        <v>3054</v>
      </c>
      <c r="L612" t="s">
        <v>54</v>
      </c>
      <c r="M612" t="s">
        <v>27</v>
      </c>
      <c r="N612" t="s">
        <v>27</v>
      </c>
      <c r="O612" t="s">
        <v>27</v>
      </c>
      <c r="P612" t="s">
        <v>31</v>
      </c>
      <c r="Q612" t="s">
        <v>31</v>
      </c>
      <c r="R612" t="s">
        <v>31</v>
      </c>
      <c r="S612" t="s">
        <v>31</v>
      </c>
      <c r="T612" t="s">
        <v>3447</v>
      </c>
    </row>
    <row r="613" spans="1:20" hidden="1" x14ac:dyDescent="0.3">
      <c r="A613" t="s">
        <v>976</v>
      </c>
      <c r="B613" t="s">
        <v>51</v>
      </c>
      <c r="C613" t="s">
        <v>37</v>
      </c>
      <c r="D613" t="s">
        <v>121</v>
      </c>
      <c r="E613">
        <v>2006</v>
      </c>
      <c r="F613" t="s">
        <v>31</v>
      </c>
      <c r="G613" t="s">
        <v>31</v>
      </c>
      <c r="H613" t="s">
        <v>2709</v>
      </c>
      <c r="I613" t="s">
        <v>70</v>
      </c>
      <c r="J613" t="s">
        <v>3448</v>
      </c>
      <c r="K613" t="s">
        <v>2649</v>
      </c>
      <c r="L613" t="s">
        <v>31</v>
      </c>
      <c r="M613" t="s">
        <v>27</v>
      </c>
      <c r="N613" t="s">
        <v>27</v>
      </c>
      <c r="O613" t="s">
        <v>27</v>
      </c>
      <c r="P613" t="s">
        <v>31</v>
      </c>
      <c r="Q613" t="s">
        <v>31</v>
      </c>
      <c r="R613" t="s">
        <v>31</v>
      </c>
      <c r="S613" t="s">
        <v>31</v>
      </c>
      <c r="T613" t="s">
        <v>31</v>
      </c>
    </row>
    <row r="614" spans="1:20" hidden="1" x14ac:dyDescent="0.3">
      <c r="A614" t="s">
        <v>978</v>
      </c>
      <c r="B614" t="s">
        <v>28</v>
      </c>
      <c r="C614" t="s">
        <v>2685</v>
      </c>
      <c r="D614" t="s">
        <v>68</v>
      </c>
      <c r="E614">
        <v>2006</v>
      </c>
      <c r="F614" t="s">
        <v>31</v>
      </c>
      <c r="G614" t="s">
        <v>31</v>
      </c>
      <c r="H614" t="s">
        <v>2719</v>
      </c>
      <c r="I614" t="s">
        <v>90</v>
      </c>
      <c r="J614" t="s">
        <v>3000</v>
      </c>
      <c r="K614" t="s">
        <v>31</v>
      </c>
      <c r="L614" t="s">
        <v>31</v>
      </c>
      <c r="M614" t="s">
        <v>27</v>
      </c>
      <c r="N614" t="s">
        <v>27</v>
      </c>
      <c r="O614" t="s">
        <v>27</v>
      </c>
      <c r="P614" t="s">
        <v>31</v>
      </c>
      <c r="Q614" t="s">
        <v>31</v>
      </c>
      <c r="R614" t="s">
        <v>31</v>
      </c>
      <c r="S614" t="s">
        <v>31</v>
      </c>
      <c r="T614" t="s">
        <v>31</v>
      </c>
    </row>
    <row r="615" spans="1:20" hidden="1" x14ac:dyDescent="0.3">
      <c r="A615" t="s">
        <v>1552</v>
      </c>
      <c r="B615" t="s">
        <v>51</v>
      </c>
      <c r="C615" t="s">
        <v>37</v>
      </c>
      <c r="D615" t="s">
        <v>121</v>
      </c>
      <c r="E615">
        <v>2006</v>
      </c>
      <c r="F615" t="s">
        <v>31</v>
      </c>
      <c r="G615" t="s">
        <v>31</v>
      </c>
      <c r="H615" t="s">
        <v>2739</v>
      </c>
      <c r="I615" t="s">
        <v>77</v>
      </c>
      <c r="J615" t="s">
        <v>3449</v>
      </c>
      <c r="K615" t="s">
        <v>2664</v>
      </c>
      <c r="L615" t="s">
        <v>31</v>
      </c>
      <c r="M615" t="s">
        <v>27</v>
      </c>
      <c r="N615" t="s">
        <v>27</v>
      </c>
      <c r="O615" t="s">
        <v>33</v>
      </c>
      <c r="P615" t="s">
        <v>31</v>
      </c>
      <c r="Q615">
        <v>730</v>
      </c>
      <c r="R615">
        <v>49.72</v>
      </c>
      <c r="S615">
        <v>-56.05</v>
      </c>
      <c r="T615" t="s">
        <v>31</v>
      </c>
    </row>
    <row r="616" spans="1:20" hidden="1" x14ac:dyDescent="0.3">
      <c r="A616" t="s">
        <v>1553</v>
      </c>
      <c r="B616" t="s">
        <v>91</v>
      </c>
      <c r="C616" t="s">
        <v>2712</v>
      </c>
      <c r="D616" t="s">
        <v>105</v>
      </c>
      <c r="E616">
        <v>2006</v>
      </c>
      <c r="F616" t="s">
        <v>31</v>
      </c>
      <c r="G616" t="s">
        <v>3450</v>
      </c>
      <c r="H616" t="s">
        <v>2666</v>
      </c>
      <c r="I616" t="s">
        <v>109</v>
      </c>
      <c r="J616" t="s">
        <v>3451</v>
      </c>
      <c r="K616" t="s">
        <v>31</v>
      </c>
      <c r="L616" t="s">
        <v>31</v>
      </c>
      <c r="M616" t="s">
        <v>27</v>
      </c>
      <c r="N616" t="s">
        <v>27</v>
      </c>
      <c r="O616" t="s">
        <v>33</v>
      </c>
      <c r="P616" t="s">
        <v>31</v>
      </c>
      <c r="Q616" t="s">
        <v>31</v>
      </c>
      <c r="R616">
        <v>-1.4670000000000001</v>
      </c>
      <c r="S616">
        <v>-78.441999999999993</v>
      </c>
      <c r="T616" t="s">
        <v>31</v>
      </c>
    </row>
    <row r="617" spans="1:20" hidden="1" x14ac:dyDescent="0.3">
      <c r="A617" t="s">
        <v>1554</v>
      </c>
      <c r="B617" t="s">
        <v>51</v>
      </c>
      <c r="C617" t="s">
        <v>37</v>
      </c>
      <c r="D617" t="s">
        <v>121</v>
      </c>
      <c r="E617">
        <v>2006</v>
      </c>
      <c r="F617">
        <v>8000</v>
      </c>
      <c r="G617" t="s">
        <v>31</v>
      </c>
      <c r="H617" t="s">
        <v>2753</v>
      </c>
      <c r="I617" t="s">
        <v>49</v>
      </c>
      <c r="J617" t="s">
        <v>3452</v>
      </c>
      <c r="K617" t="s">
        <v>2664</v>
      </c>
      <c r="L617" t="s">
        <v>31</v>
      </c>
      <c r="M617" t="s">
        <v>27</v>
      </c>
      <c r="N617" t="s">
        <v>27</v>
      </c>
      <c r="O617" t="s">
        <v>27</v>
      </c>
      <c r="P617" t="s">
        <v>31</v>
      </c>
      <c r="Q617">
        <v>9980</v>
      </c>
      <c r="R617" t="s">
        <v>31</v>
      </c>
      <c r="S617" t="s">
        <v>31</v>
      </c>
      <c r="T617" t="s">
        <v>3453</v>
      </c>
    </row>
    <row r="618" spans="1:20" hidden="1" x14ac:dyDescent="0.3">
      <c r="A618" t="s">
        <v>1555</v>
      </c>
      <c r="B618" t="s">
        <v>39</v>
      </c>
      <c r="C618" t="s">
        <v>40</v>
      </c>
      <c r="D618" t="s">
        <v>142</v>
      </c>
      <c r="E618">
        <v>2006</v>
      </c>
      <c r="F618">
        <v>16000</v>
      </c>
      <c r="G618" t="s">
        <v>31</v>
      </c>
      <c r="H618" t="s">
        <v>2645</v>
      </c>
      <c r="I618" t="s">
        <v>34</v>
      </c>
      <c r="J618" t="s">
        <v>3454</v>
      </c>
      <c r="K618" t="s">
        <v>31</v>
      </c>
      <c r="L618" t="s">
        <v>31</v>
      </c>
      <c r="M618" t="s">
        <v>27</v>
      </c>
      <c r="N618" t="s">
        <v>27</v>
      </c>
      <c r="O618" t="s">
        <v>33</v>
      </c>
      <c r="P618" t="s">
        <v>31</v>
      </c>
      <c r="Q618">
        <v>350</v>
      </c>
      <c r="R618" t="s">
        <v>31</v>
      </c>
      <c r="S618" t="s">
        <v>31</v>
      </c>
      <c r="T618" t="s">
        <v>31</v>
      </c>
    </row>
    <row r="619" spans="1:20" hidden="1" x14ac:dyDescent="0.3">
      <c r="A619" t="s">
        <v>1556</v>
      </c>
      <c r="B619" t="s">
        <v>91</v>
      </c>
      <c r="C619" t="s">
        <v>2712</v>
      </c>
      <c r="D619" t="s">
        <v>105</v>
      </c>
      <c r="E619">
        <v>2006</v>
      </c>
      <c r="F619" t="s">
        <v>31</v>
      </c>
      <c r="G619" t="s">
        <v>31</v>
      </c>
      <c r="H619" t="s">
        <v>2647</v>
      </c>
      <c r="I619" t="s">
        <v>47</v>
      </c>
      <c r="J619" t="s">
        <v>3455</v>
      </c>
      <c r="K619" t="s">
        <v>31</v>
      </c>
      <c r="L619" t="s">
        <v>31</v>
      </c>
      <c r="M619" t="s">
        <v>27</v>
      </c>
      <c r="N619" t="s">
        <v>27</v>
      </c>
      <c r="O619" t="s">
        <v>33</v>
      </c>
      <c r="P619" t="s">
        <v>31</v>
      </c>
      <c r="Q619" t="s">
        <v>31</v>
      </c>
      <c r="R619" t="s">
        <v>31</v>
      </c>
      <c r="S619" t="s">
        <v>31</v>
      </c>
      <c r="T619" t="s">
        <v>31</v>
      </c>
    </row>
    <row r="620" spans="1:20" hidden="1" x14ac:dyDescent="0.3">
      <c r="A620" t="s">
        <v>1557</v>
      </c>
      <c r="B620" t="s">
        <v>28</v>
      </c>
      <c r="C620" t="s">
        <v>29</v>
      </c>
      <c r="D620" t="s">
        <v>30</v>
      </c>
      <c r="E620">
        <v>2006</v>
      </c>
      <c r="F620">
        <v>32860</v>
      </c>
      <c r="G620" t="s">
        <v>31</v>
      </c>
      <c r="H620" t="s">
        <v>2645</v>
      </c>
      <c r="I620" t="s">
        <v>34</v>
      </c>
      <c r="J620" t="s">
        <v>3456</v>
      </c>
      <c r="K620" t="s">
        <v>31</v>
      </c>
      <c r="L620" t="s">
        <v>37</v>
      </c>
      <c r="M620" t="s">
        <v>27</v>
      </c>
      <c r="N620" t="s">
        <v>27</v>
      </c>
      <c r="O620" t="s">
        <v>27</v>
      </c>
      <c r="P620" t="s">
        <v>31</v>
      </c>
      <c r="Q620">
        <v>119</v>
      </c>
      <c r="R620">
        <v>34.74</v>
      </c>
      <c r="S620">
        <v>-77.87</v>
      </c>
      <c r="T620" t="s">
        <v>31</v>
      </c>
    </row>
    <row r="621" spans="1:20" hidden="1" x14ac:dyDescent="0.3">
      <c r="A621" t="s">
        <v>1558</v>
      </c>
      <c r="B621" t="s">
        <v>28</v>
      </c>
      <c r="C621" t="s">
        <v>29</v>
      </c>
      <c r="D621" t="s">
        <v>30</v>
      </c>
      <c r="E621">
        <v>2006</v>
      </c>
      <c r="F621" t="s">
        <v>31</v>
      </c>
      <c r="G621" t="s">
        <v>3457</v>
      </c>
      <c r="H621" t="s">
        <v>2672</v>
      </c>
      <c r="I621" t="s">
        <v>73</v>
      </c>
      <c r="J621" t="s">
        <v>3458</v>
      </c>
      <c r="K621" t="s">
        <v>31</v>
      </c>
      <c r="L621" t="s">
        <v>82</v>
      </c>
      <c r="M621" t="s">
        <v>27</v>
      </c>
      <c r="N621" t="s">
        <v>27</v>
      </c>
      <c r="O621" t="s">
        <v>27</v>
      </c>
      <c r="P621" t="s">
        <v>31</v>
      </c>
      <c r="Q621">
        <v>215</v>
      </c>
      <c r="R621">
        <v>25.35</v>
      </c>
      <c r="S621">
        <v>-111.81</v>
      </c>
      <c r="T621" t="s">
        <v>31</v>
      </c>
    </row>
    <row r="622" spans="1:20" hidden="1" x14ac:dyDescent="0.3">
      <c r="A622" t="s">
        <v>1559</v>
      </c>
      <c r="B622" t="s">
        <v>51</v>
      </c>
      <c r="C622" t="s">
        <v>37</v>
      </c>
      <c r="D622" t="s">
        <v>121</v>
      </c>
      <c r="E622">
        <v>2006</v>
      </c>
      <c r="F622" t="s">
        <v>31</v>
      </c>
      <c r="G622" t="s">
        <v>31</v>
      </c>
      <c r="H622" t="s">
        <v>2645</v>
      </c>
      <c r="I622" t="s">
        <v>34</v>
      </c>
      <c r="J622" t="s">
        <v>3459</v>
      </c>
      <c r="K622" t="s">
        <v>2664</v>
      </c>
      <c r="L622" t="s">
        <v>181</v>
      </c>
      <c r="M622" t="s">
        <v>27</v>
      </c>
      <c r="N622" t="s">
        <v>27</v>
      </c>
      <c r="O622" t="s">
        <v>33</v>
      </c>
      <c r="P622" t="s">
        <v>31</v>
      </c>
      <c r="Q622">
        <v>146000</v>
      </c>
      <c r="R622">
        <v>37.21</v>
      </c>
      <c r="S622">
        <v>-87.62</v>
      </c>
      <c r="T622" t="s">
        <v>3460</v>
      </c>
    </row>
    <row r="623" spans="1:20" hidden="1" x14ac:dyDescent="0.3">
      <c r="A623" t="s">
        <v>1560</v>
      </c>
      <c r="B623" t="s">
        <v>28</v>
      </c>
      <c r="C623" t="s">
        <v>29</v>
      </c>
      <c r="D623" t="s">
        <v>67</v>
      </c>
      <c r="E623">
        <v>2006</v>
      </c>
      <c r="F623">
        <v>300000</v>
      </c>
      <c r="G623" t="s">
        <v>31</v>
      </c>
      <c r="H623" t="s">
        <v>2645</v>
      </c>
      <c r="I623" t="s">
        <v>34</v>
      </c>
      <c r="J623" t="s">
        <v>3461</v>
      </c>
      <c r="K623" t="s">
        <v>31</v>
      </c>
      <c r="L623" t="s">
        <v>37</v>
      </c>
      <c r="M623" t="s">
        <v>27</v>
      </c>
      <c r="N623" t="s">
        <v>27</v>
      </c>
      <c r="O623" t="s">
        <v>33</v>
      </c>
      <c r="P623" t="s">
        <v>31</v>
      </c>
      <c r="Q623" t="s">
        <v>31</v>
      </c>
      <c r="R623" t="s">
        <v>31</v>
      </c>
      <c r="S623" t="s">
        <v>31</v>
      </c>
      <c r="T623" t="s">
        <v>31</v>
      </c>
    </row>
    <row r="624" spans="1:20" hidden="1" x14ac:dyDescent="0.3">
      <c r="A624" t="s">
        <v>1561</v>
      </c>
      <c r="B624" t="s">
        <v>51</v>
      </c>
      <c r="C624" t="s">
        <v>37</v>
      </c>
      <c r="D624" t="s">
        <v>121</v>
      </c>
      <c r="E624">
        <v>2006</v>
      </c>
      <c r="F624" t="s">
        <v>31</v>
      </c>
      <c r="G624" t="s">
        <v>3462</v>
      </c>
      <c r="H624" t="s">
        <v>2774</v>
      </c>
      <c r="I624" t="s">
        <v>166</v>
      </c>
      <c r="J624" t="s">
        <v>3463</v>
      </c>
      <c r="K624" t="s">
        <v>2649</v>
      </c>
      <c r="L624" t="s">
        <v>405</v>
      </c>
      <c r="M624" t="s">
        <v>27</v>
      </c>
      <c r="N624" t="s">
        <v>27</v>
      </c>
      <c r="O624" t="s">
        <v>33</v>
      </c>
      <c r="P624">
        <v>173</v>
      </c>
      <c r="Q624">
        <v>17730</v>
      </c>
      <c r="R624">
        <v>8.9</v>
      </c>
      <c r="S624">
        <v>-78.709999999999994</v>
      </c>
      <c r="T624" t="s">
        <v>31</v>
      </c>
    </row>
    <row r="625" spans="1:20" hidden="1" x14ac:dyDescent="0.3">
      <c r="A625" t="s">
        <v>1562</v>
      </c>
      <c r="B625" t="s">
        <v>51</v>
      </c>
      <c r="C625" t="s">
        <v>37</v>
      </c>
      <c r="D625" t="s">
        <v>56</v>
      </c>
      <c r="E625">
        <v>2006</v>
      </c>
      <c r="F625" t="s">
        <v>31</v>
      </c>
      <c r="G625" t="s">
        <v>31</v>
      </c>
      <c r="H625" t="s">
        <v>2749</v>
      </c>
      <c r="I625" t="s">
        <v>45</v>
      </c>
      <c r="J625" t="s">
        <v>3464</v>
      </c>
      <c r="K625" t="s">
        <v>2649</v>
      </c>
      <c r="L625" t="s">
        <v>31</v>
      </c>
      <c r="M625" t="s">
        <v>27</v>
      </c>
      <c r="N625" t="s">
        <v>27</v>
      </c>
      <c r="O625" t="s">
        <v>27</v>
      </c>
      <c r="P625">
        <v>65</v>
      </c>
      <c r="Q625">
        <v>6300</v>
      </c>
      <c r="R625">
        <v>18.5</v>
      </c>
      <c r="S625">
        <v>-73.48</v>
      </c>
      <c r="T625" t="s">
        <v>31</v>
      </c>
    </row>
    <row r="626" spans="1:20" hidden="1" x14ac:dyDescent="0.3">
      <c r="A626" t="s">
        <v>1563</v>
      </c>
      <c r="B626" t="s">
        <v>28</v>
      </c>
      <c r="C626" t="s">
        <v>29</v>
      </c>
      <c r="D626" t="s">
        <v>67</v>
      </c>
      <c r="E626">
        <v>2006</v>
      </c>
      <c r="F626" t="s">
        <v>31</v>
      </c>
      <c r="G626" t="s">
        <v>31</v>
      </c>
      <c r="H626" t="s">
        <v>2645</v>
      </c>
      <c r="I626" t="s">
        <v>34</v>
      </c>
      <c r="J626" t="s">
        <v>3465</v>
      </c>
      <c r="K626" t="s">
        <v>31</v>
      </c>
      <c r="L626" t="s">
        <v>31</v>
      </c>
      <c r="M626" t="s">
        <v>27</v>
      </c>
      <c r="N626" t="s">
        <v>27</v>
      </c>
      <c r="O626" t="s">
        <v>33</v>
      </c>
      <c r="P626" t="s">
        <v>31</v>
      </c>
      <c r="Q626" t="s">
        <v>31</v>
      </c>
      <c r="R626" t="s">
        <v>31</v>
      </c>
      <c r="S626" t="s">
        <v>31</v>
      </c>
      <c r="T626" t="s">
        <v>31</v>
      </c>
    </row>
    <row r="627" spans="1:20" hidden="1" x14ac:dyDescent="0.3">
      <c r="A627" t="s">
        <v>1564</v>
      </c>
      <c r="B627" t="s">
        <v>28</v>
      </c>
      <c r="C627" t="s">
        <v>2685</v>
      </c>
      <c r="D627" t="s">
        <v>68</v>
      </c>
      <c r="E627">
        <v>2006</v>
      </c>
      <c r="F627" t="s">
        <v>31</v>
      </c>
      <c r="G627" t="s">
        <v>31</v>
      </c>
      <c r="H627" t="s">
        <v>2672</v>
      </c>
      <c r="I627" t="s">
        <v>73</v>
      </c>
      <c r="J627" t="s">
        <v>3466</v>
      </c>
      <c r="K627" t="s">
        <v>31</v>
      </c>
      <c r="L627" t="s">
        <v>31</v>
      </c>
      <c r="M627" t="s">
        <v>27</v>
      </c>
      <c r="N627" t="s">
        <v>27</v>
      </c>
      <c r="O627" t="s">
        <v>27</v>
      </c>
      <c r="P627" t="s">
        <v>31</v>
      </c>
      <c r="Q627" t="s">
        <v>31</v>
      </c>
      <c r="R627" t="s">
        <v>31</v>
      </c>
      <c r="S627" t="s">
        <v>31</v>
      </c>
      <c r="T627" t="s">
        <v>31</v>
      </c>
    </row>
    <row r="628" spans="1:20" hidden="1" x14ac:dyDescent="0.3">
      <c r="A628" t="s">
        <v>1565</v>
      </c>
      <c r="B628" t="s">
        <v>43</v>
      </c>
      <c r="C628" t="s">
        <v>2665</v>
      </c>
      <c r="D628" t="s">
        <v>114</v>
      </c>
      <c r="E628">
        <v>2006</v>
      </c>
      <c r="F628" t="s">
        <v>31</v>
      </c>
      <c r="G628" t="s">
        <v>31</v>
      </c>
      <c r="H628" t="s">
        <v>2769</v>
      </c>
      <c r="I628" t="s">
        <v>117</v>
      </c>
      <c r="J628" t="s">
        <v>3467</v>
      </c>
      <c r="K628" t="s">
        <v>31</v>
      </c>
      <c r="L628" t="s">
        <v>31</v>
      </c>
      <c r="M628" t="s">
        <v>27</v>
      </c>
      <c r="N628" t="s">
        <v>27</v>
      </c>
      <c r="O628" t="s">
        <v>33</v>
      </c>
      <c r="P628" t="s">
        <v>31</v>
      </c>
      <c r="Q628" t="s">
        <v>31</v>
      </c>
      <c r="R628" t="s">
        <v>31</v>
      </c>
      <c r="S628" t="s">
        <v>31</v>
      </c>
      <c r="T628" t="s">
        <v>31</v>
      </c>
    </row>
    <row r="629" spans="1:20" hidden="1" x14ac:dyDescent="0.3">
      <c r="A629" t="s">
        <v>1566</v>
      </c>
      <c r="B629" t="s">
        <v>28</v>
      </c>
      <c r="C629" t="s">
        <v>29</v>
      </c>
      <c r="D629" t="s">
        <v>189</v>
      </c>
      <c r="E629">
        <v>2006</v>
      </c>
      <c r="F629" t="s">
        <v>31</v>
      </c>
      <c r="G629" t="s">
        <v>31</v>
      </c>
      <c r="H629" t="s">
        <v>2645</v>
      </c>
      <c r="I629" t="s">
        <v>34</v>
      </c>
      <c r="J629" t="s">
        <v>3468</v>
      </c>
      <c r="K629" t="s">
        <v>31</v>
      </c>
      <c r="L629" t="s">
        <v>181</v>
      </c>
      <c r="M629" t="s">
        <v>27</v>
      </c>
      <c r="N629" t="s">
        <v>27</v>
      </c>
      <c r="O629" t="s">
        <v>27</v>
      </c>
      <c r="P629" t="s">
        <v>31</v>
      </c>
      <c r="Q629" t="s">
        <v>31</v>
      </c>
      <c r="R629" t="s">
        <v>31</v>
      </c>
      <c r="S629" t="s">
        <v>31</v>
      </c>
      <c r="T629" t="s">
        <v>31</v>
      </c>
    </row>
    <row r="630" spans="1:20" hidden="1" x14ac:dyDescent="0.3">
      <c r="A630" t="s">
        <v>1567</v>
      </c>
      <c r="B630" t="s">
        <v>28</v>
      </c>
      <c r="C630" t="s">
        <v>29</v>
      </c>
      <c r="D630" t="s">
        <v>189</v>
      </c>
      <c r="E630">
        <v>2006</v>
      </c>
      <c r="F630" t="s">
        <v>31</v>
      </c>
      <c r="G630" t="s">
        <v>31</v>
      </c>
      <c r="H630" t="s">
        <v>2645</v>
      </c>
      <c r="I630" t="s">
        <v>34</v>
      </c>
      <c r="J630" t="s">
        <v>3469</v>
      </c>
      <c r="K630" t="s">
        <v>31</v>
      </c>
      <c r="L630" t="s">
        <v>31</v>
      </c>
      <c r="M630" t="s">
        <v>27</v>
      </c>
      <c r="N630" t="s">
        <v>27</v>
      </c>
      <c r="O630" t="s">
        <v>27</v>
      </c>
      <c r="P630" t="s">
        <v>31</v>
      </c>
      <c r="Q630" t="s">
        <v>31</v>
      </c>
      <c r="R630" t="s">
        <v>31</v>
      </c>
      <c r="S630" t="s">
        <v>31</v>
      </c>
      <c r="T630" t="s">
        <v>31</v>
      </c>
    </row>
    <row r="631" spans="1:20" hidden="1" x14ac:dyDescent="0.3">
      <c r="A631" t="s">
        <v>1568</v>
      </c>
      <c r="B631" t="s">
        <v>39</v>
      </c>
      <c r="C631" t="s">
        <v>40</v>
      </c>
      <c r="D631" t="s">
        <v>142</v>
      </c>
      <c r="E631">
        <v>2006</v>
      </c>
      <c r="F631">
        <v>150000</v>
      </c>
      <c r="G631" t="s">
        <v>31</v>
      </c>
      <c r="H631" t="s">
        <v>2645</v>
      </c>
      <c r="I631" t="s">
        <v>34</v>
      </c>
      <c r="J631" t="s">
        <v>3470</v>
      </c>
      <c r="K631" t="s">
        <v>31</v>
      </c>
      <c r="L631" t="s">
        <v>31</v>
      </c>
      <c r="M631" t="s">
        <v>27</v>
      </c>
      <c r="N631" t="s">
        <v>27</v>
      </c>
      <c r="O631" t="s">
        <v>27</v>
      </c>
      <c r="P631" t="s">
        <v>31</v>
      </c>
      <c r="Q631" t="s">
        <v>31</v>
      </c>
      <c r="R631" t="s">
        <v>31</v>
      </c>
      <c r="S631" t="s">
        <v>31</v>
      </c>
      <c r="T631" t="s">
        <v>31</v>
      </c>
    </row>
    <row r="632" spans="1:20" hidden="1" x14ac:dyDescent="0.3">
      <c r="A632" t="s">
        <v>2252</v>
      </c>
      <c r="B632" t="s">
        <v>28</v>
      </c>
      <c r="C632" t="s">
        <v>29</v>
      </c>
      <c r="D632" t="s">
        <v>65</v>
      </c>
      <c r="E632">
        <v>2006</v>
      </c>
      <c r="F632">
        <v>1600000</v>
      </c>
      <c r="G632" t="s">
        <v>31</v>
      </c>
      <c r="H632" t="s">
        <v>2645</v>
      </c>
      <c r="I632" t="s">
        <v>34</v>
      </c>
      <c r="J632" t="s">
        <v>3471</v>
      </c>
      <c r="K632" t="s">
        <v>31</v>
      </c>
      <c r="L632" t="s">
        <v>65</v>
      </c>
      <c r="M632" t="s">
        <v>27</v>
      </c>
      <c r="N632" t="s">
        <v>27</v>
      </c>
      <c r="O632" t="s">
        <v>27</v>
      </c>
      <c r="P632" t="s">
        <v>31</v>
      </c>
      <c r="Q632" t="s">
        <v>31</v>
      </c>
      <c r="R632" t="s">
        <v>31</v>
      </c>
      <c r="S632" t="s">
        <v>31</v>
      </c>
      <c r="T632" t="s">
        <v>31</v>
      </c>
    </row>
    <row r="633" spans="1:20" hidden="1" x14ac:dyDescent="0.3">
      <c r="A633" t="s">
        <v>2253</v>
      </c>
      <c r="B633" t="s">
        <v>51</v>
      </c>
      <c r="C633" t="s">
        <v>37</v>
      </c>
      <c r="D633" t="s">
        <v>121</v>
      </c>
      <c r="E633">
        <v>2006</v>
      </c>
      <c r="F633">
        <v>259000</v>
      </c>
      <c r="G633" t="s">
        <v>31</v>
      </c>
      <c r="H633" t="s">
        <v>2645</v>
      </c>
      <c r="I633" t="s">
        <v>34</v>
      </c>
      <c r="J633" t="s">
        <v>3472</v>
      </c>
      <c r="K633" t="s">
        <v>2649</v>
      </c>
      <c r="L633" t="s">
        <v>473</v>
      </c>
      <c r="M633" t="s">
        <v>27</v>
      </c>
      <c r="N633" t="s">
        <v>27</v>
      </c>
      <c r="O633" t="s">
        <v>33</v>
      </c>
      <c r="P633" t="s">
        <v>31</v>
      </c>
      <c r="Q633">
        <v>44110</v>
      </c>
      <c r="R633">
        <v>37.69</v>
      </c>
      <c r="S633">
        <v>-99.99</v>
      </c>
      <c r="T633" t="s">
        <v>3473</v>
      </c>
    </row>
    <row r="634" spans="1:20" hidden="1" x14ac:dyDescent="0.3">
      <c r="A634" t="s">
        <v>2254</v>
      </c>
      <c r="B634" t="s">
        <v>51</v>
      </c>
      <c r="C634" t="s">
        <v>37</v>
      </c>
      <c r="D634" t="s">
        <v>121</v>
      </c>
      <c r="E634">
        <v>2006</v>
      </c>
      <c r="F634">
        <v>12000</v>
      </c>
      <c r="G634" t="s">
        <v>31</v>
      </c>
      <c r="H634" t="s">
        <v>2645</v>
      </c>
      <c r="I634" t="s">
        <v>34</v>
      </c>
      <c r="J634" t="s">
        <v>3474</v>
      </c>
      <c r="K634" t="s">
        <v>2664</v>
      </c>
      <c r="L634" t="s">
        <v>473</v>
      </c>
      <c r="M634" t="s">
        <v>27</v>
      </c>
      <c r="N634" t="s">
        <v>27</v>
      </c>
      <c r="O634" t="s">
        <v>27</v>
      </c>
      <c r="P634" t="s">
        <v>31</v>
      </c>
      <c r="Q634">
        <v>585</v>
      </c>
      <c r="R634">
        <v>22.15</v>
      </c>
      <c r="S634">
        <v>-99.99</v>
      </c>
      <c r="T634" t="s">
        <v>3475</v>
      </c>
    </row>
    <row r="635" spans="1:20" hidden="1" x14ac:dyDescent="0.3">
      <c r="A635" t="s">
        <v>2255</v>
      </c>
      <c r="B635" t="s">
        <v>51</v>
      </c>
      <c r="C635" t="s">
        <v>37</v>
      </c>
      <c r="D635" t="s">
        <v>121</v>
      </c>
      <c r="E635">
        <v>2006</v>
      </c>
      <c r="F635" t="s">
        <v>31</v>
      </c>
      <c r="G635" t="s">
        <v>31</v>
      </c>
      <c r="H635" t="s">
        <v>2739</v>
      </c>
      <c r="I635" t="s">
        <v>77</v>
      </c>
      <c r="J635" t="s">
        <v>3476</v>
      </c>
      <c r="K635" t="s">
        <v>2664</v>
      </c>
      <c r="L635" t="s">
        <v>31</v>
      </c>
      <c r="M635" t="s">
        <v>27</v>
      </c>
      <c r="N635" t="s">
        <v>27</v>
      </c>
      <c r="O635" t="s">
        <v>27</v>
      </c>
      <c r="P635" t="s">
        <v>31</v>
      </c>
      <c r="Q635">
        <v>63270</v>
      </c>
      <c r="R635">
        <v>53.54</v>
      </c>
      <c r="S635">
        <v>-99.99</v>
      </c>
      <c r="T635" t="s">
        <v>3477</v>
      </c>
    </row>
    <row r="636" spans="1:20" hidden="1" x14ac:dyDescent="0.3">
      <c r="A636" t="s">
        <v>2256</v>
      </c>
      <c r="B636" t="s">
        <v>91</v>
      </c>
      <c r="C636" t="s">
        <v>2712</v>
      </c>
      <c r="D636" t="s">
        <v>105</v>
      </c>
      <c r="E636">
        <v>2006</v>
      </c>
      <c r="F636" t="s">
        <v>31</v>
      </c>
      <c r="G636" t="s">
        <v>31</v>
      </c>
      <c r="H636" t="s">
        <v>2678</v>
      </c>
      <c r="I636" t="s">
        <v>53</v>
      </c>
      <c r="J636" t="s">
        <v>3478</v>
      </c>
      <c r="K636" t="s">
        <v>31</v>
      </c>
      <c r="L636" t="s">
        <v>31</v>
      </c>
      <c r="M636" t="s">
        <v>27</v>
      </c>
      <c r="N636" t="s">
        <v>27</v>
      </c>
      <c r="O636" t="s">
        <v>33</v>
      </c>
      <c r="P636">
        <v>61</v>
      </c>
      <c r="Q636" t="s">
        <v>31</v>
      </c>
      <c r="R636">
        <v>-16.355</v>
      </c>
      <c r="S636">
        <v>-70.900000000000006</v>
      </c>
      <c r="T636" t="s">
        <v>31</v>
      </c>
    </row>
    <row r="637" spans="1:20" hidden="1" x14ac:dyDescent="0.3">
      <c r="A637" t="s">
        <v>2257</v>
      </c>
      <c r="B637" t="s">
        <v>51</v>
      </c>
      <c r="C637" t="s">
        <v>2655</v>
      </c>
      <c r="D637" t="s">
        <v>134</v>
      </c>
      <c r="E637">
        <v>2006</v>
      </c>
      <c r="F637" t="s">
        <v>31</v>
      </c>
      <c r="G637" t="s">
        <v>31</v>
      </c>
      <c r="H637" t="s">
        <v>2672</v>
      </c>
      <c r="I637" t="s">
        <v>73</v>
      </c>
      <c r="J637" t="s">
        <v>3479</v>
      </c>
      <c r="K637" t="s">
        <v>31</v>
      </c>
      <c r="L637" t="s">
        <v>31</v>
      </c>
      <c r="M637" t="s">
        <v>27</v>
      </c>
      <c r="N637" t="s">
        <v>27</v>
      </c>
      <c r="O637" t="s">
        <v>27</v>
      </c>
      <c r="P637" t="s">
        <v>31</v>
      </c>
      <c r="Q637" t="s">
        <v>31</v>
      </c>
      <c r="R637" t="s">
        <v>31</v>
      </c>
      <c r="S637" t="s">
        <v>31</v>
      </c>
      <c r="T637" t="s">
        <v>31</v>
      </c>
    </row>
    <row r="638" spans="1:20" hidden="1" x14ac:dyDescent="0.3">
      <c r="A638" t="s">
        <v>2258</v>
      </c>
      <c r="B638" t="s">
        <v>51</v>
      </c>
      <c r="C638" t="s">
        <v>37</v>
      </c>
      <c r="D638" t="s">
        <v>121</v>
      </c>
      <c r="E638">
        <v>2006</v>
      </c>
      <c r="F638" t="s">
        <v>31</v>
      </c>
      <c r="G638" t="s">
        <v>31</v>
      </c>
      <c r="H638" t="s">
        <v>2739</v>
      </c>
      <c r="I638" t="s">
        <v>77</v>
      </c>
      <c r="J638" t="s">
        <v>3480</v>
      </c>
      <c r="K638" t="s">
        <v>2839</v>
      </c>
      <c r="L638" t="s">
        <v>402</v>
      </c>
      <c r="M638" t="s">
        <v>27</v>
      </c>
      <c r="N638" t="s">
        <v>27</v>
      </c>
      <c r="O638" t="s">
        <v>27</v>
      </c>
      <c r="P638" t="s">
        <v>31</v>
      </c>
      <c r="Q638">
        <v>7030</v>
      </c>
      <c r="R638">
        <v>52.53</v>
      </c>
      <c r="S638">
        <v>-82.09</v>
      </c>
      <c r="T638" t="s">
        <v>31</v>
      </c>
    </row>
    <row r="639" spans="1:20" hidden="1" x14ac:dyDescent="0.3">
      <c r="A639" t="s">
        <v>2259</v>
      </c>
      <c r="B639" t="s">
        <v>51</v>
      </c>
      <c r="C639" t="s">
        <v>37</v>
      </c>
      <c r="D639" t="s">
        <v>121</v>
      </c>
      <c r="E639">
        <v>2006</v>
      </c>
      <c r="F639" t="s">
        <v>31</v>
      </c>
      <c r="G639" t="s">
        <v>3481</v>
      </c>
      <c r="H639" t="s">
        <v>3482</v>
      </c>
      <c r="I639" t="s">
        <v>1925</v>
      </c>
      <c r="J639" t="s">
        <v>3483</v>
      </c>
      <c r="K639" t="s">
        <v>2725</v>
      </c>
      <c r="L639" t="s">
        <v>31</v>
      </c>
      <c r="M639" t="s">
        <v>33</v>
      </c>
      <c r="N639" t="s">
        <v>27</v>
      </c>
      <c r="O639" t="s">
        <v>33</v>
      </c>
      <c r="P639">
        <v>7271</v>
      </c>
      <c r="Q639">
        <v>27500</v>
      </c>
      <c r="R639">
        <v>3.42</v>
      </c>
      <c r="S639">
        <v>-56.48</v>
      </c>
      <c r="T639" t="s">
        <v>3484</v>
      </c>
    </row>
    <row r="640" spans="1:20" hidden="1" x14ac:dyDescent="0.3">
      <c r="A640" t="s">
        <v>2260</v>
      </c>
      <c r="B640" t="s">
        <v>51</v>
      </c>
      <c r="C640" t="s">
        <v>37</v>
      </c>
      <c r="D640" t="s">
        <v>121</v>
      </c>
      <c r="E640">
        <v>2006</v>
      </c>
      <c r="F640">
        <v>85000</v>
      </c>
      <c r="G640" t="s">
        <v>31</v>
      </c>
      <c r="H640" t="s">
        <v>2645</v>
      </c>
      <c r="I640" t="s">
        <v>34</v>
      </c>
      <c r="J640" t="s">
        <v>3485</v>
      </c>
      <c r="K640" t="s">
        <v>2649</v>
      </c>
      <c r="L640" t="s">
        <v>181</v>
      </c>
      <c r="M640" t="s">
        <v>27</v>
      </c>
      <c r="N640" t="s">
        <v>27</v>
      </c>
      <c r="O640" t="s">
        <v>33</v>
      </c>
      <c r="P640" t="s">
        <v>31</v>
      </c>
      <c r="Q640">
        <v>42910</v>
      </c>
      <c r="R640">
        <v>43.16</v>
      </c>
      <c r="S640">
        <v>-70.790000000000006</v>
      </c>
      <c r="T640" t="s">
        <v>3486</v>
      </c>
    </row>
    <row r="641" spans="1:20" hidden="1" x14ac:dyDescent="0.3">
      <c r="A641" t="s">
        <v>2261</v>
      </c>
      <c r="B641" t="s">
        <v>51</v>
      </c>
      <c r="C641" t="s">
        <v>37</v>
      </c>
      <c r="D641" t="s">
        <v>121</v>
      </c>
      <c r="E641">
        <v>2006</v>
      </c>
      <c r="F641" t="s">
        <v>31</v>
      </c>
      <c r="G641" t="s">
        <v>31</v>
      </c>
      <c r="H641" t="s">
        <v>2716</v>
      </c>
      <c r="I641" t="s">
        <v>242</v>
      </c>
      <c r="J641" t="s">
        <v>3487</v>
      </c>
      <c r="K641" t="s">
        <v>2649</v>
      </c>
      <c r="L641" t="s">
        <v>31</v>
      </c>
      <c r="M641" t="s">
        <v>27</v>
      </c>
      <c r="N641" t="s">
        <v>27</v>
      </c>
      <c r="O641" t="s">
        <v>27</v>
      </c>
      <c r="P641" t="s">
        <v>31</v>
      </c>
      <c r="Q641" t="s">
        <v>31</v>
      </c>
      <c r="R641" t="s">
        <v>31</v>
      </c>
      <c r="S641" t="s">
        <v>31</v>
      </c>
      <c r="T641" t="s">
        <v>31</v>
      </c>
    </row>
    <row r="642" spans="1:20" hidden="1" x14ac:dyDescent="0.3">
      <c r="A642" t="s">
        <v>2262</v>
      </c>
      <c r="B642" t="s">
        <v>51</v>
      </c>
      <c r="C642" t="s">
        <v>37</v>
      </c>
      <c r="D642" t="s">
        <v>121</v>
      </c>
      <c r="E642">
        <v>2006</v>
      </c>
      <c r="F642">
        <v>7000</v>
      </c>
      <c r="G642" t="s">
        <v>31</v>
      </c>
      <c r="H642" t="s">
        <v>2645</v>
      </c>
      <c r="I642" t="s">
        <v>34</v>
      </c>
      <c r="J642" t="s">
        <v>3488</v>
      </c>
      <c r="K642" t="s">
        <v>3489</v>
      </c>
      <c r="L642" t="s">
        <v>31</v>
      </c>
      <c r="M642" t="s">
        <v>27</v>
      </c>
      <c r="N642" t="s">
        <v>27</v>
      </c>
      <c r="O642" t="s">
        <v>27</v>
      </c>
      <c r="P642" t="s">
        <v>31</v>
      </c>
      <c r="Q642">
        <v>6780</v>
      </c>
      <c r="R642">
        <v>41.41</v>
      </c>
      <c r="S642">
        <v>-86.91</v>
      </c>
      <c r="T642" t="s">
        <v>3490</v>
      </c>
    </row>
    <row r="643" spans="1:20" hidden="1" x14ac:dyDescent="0.3">
      <c r="A643" t="s">
        <v>2263</v>
      </c>
      <c r="B643" t="s">
        <v>51</v>
      </c>
      <c r="C643" t="s">
        <v>37</v>
      </c>
      <c r="D643" t="s">
        <v>121</v>
      </c>
      <c r="E643">
        <v>2006</v>
      </c>
      <c r="F643" t="s">
        <v>31</v>
      </c>
      <c r="G643" t="s">
        <v>3491</v>
      </c>
      <c r="H643" t="s">
        <v>2701</v>
      </c>
      <c r="I643" t="s">
        <v>60</v>
      </c>
      <c r="J643" t="s">
        <v>2954</v>
      </c>
      <c r="K643" t="s">
        <v>2664</v>
      </c>
      <c r="L643" t="s">
        <v>405</v>
      </c>
      <c r="M643" t="s">
        <v>27</v>
      </c>
      <c r="N643" t="s">
        <v>27</v>
      </c>
      <c r="O643" t="s">
        <v>33</v>
      </c>
      <c r="P643" t="s">
        <v>31</v>
      </c>
      <c r="Q643">
        <v>5030</v>
      </c>
      <c r="R643">
        <v>-72.64</v>
      </c>
      <c r="S643">
        <v>-37.26</v>
      </c>
      <c r="T643" t="s">
        <v>3492</v>
      </c>
    </row>
    <row r="644" spans="1:20" hidden="1" x14ac:dyDescent="0.3">
      <c r="A644" t="s">
        <v>2264</v>
      </c>
      <c r="B644" t="s">
        <v>28</v>
      </c>
      <c r="C644" t="s">
        <v>2685</v>
      </c>
      <c r="D644" t="s">
        <v>95</v>
      </c>
      <c r="E644">
        <v>2006</v>
      </c>
      <c r="F644" t="s">
        <v>31</v>
      </c>
      <c r="G644" t="s">
        <v>3493</v>
      </c>
      <c r="H644" t="s">
        <v>2645</v>
      </c>
      <c r="I644" t="s">
        <v>34</v>
      </c>
      <c r="J644" t="s">
        <v>3494</v>
      </c>
      <c r="K644" t="s">
        <v>31</v>
      </c>
      <c r="L644" t="s">
        <v>31</v>
      </c>
      <c r="M644" t="s">
        <v>27</v>
      </c>
      <c r="N644" t="s">
        <v>27</v>
      </c>
      <c r="O644" t="s">
        <v>27</v>
      </c>
      <c r="P644" t="s">
        <v>31</v>
      </c>
      <c r="Q644">
        <v>50</v>
      </c>
      <c r="R644" t="s">
        <v>31</v>
      </c>
      <c r="S644" t="s">
        <v>31</v>
      </c>
      <c r="T644" t="s">
        <v>31</v>
      </c>
    </row>
    <row r="645" spans="1:20" hidden="1" x14ac:dyDescent="0.3">
      <c r="A645" t="s">
        <v>2265</v>
      </c>
      <c r="B645" t="s">
        <v>51</v>
      </c>
      <c r="C645" t="s">
        <v>37</v>
      </c>
      <c r="D645" t="s">
        <v>121</v>
      </c>
      <c r="E645">
        <v>2006</v>
      </c>
      <c r="F645" t="s">
        <v>31</v>
      </c>
      <c r="G645" t="s">
        <v>31</v>
      </c>
      <c r="H645" t="s">
        <v>2645</v>
      </c>
      <c r="I645" t="s">
        <v>34</v>
      </c>
      <c r="J645" t="s">
        <v>3495</v>
      </c>
      <c r="K645" t="s">
        <v>2664</v>
      </c>
      <c r="L645" t="s">
        <v>31</v>
      </c>
      <c r="M645" t="s">
        <v>27</v>
      </c>
      <c r="N645" t="s">
        <v>27</v>
      </c>
      <c r="O645" t="s">
        <v>27</v>
      </c>
      <c r="P645" t="s">
        <v>31</v>
      </c>
      <c r="Q645">
        <v>4720</v>
      </c>
      <c r="R645">
        <v>41.52</v>
      </c>
      <c r="S645">
        <v>-81.09</v>
      </c>
      <c r="T645" t="s">
        <v>3496</v>
      </c>
    </row>
    <row r="646" spans="1:20" hidden="1" x14ac:dyDescent="0.3">
      <c r="A646" t="s">
        <v>2266</v>
      </c>
      <c r="B646" t="s">
        <v>51</v>
      </c>
      <c r="C646" t="s">
        <v>2655</v>
      </c>
      <c r="D646" t="s">
        <v>134</v>
      </c>
      <c r="E646">
        <v>2006</v>
      </c>
      <c r="F646" t="s">
        <v>31</v>
      </c>
      <c r="G646" t="s">
        <v>31</v>
      </c>
      <c r="H646" t="s">
        <v>2672</v>
      </c>
      <c r="I646" t="s">
        <v>73</v>
      </c>
      <c r="J646" t="s">
        <v>3497</v>
      </c>
      <c r="K646" t="s">
        <v>31</v>
      </c>
      <c r="L646" t="s">
        <v>31</v>
      </c>
      <c r="M646" t="s">
        <v>27</v>
      </c>
      <c r="N646" t="s">
        <v>27</v>
      </c>
      <c r="O646" t="s">
        <v>27</v>
      </c>
      <c r="P646" t="s">
        <v>31</v>
      </c>
      <c r="Q646" t="s">
        <v>31</v>
      </c>
      <c r="R646" t="s">
        <v>31</v>
      </c>
      <c r="S646" t="s">
        <v>31</v>
      </c>
      <c r="T646" t="s">
        <v>31</v>
      </c>
    </row>
    <row r="647" spans="1:20" hidden="1" x14ac:dyDescent="0.3">
      <c r="A647" t="s">
        <v>2267</v>
      </c>
      <c r="B647" t="s">
        <v>51</v>
      </c>
      <c r="C647" t="s">
        <v>37</v>
      </c>
      <c r="D647" t="s">
        <v>121</v>
      </c>
      <c r="E647">
        <v>2006</v>
      </c>
      <c r="F647">
        <v>15500</v>
      </c>
      <c r="G647" t="s">
        <v>31</v>
      </c>
      <c r="H647" t="s">
        <v>2645</v>
      </c>
      <c r="I647" t="s">
        <v>34</v>
      </c>
      <c r="J647" t="s">
        <v>2654</v>
      </c>
      <c r="K647" t="s">
        <v>2664</v>
      </c>
      <c r="L647" t="s">
        <v>31</v>
      </c>
      <c r="M647" t="s">
        <v>27</v>
      </c>
      <c r="N647" t="s">
        <v>27</v>
      </c>
      <c r="O647" t="s">
        <v>27</v>
      </c>
      <c r="P647" t="s">
        <v>31</v>
      </c>
      <c r="Q647">
        <v>95940</v>
      </c>
      <c r="R647">
        <v>62.45</v>
      </c>
      <c r="S647">
        <v>-99.99</v>
      </c>
      <c r="T647" t="s">
        <v>3498</v>
      </c>
    </row>
    <row r="648" spans="1:20" hidden="1" x14ac:dyDescent="0.3">
      <c r="A648" t="s">
        <v>2268</v>
      </c>
      <c r="B648" t="s">
        <v>51</v>
      </c>
      <c r="C648" t="s">
        <v>37</v>
      </c>
      <c r="D648" t="s">
        <v>121</v>
      </c>
      <c r="E648">
        <v>2006</v>
      </c>
      <c r="F648" t="s">
        <v>31</v>
      </c>
      <c r="G648" t="s">
        <v>31</v>
      </c>
      <c r="H648" t="s">
        <v>2645</v>
      </c>
      <c r="I648" t="s">
        <v>34</v>
      </c>
      <c r="J648" t="s">
        <v>3499</v>
      </c>
      <c r="K648" t="s">
        <v>2664</v>
      </c>
      <c r="L648" t="s">
        <v>31</v>
      </c>
      <c r="M648" t="s">
        <v>27</v>
      </c>
      <c r="N648" t="s">
        <v>27</v>
      </c>
      <c r="O648" t="s">
        <v>27</v>
      </c>
      <c r="P648" t="s">
        <v>31</v>
      </c>
      <c r="Q648">
        <v>51560</v>
      </c>
      <c r="R648">
        <v>60.88</v>
      </c>
      <c r="S648">
        <v>-145.99</v>
      </c>
      <c r="T648" t="s">
        <v>3500</v>
      </c>
    </row>
    <row r="649" spans="1:20" hidden="1" x14ac:dyDescent="0.3">
      <c r="A649" t="s">
        <v>2270</v>
      </c>
      <c r="B649" t="s">
        <v>91</v>
      </c>
      <c r="C649" t="s">
        <v>92</v>
      </c>
      <c r="D649" t="s">
        <v>93</v>
      </c>
      <c r="E649">
        <v>2006</v>
      </c>
      <c r="F649" t="s">
        <v>31</v>
      </c>
      <c r="G649" t="s">
        <v>3501</v>
      </c>
      <c r="H649" t="s">
        <v>2680</v>
      </c>
      <c r="I649" t="s">
        <v>115</v>
      </c>
      <c r="J649" t="s">
        <v>3502</v>
      </c>
      <c r="K649" t="s">
        <v>31</v>
      </c>
      <c r="L649" t="s">
        <v>31</v>
      </c>
      <c r="M649" t="s">
        <v>27</v>
      </c>
      <c r="N649" t="s">
        <v>27</v>
      </c>
      <c r="O649" t="s">
        <v>33</v>
      </c>
      <c r="P649" t="s">
        <v>31</v>
      </c>
      <c r="Q649">
        <v>4.0999999999999996</v>
      </c>
      <c r="R649">
        <v>14.028</v>
      </c>
      <c r="S649">
        <v>-89.784999999999997</v>
      </c>
      <c r="T649" t="s">
        <v>31</v>
      </c>
    </row>
    <row r="650" spans="1:20" hidden="1" x14ac:dyDescent="0.3">
      <c r="A650" t="s">
        <v>2271</v>
      </c>
      <c r="B650" t="s">
        <v>28</v>
      </c>
      <c r="C650" t="s">
        <v>29</v>
      </c>
      <c r="D650" t="s">
        <v>97</v>
      </c>
      <c r="E650">
        <v>2006</v>
      </c>
      <c r="F650">
        <v>90000</v>
      </c>
      <c r="G650" t="s">
        <v>31</v>
      </c>
      <c r="H650" t="s">
        <v>2645</v>
      </c>
      <c r="I650" t="s">
        <v>34</v>
      </c>
      <c r="J650" t="s">
        <v>3503</v>
      </c>
      <c r="K650" t="s">
        <v>31</v>
      </c>
      <c r="L650" t="s">
        <v>31</v>
      </c>
      <c r="M650" t="s">
        <v>27</v>
      </c>
      <c r="N650" t="s">
        <v>27</v>
      </c>
      <c r="O650" t="s">
        <v>27</v>
      </c>
      <c r="P650" t="s">
        <v>31</v>
      </c>
      <c r="Q650">
        <v>193</v>
      </c>
      <c r="R650" t="s">
        <v>31</v>
      </c>
      <c r="S650" t="s">
        <v>31</v>
      </c>
      <c r="T650" t="s">
        <v>31</v>
      </c>
    </row>
    <row r="651" spans="1:20" hidden="1" x14ac:dyDescent="0.3">
      <c r="A651" t="s">
        <v>2272</v>
      </c>
      <c r="B651" t="s">
        <v>39</v>
      </c>
      <c r="C651" t="s">
        <v>40</v>
      </c>
      <c r="D651" t="s">
        <v>142</v>
      </c>
      <c r="E651">
        <v>2006</v>
      </c>
      <c r="F651" t="s">
        <v>31</v>
      </c>
      <c r="G651" t="s">
        <v>31</v>
      </c>
      <c r="H651" t="s">
        <v>2774</v>
      </c>
      <c r="I651" t="s">
        <v>166</v>
      </c>
      <c r="J651" t="s">
        <v>3504</v>
      </c>
      <c r="K651" t="s">
        <v>31</v>
      </c>
      <c r="L651" t="s">
        <v>31</v>
      </c>
      <c r="M651" t="s">
        <v>27</v>
      </c>
      <c r="N651" t="s">
        <v>27</v>
      </c>
      <c r="O651" t="s">
        <v>27</v>
      </c>
      <c r="P651" t="s">
        <v>31</v>
      </c>
      <c r="Q651" t="s">
        <v>31</v>
      </c>
      <c r="R651" t="s">
        <v>31</v>
      </c>
      <c r="S651" t="s">
        <v>31</v>
      </c>
      <c r="T651" t="s">
        <v>31</v>
      </c>
    </row>
    <row r="652" spans="1:20" hidden="1" x14ac:dyDescent="0.3">
      <c r="A652" t="s">
        <v>2273</v>
      </c>
      <c r="B652" t="s">
        <v>91</v>
      </c>
      <c r="C652" t="s">
        <v>2712</v>
      </c>
      <c r="D652" t="s">
        <v>105</v>
      </c>
      <c r="E652">
        <v>2006</v>
      </c>
      <c r="F652" t="s">
        <v>31</v>
      </c>
      <c r="G652" t="s">
        <v>31</v>
      </c>
      <c r="H652" t="s">
        <v>3505</v>
      </c>
      <c r="I652" t="s">
        <v>2274</v>
      </c>
      <c r="J652" t="s">
        <v>3506</v>
      </c>
      <c r="K652" t="s">
        <v>31</v>
      </c>
      <c r="L652" t="s">
        <v>31</v>
      </c>
      <c r="M652" t="s">
        <v>27</v>
      </c>
      <c r="N652" t="s">
        <v>27</v>
      </c>
      <c r="O652" t="s">
        <v>27</v>
      </c>
      <c r="P652" t="s">
        <v>31</v>
      </c>
      <c r="Q652" t="s">
        <v>31</v>
      </c>
      <c r="R652" t="s">
        <v>31</v>
      </c>
      <c r="S652" t="s">
        <v>31</v>
      </c>
      <c r="T652" t="s">
        <v>31</v>
      </c>
    </row>
    <row r="653" spans="1:20" hidden="1" x14ac:dyDescent="0.3">
      <c r="A653" t="s">
        <v>66</v>
      </c>
      <c r="B653" t="s">
        <v>28</v>
      </c>
      <c r="C653" t="s">
        <v>29</v>
      </c>
      <c r="D653" t="s">
        <v>67</v>
      </c>
      <c r="E653">
        <v>2007</v>
      </c>
      <c r="F653">
        <v>140000</v>
      </c>
      <c r="G653" t="s">
        <v>31</v>
      </c>
      <c r="H653" t="s">
        <v>2645</v>
      </c>
      <c r="I653" t="s">
        <v>34</v>
      </c>
      <c r="J653" t="s">
        <v>3507</v>
      </c>
      <c r="K653" t="s">
        <v>31</v>
      </c>
      <c r="L653" t="s">
        <v>68</v>
      </c>
      <c r="M653" t="s">
        <v>27</v>
      </c>
      <c r="N653" t="s">
        <v>27</v>
      </c>
      <c r="O653" t="s">
        <v>27</v>
      </c>
      <c r="P653" t="s">
        <v>31</v>
      </c>
      <c r="Q653">
        <v>64</v>
      </c>
      <c r="R653" t="s">
        <v>31</v>
      </c>
      <c r="S653" t="s">
        <v>31</v>
      </c>
      <c r="T653" t="s">
        <v>31</v>
      </c>
    </row>
    <row r="654" spans="1:20" hidden="1" x14ac:dyDescent="0.3">
      <c r="A654" t="s">
        <v>618</v>
      </c>
      <c r="B654" t="s">
        <v>51</v>
      </c>
      <c r="C654" t="s">
        <v>37</v>
      </c>
      <c r="D654" t="s">
        <v>121</v>
      </c>
      <c r="E654">
        <v>2007</v>
      </c>
      <c r="F654">
        <v>700000</v>
      </c>
      <c r="G654" t="s">
        <v>31</v>
      </c>
      <c r="H654" t="s">
        <v>2645</v>
      </c>
      <c r="I654" t="s">
        <v>34</v>
      </c>
      <c r="J654" t="s">
        <v>3508</v>
      </c>
      <c r="K654" t="s">
        <v>2649</v>
      </c>
      <c r="L654" t="s">
        <v>405</v>
      </c>
      <c r="M654" t="s">
        <v>27</v>
      </c>
      <c r="N654" t="s">
        <v>27</v>
      </c>
      <c r="O654" t="s">
        <v>27</v>
      </c>
      <c r="P654" t="s">
        <v>31</v>
      </c>
      <c r="Q654">
        <v>1217000</v>
      </c>
      <c r="R654">
        <v>36.86</v>
      </c>
      <c r="S654">
        <v>-94.64</v>
      </c>
      <c r="T654" t="s">
        <v>31</v>
      </c>
    </row>
    <row r="655" spans="1:20" hidden="1" x14ac:dyDescent="0.3">
      <c r="A655" t="s">
        <v>630</v>
      </c>
      <c r="B655" t="s">
        <v>51</v>
      </c>
      <c r="C655" t="s">
        <v>37</v>
      </c>
      <c r="D655" t="s">
        <v>121</v>
      </c>
      <c r="E655">
        <v>2007</v>
      </c>
      <c r="F655" t="s">
        <v>31</v>
      </c>
      <c r="G655" t="s">
        <v>31</v>
      </c>
      <c r="H655" t="s">
        <v>2739</v>
      </c>
      <c r="I655" t="s">
        <v>77</v>
      </c>
      <c r="J655" t="s">
        <v>3509</v>
      </c>
      <c r="K655" t="s">
        <v>2839</v>
      </c>
      <c r="L655" t="s">
        <v>31</v>
      </c>
      <c r="M655" t="s">
        <v>27</v>
      </c>
      <c r="N655" t="s">
        <v>27</v>
      </c>
      <c r="O655" t="s">
        <v>27</v>
      </c>
      <c r="P655" t="s">
        <v>31</v>
      </c>
      <c r="Q655">
        <v>205000</v>
      </c>
      <c r="R655">
        <v>54.18</v>
      </c>
      <c r="S655">
        <v>-125.03</v>
      </c>
      <c r="T655" t="s">
        <v>3510</v>
      </c>
    </row>
    <row r="656" spans="1:20" hidden="1" x14ac:dyDescent="0.3">
      <c r="A656" t="s">
        <v>631</v>
      </c>
      <c r="B656" t="s">
        <v>51</v>
      </c>
      <c r="C656" t="s">
        <v>37</v>
      </c>
      <c r="D656" t="s">
        <v>121</v>
      </c>
      <c r="E656">
        <v>2007</v>
      </c>
      <c r="F656" t="s">
        <v>31</v>
      </c>
      <c r="G656" t="s">
        <v>31</v>
      </c>
      <c r="H656" t="s">
        <v>2749</v>
      </c>
      <c r="I656" t="s">
        <v>45</v>
      </c>
      <c r="J656" t="s">
        <v>3511</v>
      </c>
      <c r="K656" t="s">
        <v>2664</v>
      </c>
      <c r="L656" t="s">
        <v>54</v>
      </c>
      <c r="M656" t="s">
        <v>27</v>
      </c>
      <c r="N656" t="s">
        <v>27</v>
      </c>
      <c r="O656" t="s">
        <v>27</v>
      </c>
      <c r="P656" t="s">
        <v>31</v>
      </c>
      <c r="Q656" t="s">
        <v>31</v>
      </c>
      <c r="R656">
        <v>19.55</v>
      </c>
      <c r="S656">
        <v>-71.05</v>
      </c>
      <c r="T656" t="s">
        <v>31</v>
      </c>
    </row>
    <row r="657" spans="1:20" hidden="1" x14ac:dyDescent="0.3">
      <c r="A657" t="s">
        <v>632</v>
      </c>
      <c r="B657" t="s">
        <v>51</v>
      </c>
      <c r="C657" t="s">
        <v>37</v>
      </c>
      <c r="D657" t="s">
        <v>121</v>
      </c>
      <c r="E657">
        <v>2007</v>
      </c>
      <c r="F657" t="s">
        <v>31</v>
      </c>
      <c r="G657" t="s">
        <v>31</v>
      </c>
      <c r="H657" t="s">
        <v>2647</v>
      </c>
      <c r="I657" t="s">
        <v>47</v>
      </c>
      <c r="J657" t="s">
        <v>3512</v>
      </c>
      <c r="K657" t="s">
        <v>2664</v>
      </c>
      <c r="L657" t="s">
        <v>54</v>
      </c>
      <c r="M657" t="s">
        <v>27</v>
      </c>
      <c r="N657" t="s">
        <v>27</v>
      </c>
      <c r="O657" t="s">
        <v>27</v>
      </c>
      <c r="P657" t="s">
        <v>31</v>
      </c>
      <c r="Q657">
        <v>1940</v>
      </c>
      <c r="R657">
        <v>4.5</v>
      </c>
      <c r="S657">
        <v>-75.209999999999994</v>
      </c>
      <c r="T657" t="s">
        <v>3513</v>
      </c>
    </row>
    <row r="658" spans="1:20" hidden="1" x14ac:dyDescent="0.3">
      <c r="A658" t="s">
        <v>633</v>
      </c>
      <c r="B658" t="s">
        <v>39</v>
      </c>
      <c r="C658" t="s">
        <v>40</v>
      </c>
      <c r="D658" t="s">
        <v>41</v>
      </c>
      <c r="E658">
        <v>2007</v>
      </c>
      <c r="F658">
        <v>315000</v>
      </c>
      <c r="G658" t="s">
        <v>31</v>
      </c>
      <c r="H658" t="s">
        <v>2645</v>
      </c>
      <c r="I658" t="s">
        <v>34</v>
      </c>
      <c r="J658" t="s">
        <v>3514</v>
      </c>
      <c r="K658" t="s">
        <v>31</v>
      </c>
      <c r="L658" t="s">
        <v>31</v>
      </c>
      <c r="M658" t="s">
        <v>27</v>
      </c>
      <c r="N658" t="s">
        <v>27</v>
      </c>
      <c r="O658" t="s">
        <v>27</v>
      </c>
      <c r="P658" t="s">
        <v>31</v>
      </c>
      <c r="Q658" t="s">
        <v>31</v>
      </c>
      <c r="R658" t="s">
        <v>31</v>
      </c>
      <c r="S658" t="s">
        <v>31</v>
      </c>
      <c r="T658" t="s">
        <v>31</v>
      </c>
    </row>
    <row r="659" spans="1:20" hidden="1" x14ac:dyDescent="0.3">
      <c r="A659" t="s">
        <v>634</v>
      </c>
      <c r="B659" t="s">
        <v>51</v>
      </c>
      <c r="C659" t="s">
        <v>37</v>
      </c>
      <c r="D659" t="s">
        <v>121</v>
      </c>
      <c r="E659">
        <v>2007</v>
      </c>
      <c r="F659" t="s">
        <v>31</v>
      </c>
      <c r="G659" t="s">
        <v>31</v>
      </c>
      <c r="H659" t="s">
        <v>2645</v>
      </c>
      <c r="I659" t="s">
        <v>34</v>
      </c>
      <c r="J659" t="s">
        <v>3515</v>
      </c>
      <c r="K659" t="s">
        <v>2664</v>
      </c>
      <c r="L659" t="s">
        <v>181</v>
      </c>
      <c r="M659" t="s">
        <v>27</v>
      </c>
      <c r="N659" t="s">
        <v>27</v>
      </c>
      <c r="O659" t="s">
        <v>27</v>
      </c>
      <c r="P659" t="s">
        <v>31</v>
      </c>
      <c r="Q659">
        <v>507800</v>
      </c>
      <c r="R659">
        <v>32.840000000000003</v>
      </c>
      <c r="S659">
        <v>-97.17</v>
      </c>
      <c r="T659" t="s">
        <v>3516</v>
      </c>
    </row>
    <row r="660" spans="1:20" hidden="1" x14ac:dyDescent="0.3">
      <c r="A660" t="s">
        <v>635</v>
      </c>
      <c r="B660" t="s">
        <v>28</v>
      </c>
      <c r="C660" t="s">
        <v>2685</v>
      </c>
      <c r="D660" t="s">
        <v>278</v>
      </c>
      <c r="E660">
        <v>2007</v>
      </c>
      <c r="F660" t="s">
        <v>31</v>
      </c>
      <c r="G660" t="s">
        <v>3517</v>
      </c>
      <c r="H660" t="s">
        <v>2669</v>
      </c>
      <c r="I660" t="s">
        <v>111</v>
      </c>
      <c r="J660" t="s">
        <v>3518</v>
      </c>
      <c r="K660" t="s">
        <v>31</v>
      </c>
      <c r="L660" t="s">
        <v>355</v>
      </c>
      <c r="M660" t="s">
        <v>27</v>
      </c>
      <c r="N660" t="s">
        <v>27</v>
      </c>
      <c r="O660" t="s">
        <v>27</v>
      </c>
      <c r="P660" t="s">
        <v>31</v>
      </c>
      <c r="Q660" t="s">
        <v>31</v>
      </c>
      <c r="R660" t="s">
        <v>31</v>
      </c>
      <c r="S660" t="s">
        <v>31</v>
      </c>
      <c r="T660" t="s">
        <v>31</v>
      </c>
    </row>
    <row r="661" spans="1:20" hidden="1" x14ac:dyDescent="0.3">
      <c r="A661" t="s">
        <v>636</v>
      </c>
      <c r="B661" t="s">
        <v>28</v>
      </c>
      <c r="C661" t="s">
        <v>2685</v>
      </c>
      <c r="D661" t="s">
        <v>278</v>
      </c>
      <c r="E661">
        <v>2007</v>
      </c>
      <c r="F661" t="s">
        <v>31</v>
      </c>
      <c r="G661" t="s">
        <v>3517</v>
      </c>
      <c r="H661" t="s">
        <v>2678</v>
      </c>
      <c r="I661" t="s">
        <v>53</v>
      </c>
      <c r="J661" t="s">
        <v>3519</v>
      </c>
      <c r="K661" t="s">
        <v>31</v>
      </c>
      <c r="L661" t="s">
        <v>31</v>
      </c>
      <c r="M661" t="s">
        <v>27</v>
      </c>
      <c r="N661" t="s">
        <v>27</v>
      </c>
      <c r="O661" t="s">
        <v>27</v>
      </c>
      <c r="P661" t="s">
        <v>31</v>
      </c>
      <c r="Q661">
        <v>-20</v>
      </c>
      <c r="R661" t="s">
        <v>31</v>
      </c>
      <c r="S661" t="s">
        <v>31</v>
      </c>
      <c r="T661" t="s">
        <v>31</v>
      </c>
    </row>
    <row r="662" spans="1:20" hidden="1" x14ac:dyDescent="0.3">
      <c r="A662" t="s">
        <v>637</v>
      </c>
      <c r="B662" t="s">
        <v>28</v>
      </c>
      <c r="C662" t="s">
        <v>2685</v>
      </c>
      <c r="D662" t="s">
        <v>278</v>
      </c>
      <c r="E662">
        <v>2007</v>
      </c>
      <c r="F662" t="s">
        <v>31</v>
      </c>
      <c r="G662" t="s">
        <v>3517</v>
      </c>
      <c r="H662" t="s">
        <v>2730</v>
      </c>
      <c r="I662" t="s">
        <v>57</v>
      </c>
      <c r="J662" t="s">
        <v>3520</v>
      </c>
      <c r="K662" t="s">
        <v>31</v>
      </c>
      <c r="L662" t="s">
        <v>31</v>
      </c>
      <c r="M662" t="s">
        <v>27</v>
      </c>
      <c r="N662" t="s">
        <v>27</v>
      </c>
      <c r="O662" t="s">
        <v>27</v>
      </c>
      <c r="P662" t="s">
        <v>31</v>
      </c>
      <c r="Q662">
        <v>0</v>
      </c>
      <c r="R662" t="s">
        <v>31</v>
      </c>
      <c r="S662" t="s">
        <v>31</v>
      </c>
      <c r="T662" t="s">
        <v>31</v>
      </c>
    </row>
    <row r="663" spans="1:20" hidden="1" x14ac:dyDescent="0.3">
      <c r="A663" t="s">
        <v>638</v>
      </c>
      <c r="B663" t="s">
        <v>28</v>
      </c>
      <c r="C663" t="s">
        <v>29</v>
      </c>
      <c r="D663" t="s">
        <v>30</v>
      </c>
      <c r="E663">
        <v>2007</v>
      </c>
      <c r="F663">
        <v>40000</v>
      </c>
      <c r="G663" t="s">
        <v>3521</v>
      </c>
      <c r="H663" t="s">
        <v>2888</v>
      </c>
      <c r="I663" t="s">
        <v>75</v>
      </c>
      <c r="J663" t="s">
        <v>3522</v>
      </c>
      <c r="K663" t="s">
        <v>31</v>
      </c>
      <c r="L663" t="s">
        <v>37</v>
      </c>
      <c r="M663" t="s">
        <v>27</v>
      </c>
      <c r="N663" t="s">
        <v>27</v>
      </c>
      <c r="O663" t="s">
        <v>27</v>
      </c>
      <c r="P663" t="s">
        <v>31</v>
      </c>
      <c r="Q663" t="s">
        <v>31</v>
      </c>
      <c r="R663">
        <v>14.64</v>
      </c>
      <c r="S663">
        <v>-61.02</v>
      </c>
      <c r="T663" t="s">
        <v>31</v>
      </c>
    </row>
    <row r="664" spans="1:20" hidden="1" x14ac:dyDescent="0.3">
      <c r="A664" t="s">
        <v>639</v>
      </c>
      <c r="B664" t="s">
        <v>28</v>
      </c>
      <c r="C664" t="s">
        <v>29</v>
      </c>
      <c r="D664" t="s">
        <v>30</v>
      </c>
      <c r="E664">
        <v>2007</v>
      </c>
      <c r="F664">
        <v>300000</v>
      </c>
      <c r="G664" t="s">
        <v>3521</v>
      </c>
      <c r="H664" t="s">
        <v>3198</v>
      </c>
      <c r="I664" t="s">
        <v>211</v>
      </c>
      <c r="J664" t="s">
        <v>31</v>
      </c>
      <c r="K664" t="s">
        <v>31</v>
      </c>
      <c r="L664" t="s">
        <v>82</v>
      </c>
      <c r="M664" t="s">
        <v>27</v>
      </c>
      <c r="N664" t="s">
        <v>27</v>
      </c>
      <c r="O664" t="s">
        <v>27</v>
      </c>
      <c r="P664" t="s">
        <v>31</v>
      </c>
      <c r="Q664">
        <v>160</v>
      </c>
      <c r="R664" t="s">
        <v>31</v>
      </c>
      <c r="S664" t="s">
        <v>31</v>
      </c>
      <c r="T664" t="s">
        <v>31</v>
      </c>
    </row>
    <row r="665" spans="1:20" hidden="1" x14ac:dyDescent="0.3">
      <c r="A665" t="s">
        <v>640</v>
      </c>
      <c r="B665" t="s">
        <v>28</v>
      </c>
      <c r="C665" t="s">
        <v>29</v>
      </c>
      <c r="D665" t="s">
        <v>30</v>
      </c>
      <c r="E665">
        <v>2007</v>
      </c>
      <c r="F665" t="s">
        <v>31</v>
      </c>
      <c r="G665" t="s">
        <v>3521</v>
      </c>
      <c r="H665" t="s">
        <v>2749</v>
      </c>
      <c r="I665" t="s">
        <v>45</v>
      </c>
      <c r="J665" t="s">
        <v>3523</v>
      </c>
      <c r="K665" t="s">
        <v>31</v>
      </c>
      <c r="L665" t="s">
        <v>37</v>
      </c>
      <c r="M665" t="s">
        <v>27</v>
      </c>
      <c r="N665" t="s">
        <v>27</v>
      </c>
      <c r="O665" t="s">
        <v>27</v>
      </c>
      <c r="P665" t="s">
        <v>31</v>
      </c>
      <c r="Q665" t="s">
        <v>31</v>
      </c>
      <c r="R665">
        <v>14.64</v>
      </c>
      <c r="S665">
        <v>-61.02</v>
      </c>
      <c r="T665" t="s">
        <v>31</v>
      </c>
    </row>
    <row r="666" spans="1:20" hidden="1" x14ac:dyDescent="0.3">
      <c r="A666" t="s">
        <v>641</v>
      </c>
      <c r="B666" t="s">
        <v>28</v>
      </c>
      <c r="C666" t="s">
        <v>29</v>
      </c>
      <c r="D666" t="s">
        <v>30</v>
      </c>
      <c r="E666">
        <v>2007</v>
      </c>
      <c r="F666">
        <v>300000</v>
      </c>
      <c r="G666" t="s">
        <v>3521</v>
      </c>
      <c r="H666" t="s">
        <v>2751</v>
      </c>
      <c r="I666" t="s">
        <v>234</v>
      </c>
      <c r="J666" t="s">
        <v>3524</v>
      </c>
      <c r="K666" t="s">
        <v>31</v>
      </c>
      <c r="L666" t="s">
        <v>85</v>
      </c>
      <c r="M666" t="s">
        <v>33</v>
      </c>
      <c r="N666" t="s">
        <v>27</v>
      </c>
      <c r="O666" t="s">
        <v>33</v>
      </c>
      <c r="P666" t="s">
        <v>31</v>
      </c>
      <c r="Q666" t="s">
        <v>31</v>
      </c>
      <c r="R666" t="s">
        <v>31</v>
      </c>
      <c r="S666" t="s">
        <v>31</v>
      </c>
      <c r="T666" t="s">
        <v>31</v>
      </c>
    </row>
    <row r="667" spans="1:20" hidden="1" x14ac:dyDescent="0.3">
      <c r="A667" t="s">
        <v>642</v>
      </c>
      <c r="B667" t="s">
        <v>91</v>
      </c>
      <c r="C667" t="s">
        <v>92</v>
      </c>
      <c r="D667" t="s">
        <v>93</v>
      </c>
      <c r="E667">
        <v>2007</v>
      </c>
      <c r="F667" t="s">
        <v>31</v>
      </c>
      <c r="G667" t="s">
        <v>3525</v>
      </c>
      <c r="H667" t="s">
        <v>2647</v>
      </c>
      <c r="I667" t="s">
        <v>47</v>
      </c>
      <c r="J667" t="s">
        <v>3526</v>
      </c>
      <c r="K667" t="s">
        <v>31</v>
      </c>
      <c r="L667" t="s">
        <v>31</v>
      </c>
      <c r="M667" t="s">
        <v>27</v>
      </c>
      <c r="N667" t="s">
        <v>27</v>
      </c>
      <c r="O667" t="s">
        <v>27</v>
      </c>
      <c r="P667" t="s">
        <v>31</v>
      </c>
      <c r="Q667">
        <v>6.8</v>
      </c>
      <c r="R667">
        <v>2.9660000000000002</v>
      </c>
      <c r="S667">
        <v>-77.962999999999994</v>
      </c>
      <c r="T667" t="s">
        <v>31</v>
      </c>
    </row>
    <row r="668" spans="1:20" hidden="1" x14ac:dyDescent="0.3">
      <c r="A668" t="s">
        <v>643</v>
      </c>
      <c r="B668" t="s">
        <v>28</v>
      </c>
      <c r="C668" t="s">
        <v>29</v>
      </c>
      <c r="D668" t="s">
        <v>30</v>
      </c>
      <c r="E668">
        <v>2007</v>
      </c>
      <c r="F668" t="s">
        <v>31</v>
      </c>
      <c r="G668" t="s">
        <v>3527</v>
      </c>
      <c r="H668" t="s">
        <v>2672</v>
      </c>
      <c r="I668" t="s">
        <v>73</v>
      </c>
      <c r="J668" t="s">
        <v>3528</v>
      </c>
      <c r="K668" t="s">
        <v>31</v>
      </c>
      <c r="L668" t="s">
        <v>37</v>
      </c>
      <c r="M668" t="s">
        <v>27</v>
      </c>
      <c r="N668" t="s">
        <v>27</v>
      </c>
      <c r="O668" t="s">
        <v>27</v>
      </c>
      <c r="P668" t="s">
        <v>31</v>
      </c>
      <c r="Q668" t="s">
        <v>31</v>
      </c>
      <c r="R668">
        <v>14.62</v>
      </c>
      <c r="S668">
        <v>-83.64</v>
      </c>
      <c r="T668" t="s">
        <v>31</v>
      </c>
    </row>
    <row r="669" spans="1:20" hidden="1" x14ac:dyDescent="0.3">
      <c r="A669" t="s">
        <v>644</v>
      </c>
      <c r="B669" t="s">
        <v>51</v>
      </c>
      <c r="C669" t="s">
        <v>37</v>
      </c>
      <c r="D669" t="s">
        <v>121</v>
      </c>
      <c r="E669">
        <v>2007</v>
      </c>
      <c r="F669" t="s">
        <v>31</v>
      </c>
      <c r="G669" t="s">
        <v>31</v>
      </c>
      <c r="H669" t="s">
        <v>2675</v>
      </c>
      <c r="I669" t="s">
        <v>81</v>
      </c>
      <c r="J669" t="s">
        <v>3529</v>
      </c>
      <c r="K669" t="s">
        <v>2649</v>
      </c>
      <c r="L669" t="s">
        <v>54</v>
      </c>
      <c r="M669" t="s">
        <v>33</v>
      </c>
      <c r="N669" t="s">
        <v>27</v>
      </c>
      <c r="O669" t="s">
        <v>33</v>
      </c>
      <c r="P669" t="s">
        <v>31</v>
      </c>
      <c r="Q669" t="s">
        <v>31</v>
      </c>
      <c r="R669">
        <v>10.98</v>
      </c>
      <c r="S669">
        <v>-85.44</v>
      </c>
      <c r="T669" t="s">
        <v>31</v>
      </c>
    </row>
    <row r="670" spans="1:20" hidden="1" x14ac:dyDescent="0.3">
      <c r="A670" t="s">
        <v>645</v>
      </c>
      <c r="B670" t="s">
        <v>51</v>
      </c>
      <c r="C670" t="s">
        <v>37</v>
      </c>
      <c r="D670" t="s">
        <v>121</v>
      </c>
      <c r="E670">
        <v>2007</v>
      </c>
      <c r="F670" t="s">
        <v>31</v>
      </c>
      <c r="G670" t="s">
        <v>31</v>
      </c>
      <c r="H670" t="s">
        <v>2774</v>
      </c>
      <c r="I670" t="s">
        <v>166</v>
      </c>
      <c r="J670" t="s">
        <v>3530</v>
      </c>
      <c r="K670" t="s">
        <v>2649</v>
      </c>
      <c r="L670" t="s">
        <v>31</v>
      </c>
      <c r="M670" t="s">
        <v>27</v>
      </c>
      <c r="N670" t="s">
        <v>27</v>
      </c>
      <c r="O670" t="s">
        <v>27</v>
      </c>
      <c r="P670" t="s">
        <v>31</v>
      </c>
      <c r="Q670" t="s">
        <v>31</v>
      </c>
      <c r="R670">
        <v>10.98</v>
      </c>
      <c r="S670">
        <v>-85.44</v>
      </c>
      <c r="T670" t="s">
        <v>31</v>
      </c>
    </row>
    <row r="671" spans="1:20" hidden="1" x14ac:dyDescent="0.3">
      <c r="A671" t="s">
        <v>646</v>
      </c>
      <c r="B671" t="s">
        <v>28</v>
      </c>
      <c r="C671" t="s">
        <v>29</v>
      </c>
      <c r="D671" t="s">
        <v>30</v>
      </c>
      <c r="E671">
        <v>2007</v>
      </c>
      <c r="F671" t="s">
        <v>31</v>
      </c>
      <c r="G671" t="s">
        <v>3531</v>
      </c>
      <c r="H671" t="s">
        <v>2749</v>
      </c>
      <c r="I671" t="s">
        <v>45</v>
      </c>
      <c r="J671" t="s">
        <v>3532</v>
      </c>
      <c r="K671" t="s">
        <v>31</v>
      </c>
      <c r="L671" t="s">
        <v>37</v>
      </c>
      <c r="M671" t="s">
        <v>33</v>
      </c>
      <c r="N671" t="s">
        <v>27</v>
      </c>
      <c r="O671" t="s">
        <v>27</v>
      </c>
      <c r="P671" t="s">
        <v>31</v>
      </c>
      <c r="Q671" t="s">
        <v>31</v>
      </c>
      <c r="R671">
        <v>18.53</v>
      </c>
      <c r="S671">
        <v>-70.06</v>
      </c>
      <c r="T671" t="s">
        <v>31</v>
      </c>
    </row>
    <row r="672" spans="1:20" hidden="1" x14ac:dyDescent="0.3">
      <c r="A672" t="s">
        <v>647</v>
      </c>
      <c r="B672" t="s">
        <v>51</v>
      </c>
      <c r="C672" t="s">
        <v>2655</v>
      </c>
      <c r="D672" t="s">
        <v>134</v>
      </c>
      <c r="E672">
        <v>2007</v>
      </c>
      <c r="F672" t="s">
        <v>31</v>
      </c>
      <c r="G672" t="s">
        <v>3533</v>
      </c>
      <c r="H672" t="s">
        <v>2672</v>
      </c>
      <c r="I672" t="s">
        <v>73</v>
      </c>
      <c r="J672" t="s">
        <v>3534</v>
      </c>
      <c r="K672" t="s">
        <v>2649</v>
      </c>
      <c r="L672" t="s">
        <v>173</v>
      </c>
      <c r="M672" t="s">
        <v>27</v>
      </c>
      <c r="N672" t="s">
        <v>27</v>
      </c>
      <c r="O672" t="s">
        <v>27</v>
      </c>
      <c r="P672" t="s">
        <v>31</v>
      </c>
      <c r="Q672" t="s">
        <v>31</v>
      </c>
      <c r="R672" t="s">
        <v>31</v>
      </c>
      <c r="S672" t="s">
        <v>31</v>
      </c>
      <c r="T672" t="s">
        <v>31</v>
      </c>
    </row>
    <row r="673" spans="1:20" hidden="1" x14ac:dyDescent="0.3">
      <c r="A673" t="s">
        <v>648</v>
      </c>
      <c r="B673" t="s">
        <v>51</v>
      </c>
      <c r="C673" t="s">
        <v>37</v>
      </c>
      <c r="D673" t="s">
        <v>52</v>
      </c>
      <c r="E673">
        <v>2007</v>
      </c>
      <c r="F673" t="s">
        <v>31</v>
      </c>
      <c r="G673" t="s">
        <v>31</v>
      </c>
      <c r="H673" t="s">
        <v>2753</v>
      </c>
      <c r="I673" t="s">
        <v>49</v>
      </c>
      <c r="J673" t="s">
        <v>3535</v>
      </c>
      <c r="K673" t="s">
        <v>2649</v>
      </c>
      <c r="L673" t="s">
        <v>31</v>
      </c>
      <c r="M673" t="s">
        <v>27</v>
      </c>
      <c r="N673" t="s">
        <v>27</v>
      </c>
      <c r="O673" t="s">
        <v>27</v>
      </c>
      <c r="P673" t="s">
        <v>31</v>
      </c>
      <c r="Q673" t="s">
        <v>31</v>
      </c>
      <c r="R673" t="s">
        <v>31</v>
      </c>
      <c r="S673" t="s">
        <v>31</v>
      </c>
      <c r="T673" t="s">
        <v>31</v>
      </c>
    </row>
    <row r="674" spans="1:20" hidden="1" x14ac:dyDescent="0.3">
      <c r="A674" t="s">
        <v>649</v>
      </c>
      <c r="B674" t="s">
        <v>91</v>
      </c>
      <c r="C674" t="s">
        <v>92</v>
      </c>
      <c r="D674" t="s">
        <v>93</v>
      </c>
      <c r="E674">
        <v>2007</v>
      </c>
      <c r="F674" t="s">
        <v>31</v>
      </c>
      <c r="G674" t="s">
        <v>3536</v>
      </c>
      <c r="H674" t="s">
        <v>3184</v>
      </c>
      <c r="I674" t="s">
        <v>246</v>
      </c>
      <c r="J674" t="s">
        <v>3537</v>
      </c>
      <c r="K674" t="s">
        <v>31</v>
      </c>
      <c r="L674" t="s">
        <v>31</v>
      </c>
      <c r="M674" t="s">
        <v>27</v>
      </c>
      <c r="N674" t="s">
        <v>27</v>
      </c>
      <c r="O674" t="s">
        <v>27</v>
      </c>
      <c r="P674" t="s">
        <v>31</v>
      </c>
      <c r="Q674">
        <v>7.4</v>
      </c>
      <c r="R674">
        <v>14.944000000000001</v>
      </c>
      <c r="S674">
        <v>-61.274000000000001</v>
      </c>
      <c r="T674" t="s">
        <v>31</v>
      </c>
    </row>
    <row r="675" spans="1:20" hidden="1" x14ac:dyDescent="0.3">
      <c r="A675" t="s">
        <v>650</v>
      </c>
      <c r="B675" t="s">
        <v>28</v>
      </c>
      <c r="C675" t="s">
        <v>29</v>
      </c>
      <c r="D675" t="s">
        <v>30</v>
      </c>
      <c r="E675">
        <v>2007</v>
      </c>
      <c r="F675" t="s">
        <v>31</v>
      </c>
      <c r="G675" t="s">
        <v>3538</v>
      </c>
      <c r="H675" t="s">
        <v>2847</v>
      </c>
      <c r="I675" t="s">
        <v>62</v>
      </c>
      <c r="J675" t="s">
        <v>3211</v>
      </c>
      <c r="K675" t="s">
        <v>31</v>
      </c>
      <c r="L675" t="s">
        <v>37</v>
      </c>
      <c r="M675" t="s">
        <v>27</v>
      </c>
      <c r="N675" t="s">
        <v>27</v>
      </c>
      <c r="O675" t="s">
        <v>27</v>
      </c>
      <c r="P675" t="s">
        <v>31</v>
      </c>
      <c r="Q675" t="s">
        <v>31</v>
      </c>
      <c r="R675">
        <v>18.93</v>
      </c>
      <c r="S675">
        <v>-71.03</v>
      </c>
      <c r="T675" t="s">
        <v>31</v>
      </c>
    </row>
    <row r="676" spans="1:20" hidden="1" x14ac:dyDescent="0.3">
      <c r="A676" t="s">
        <v>651</v>
      </c>
      <c r="B676" t="s">
        <v>91</v>
      </c>
      <c r="C676" t="s">
        <v>92</v>
      </c>
      <c r="D676" t="s">
        <v>93</v>
      </c>
      <c r="E676">
        <v>2007</v>
      </c>
      <c r="F676" t="s">
        <v>31</v>
      </c>
      <c r="G676" t="s">
        <v>3539</v>
      </c>
      <c r="H676" t="s">
        <v>2656</v>
      </c>
      <c r="I676" t="s">
        <v>119</v>
      </c>
      <c r="J676" t="s">
        <v>3540</v>
      </c>
      <c r="K676" t="s">
        <v>31</v>
      </c>
      <c r="L676" t="s">
        <v>31</v>
      </c>
      <c r="M676" t="s">
        <v>27</v>
      </c>
      <c r="N676" t="s">
        <v>27</v>
      </c>
      <c r="O676" t="s">
        <v>27</v>
      </c>
      <c r="P676" t="s">
        <v>31</v>
      </c>
      <c r="Q676">
        <v>4.9000000000000004</v>
      </c>
      <c r="R676">
        <v>-15.048</v>
      </c>
      <c r="S676">
        <v>-44.231000000000002</v>
      </c>
      <c r="T676" t="s">
        <v>31</v>
      </c>
    </row>
    <row r="677" spans="1:20" hidden="1" x14ac:dyDescent="0.3">
      <c r="A677" t="s">
        <v>652</v>
      </c>
      <c r="B677" t="s">
        <v>28</v>
      </c>
      <c r="C677" t="s">
        <v>29</v>
      </c>
      <c r="D677" t="s">
        <v>97</v>
      </c>
      <c r="E677">
        <v>2007</v>
      </c>
      <c r="F677">
        <v>350000</v>
      </c>
      <c r="G677" t="s">
        <v>31</v>
      </c>
      <c r="H677" t="s">
        <v>2645</v>
      </c>
      <c r="I677" t="s">
        <v>34</v>
      </c>
      <c r="J677" t="s">
        <v>3541</v>
      </c>
      <c r="K677" t="s">
        <v>31</v>
      </c>
      <c r="L677" t="s">
        <v>100</v>
      </c>
      <c r="M677" t="s">
        <v>27</v>
      </c>
      <c r="N677" t="s">
        <v>27</v>
      </c>
      <c r="O677" t="s">
        <v>27</v>
      </c>
      <c r="P677" t="s">
        <v>31</v>
      </c>
      <c r="Q677" t="s">
        <v>31</v>
      </c>
      <c r="R677" t="s">
        <v>31</v>
      </c>
      <c r="S677" t="s">
        <v>31</v>
      </c>
      <c r="T677" t="s">
        <v>31</v>
      </c>
    </row>
    <row r="678" spans="1:20" hidden="1" x14ac:dyDescent="0.3">
      <c r="A678" t="s">
        <v>654</v>
      </c>
      <c r="B678" t="s">
        <v>39</v>
      </c>
      <c r="C678" t="s">
        <v>157</v>
      </c>
      <c r="D678" t="s">
        <v>157</v>
      </c>
      <c r="E678">
        <v>2007</v>
      </c>
      <c r="F678" t="s">
        <v>31</v>
      </c>
      <c r="G678" t="s">
        <v>31</v>
      </c>
      <c r="H678" t="s">
        <v>2656</v>
      </c>
      <c r="I678" t="s">
        <v>119</v>
      </c>
      <c r="J678" t="s">
        <v>3542</v>
      </c>
      <c r="K678" t="s">
        <v>3543</v>
      </c>
      <c r="L678" t="s">
        <v>31</v>
      </c>
      <c r="M678" t="s">
        <v>27</v>
      </c>
      <c r="N678" t="s">
        <v>27</v>
      </c>
      <c r="O678" t="s">
        <v>33</v>
      </c>
      <c r="P678" t="s">
        <v>31</v>
      </c>
      <c r="Q678" t="s">
        <v>31</v>
      </c>
      <c r="R678" t="s">
        <v>31</v>
      </c>
      <c r="S678" t="s">
        <v>31</v>
      </c>
      <c r="T678" t="s">
        <v>31</v>
      </c>
    </row>
    <row r="679" spans="1:20" hidden="1" x14ac:dyDescent="0.3">
      <c r="A679" t="s">
        <v>977</v>
      </c>
      <c r="B679" t="s">
        <v>28</v>
      </c>
      <c r="C679" t="s">
        <v>29</v>
      </c>
      <c r="D679" t="s">
        <v>97</v>
      </c>
      <c r="E679">
        <v>2007</v>
      </c>
      <c r="F679">
        <v>600000</v>
      </c>
      <c r="G679" t="s">
        <v>31</v>
      </c>
      <c r="H679" t="s">
        <v>2645</v>
      </c>
      <c r="I679" t="s">
        <v>34</v>
      </c>
      <c r="J679" t="s">
        <v>3544</v>
      </c>
      <c r="K679" t="s">
        <v>31</v>
      </c>
      <c r="L679" t="s">
        <v>31</v>
      </c>
      <c r="M679" t="s">
        <v>27</v>
      </c>
      <c r="N679" t="s">
        <v>27</v>
      </c>
      <c r="O679" t="s">
        <v>27</v>
      </c>
      <c r="P679" t="s">
        <v>31</v>
      </c>
      <c r="Q679" t="s">
        <v>31</v>
      </c>
      <c r="R679" t="s">
        <v>31</v>
      </c>
      <c r="S679" t="s">
        <v>31</v>
      </c>
      <c r="T679" t="s">
        <v>31</v>
      </c>
    </row>
    <row r="680" spans="1:20" hidden="1" x14ac:dyDescent="0.3">
      <c r="A680" t="s">
        <v>979</v>
      </c>
      <c r="B680" t="s">
        <v>28</v>
      </c>
      <c r="C680" t="s">
        <v>29</v>
      </c>
      <c r="D680" t="s">
        <v>189</v>
      </c>
      <c r="E680">
        <v>2007</v>
      </c>
      <c r="F680">
        <v>500000</v>
      </c>
      <c r="G680" t="s">
        <v>31</v>
      </c>
      <c r="H680" t="s">
        <v>2645</v>
      </c>
      <c r="I680" t="s">
        <v>34</v>
      </c>
      <c r="J680" t="s">
        <v>3545</v>
      </c>
      <c r="K680" t="s">
        <v>31</v>
      </c>
      <c r="L680" t="s">
        <v>980</v>
      </c>
      <c r="M680" t="s">
        <v>27</v>
      </c>
      <c r="N680" t="s">
        <v>27</v>
      </c>
      <c r="O680" t="s">
        <v>33</v>
      </c>
      <c r="P680" t="s">
        <v>31</v>
      </c>
      <c r="Q680" t="s">
        <v>31</v>
      </c>
      <c r="R680" t="s">
        <v>31</v>
      </c>
      <c r="S680" t="s">
        <v>31</v>
      </c>
      <c r="T680" t="s">
        <v>31</v>
      </c>
    </row>
    <row r="681" spans="1:20" hidden="1" x14ac:dyDescent="0.3">
      <c r="A681" t="s">
        <v>981</v>
      </c>
      <c r="B681" t="s">
        <v>28</v>
      </c>
      <c r="C681" t="s">
        <v>29</v>
      </c>
      <c r="D681" t="s">
        <v>97</v>
      </c>
      <c r="E681">
        <v>2007</v>
      </c>
      <c r="F681">
        <v>130000</v>
      </c>
      <c r="G681" t="s">
        <v>3546</v>
      </c>
      <c r="H681" t="s">
        <v>2645</v>
      </c>
      <c r="I681" t="s">
        <v>34</v>
      </c>
      <c r="J681" t="s">
        <v>3547</v>
      </c>
      <c r="K681" t="s">
        <v>31</v>
      </c>
      <c r="L681" t="s">
        <v>31</v>
      </c>
      <c r="M681" t="s">
        <v>27</v>
      </c>
      <c r="N681" t="s">
        <v>27</v>
      </c>
      <c r="O681" t="s">
        <v>33</v>
      </c>
      <c r="P681" t="s">
        <v>31</v>
      </c>
      <c r="Q681">
        <v>265</v>
      </c>
      <c r="R681" t="s">
        <v>31</v>
      </c>
      <c r="S681" t="s">
        <v>31</v>
      </c>
      <c r="T681" t="s">
        <v>31</v>
      </c>
    </row>
    <row r="682" spans="1:20" hidden="1" x14ac:dyDescent="0.3">
      <c r="A682" t="s">
        <v>982</v>
      </c>
      <c r="B682" t="s">
        <v>43</v>
      </c>
      <c r="C682" t="s">
        <v>2665</v>
      </c>
      <c r="D682" t="s">
        <v>114</v>
      </c>
      <c r="E682">
        <v>2007</v>
      </c>
      <c r="F682" t="s">
        <v>31</v>
      </c>
      <c r="G682" t="s">
        <v>31</v>
      </c>
      <c r="H682" t="s">
        <v>2669</v>
      </c>
      <c r="I682" t="s">
        <v>111</v>
      </c>
      <c r="J682" t="s">
        <v>31</v>
      </c>
      <c r="K682" t="s">
        <v>31</v>
      </c>
      <c r="L682" t="s">
        <v>31</v>
      </c>
      <c r="M682" t="s">
        <v>27</v>
      </c>
      <c r="N682" t="s">
        <v>27</v>
      </c>
      <c r="O682" t="s">
        <v>27</v>
      </c>
      <c r="P682" t="s">
        <v>31</v>
      </c>
      <c r="Q682" t="s">
        <v>31</v>
      </c>
      <c r="R682" t="s">
        <v>31</v>
      </c>
      <c r="S682" t="s">
        <v>31</v>
      </c>
      <c r="T682" t="s">
        <v>31</v>
      </c>
    </row>
    <row r="683" spans="1:20" hidden="1" x14ac:dyDescent="0.3">
      <c r="A683" t="s">
        <v>983</v>
      </c>
      <c r="B683" t="s">
        <v>51</v>
      </c>
      <c r="C683" t="s">
        <v>37</v>
      </c>
      <c r="D683" t="s">
        <v>121</v>
      </c>
      <c r="E683">
        <v>2007</v>
      </c>
      <c r="F683">
        <v>10000</v>
      </c>
      <c r="G683" t="s">
        <v>3548</v>
      </c>
      <c r="H683" t="s">
        <v>2658</v>
      </c>
      <c r="I683" t="s">
        <v>130</v>
      </c>
      <c r="J683" t="s">
        <v>3549</v>
      </c>
      <c r="K683" t="s">
        <v>2664</v>
      </c>
      <c r="L683" t="s">
        <v>31</v>
      </c>
      <c r="M683" t="s">
        <v>27</v>
      </c>
      <c r="N683" t="s">
        <v>27</v>
      </c>
      <c r="O683" t="s">
        <v>27</v>
      </c>
      <c r="P683" t="s">
        <v>31</v>
      </c>
      <c r="Q683">
        <v>4000</v>
      </c>
      <c r="R683">
        <v>-31.99</v>
      </c>
      <c r="S683">
        <v>-59.12</v>
      </c>
      <c r="T683" t="s">
        <v>3550</v>
      </c>
    </row>
    <row r="684" spans="1:20" hidden="1" x14ac:dyDescent="0.3">
      <c r="A684" t="s">
        <v>984</v>
      </c>
      <c r="B684" t="s">
        <v>51</v>
      </c>
      <c r="C684" t="s">
        <v>37</v>
      </c>
      <c r="D684" t="s">
        <v>121</v>
      </c>
      <c r="E684">
        <v>2007</v>
      </c>
      <c r="F684" t="s">
        <v>31</v>
      </c>
      <c r="G684" t="s">
        <v>31</v>
      </c>
      <c r="H684" t="s">
        <v>2888</v>
      </c>
      <c r="I684" t="s">
        <v>75</v>
      </c>
      <c r="J684" t="s">
        <v>3551</v>
      </c>
      <c r="K684" t="s">
        <v>2664</v>
      </c>
      <c r="L684" t="s">
        <v>31</v>
      </c>
      <c r="M684" t="s">
        <v>27</v>
      </c>
      <c r="N684" t="s">
        <v>27</v>
      </c>
      <c r="O684" t="s">
        <v>27</v>
      </c>
      <c r="P684" t="s">
        <v>31</v>
      </c>
      <c r="Q684" t="s">
        <v>31</v>
      </c>
      <c r="R684">
        <v>19.55</v>
      </c>
      <c r="S684">
        <v>-71.05</v>
      </c>
      <c r="T684" t="s">
        <v>3552</v>
      </c>
    </row>
    <row r="685" spans="1:20" hidden="1" x14ac:dyDescent="0.3">
      <c r="A685" t="s">
        <v>985</v>
      </c>
      <c r="B685" t="s">
        <v>51</v>
      </c>
      <c r="C685" t="s">
        <v>37</v>
      </c>
      <c r="D685" t="s">
        <v>56</v>
      </c>
      <c r="E685">
        <v>2007</v>
      </c>
      <c r="F685" t="s">
        <v>31</v>
      </c>
      <c r="G685" t="s">
        <v>31</v>
      </c>
      <c r="H685" t="s">
        <v>2645</v>
      </c>
      <c r="I685" t="s">
        <v>34</v>
      </c>
      <c r="J685" t="s">
        <v>3442</v>
      </c>
      <c r="K685" t="s">
        <v>2652</v>
      </c>
      <c r="L685" t="s">
        <v>181</v>
      </c>
      <c r="M685" t="s">
        <v>27</v>
      </c>
      <c r="N685" t="s">
        <v>27</v>
      </c>
      <c r="O685" t="s">
        <v>27</v>
      </c>
      <c r="P685" t="s">
        <v>31</v>
      </c>
      <c r="Q685">
        <v>6500</v>
      </c>
      <c r="R685">
        <v>42.23</v>
      </c>
      <c r="S685">
        <v>-74.95</v>
      </c>
      <c r="T685" t="s">
        <v>3553</v>
      </c>
    </row>
    <row r="686" spans="1:20" hidden="1" x14ac:dyDescent="0.3">
      <c r="A686" t="s">
        <v>986</v>
      </c>
      <c r="B686" t="s">
        <v>28</v>
      </c>
      <c r="C686" t="s">
        <v>29</v>
      </c>
      <c r="D686" t="s">
        <v>30</v>
      </c>
      <c r="E686">
        <v>2007</v>
      </c>
      <c r="F686">
        <v>14847</v>
      </c>
      <c r="G686" t="s">
        <v>3521</v>
      </c>
      <c r="H686" t="s">
        <v>2706</v>
      </c>
      <c r="I686" t="s">
        <v>32</v>
      </c>
      <c r="J686" t="s">
        <v>3554</v>
      </c>
      <c r="K686" t="s">
        <v>31</v>
      </c>
      <c r="L686" t="s">
        <v>31</v>
      </c>
      <c r="M686" t="s">
        <v>33</v>
      </c>
      <c r="N686" t="s">
        <v>27</v>
      </c>
      <c r="O686" t="s">
        <v>27</v>
      </c>
      <c r="P686" t="s">
        <v>31</v>
      </c>
      <c r="Q686" t="s">
        <v>31</v>
      </c>
      <c r="R686" t="s">
        <v>31</v>
      </c>
      <c r="S686" t="s">
        <v>31</v>
      </c>
      <c r="T686" t="s">
        <v>31</v>
      </c>
    </row>
    <row r="687" spans="1:20" hidden="1" x14ac:dyDescent="0.3">
      <c r="A687" t="s">
        <v>987</v>
      </c>
      <c r="B687" t="s">
        <v>28</v>
      </c>
      <c r="C687" t="s">
        <v>29</v>
      </c>
      <c r="D687" t="s">
        <v>30</v>
      </c>
      <c r="E687">
        <v>2007</v>
      </c>
      <c r="F687">
        <v>20000</v>
      </c>
      <c r="G687" t="s">
        <v>3521</v>
      </c>
      <c r="H687" t="s">
        <v>3196</v>
      </c>
      <c r="I687" t="s">
        <v>35</v>
      </c>
      <c r="J687" t="s">
        <v>3555</v>
      </c>
      <c r="K687" t="s">
        <v>31</v>
      </c>
      <c r="L687" t="s">
        <v>37</v>
      </c>
      <c r="M687" t="s">
        <v>33</v>
      </c>
      <c r="N687" t="s">
        <v>27</v>
      </c>
      <c r="O687" t="s">
        <v>27</v>
      </c>
      <c r="P687" t="s">
        <v>31</v>
      </c>
      <c r="Q687" t="s">
        <v>31</v>
      </c>
      <c r="R687" t="s">
        <v>31</v>
      </c>
      <c r="S687" t="s">
        <v>31</v>
      </c>
      <c r="T687" t="s">
        <v>31</v>
      </c>
    </row>
    <row r="688" spans="1:20" hidden="1" x14ac:dyDescent="0.3">
      <c r="A688" t="s">
        <v>988</v>
      </c>
      <c r="B688" t="s">
        <v>28</v>
      </c>
      <c r="C688" t="s">
        <v>29</v>
      </c>
      <c r="D688" t="s">
        <v>30</v>
      </c>
      <c r="E688">
        <v>2007</v>
      </c>
      <c r="F688">
        <v>600000</v>
      </c>
      <c r="G688" t="s">
        <v>3521</v>
      </c>
      <c r="H688" t="s">
        <v>2672</v>
      </c>
      <c r="I688" t="s">
        <v>73</v>
      </c>
      <c r="J688" t="s">
        <v>3556</v>
      </c>
      <c r="K688" t="s">
        <v>31</v>
      </c>
      <c r="L688" t="s">
        <v>37</v>
      </c>
      <c r="M688" t="s">
        <v>33</v>
      </c>
      <c r="N688" t="s">
        <v>27</v>
      </c>
      <c r="O688" t="s">
        <v>33</v>
      </c>
      <c r="P688" t="s">
        <v>31</v>
      </c>
      <c r="Q688">
        <v>265</v>
      </c>
      <c r="R688">
        <v>14.54</v>
      </c>
      <c r="S688">
        <v>-61.02</v>
      </c>
      <c r="T688" t="s">
        <v>31</v>
      </c>
    </row>
    <row r="689" spans="1:20" hidden="1" x14ac:dyDescent="0.3">
      <c r="A689" t="s">
        <v>989</v>
      </c>
      <c r="B689" t="s">
        <v>28</v>
      </c>
      <c r="C689" t="s">
        <v>29</v>
      </c>
      <c r="D689" t="s">
        <v>30</v>
      </c>
      <c r="E689">
        <v>2007</v>
      </c>
      <c r="F689">
        <v>300000</v>
      </c>
      <c r="G689" t="s">
        <v>3521</v>
      </c>
      <c r="H689" t="s">
        <v>3557</v>
      </c>
      <c r="I689" t="s">
        <v>244</v>
      </c>
      <c r="J689" t="s">
        <v>3558</v>
      </c>
      <c r="K689" t="s">
        <v>31</v>
      </c>
      <c r="L689" t="s">
        <v>82</v>
      </c>
      <c r="M689" t="s">
        <v>27</v>
      </c>
      <c r="N689" t="s">
        <v>27</v>
      </c>
      <c r="O689" t="s">
        <v>27</v>
      </c>
      <c r="P689" t="s">
        <v>31</v>
      </c>
      <c r="Q689">
        <v>160</v>
      </c>
      <c r="R689">
        <v>14.64</v>
      </c>
      <c r="S689">
        <v>-61.02</v>
      </c>
      <c r="T689" t="s">
        <v>31</v>
      </c>
    </row>
    <row r="690" spans="1:20" hidden="1" x14ac:dyDescent="0.3">
      <c r="A690" t="s">
        <v>990</v>
      </c>
      <c r="B690" t="s">
        <v>28</v>
      </c>
      <c r="C690" t="s">
        <v>29</v>
      </c>
      <c r="D690" t="s">
        <v>30</v>
      </c>
      <c r="E690">
        <v>2007</v>
      </c>
      <c r="F690" t="s">
        <v>31</v>
      </c>
      <c r="G690" t="s">
        <v>3527</v>
      </c>
      <c r="H690" t="s">
        <v>2719</v>
      </c>
      <c r="I690" t="s">
        <v>90</v>
      </c>
      <c r="J690" t="s">
        <v>3559</v>
      </c>
      <c r="K690" t="s">
        <v>31</v>
      </c>
      <c r="L690" t="s">
        <v>82</v>
      </c>
      <c r="M690" t="s">
        <v>27</v>
      </c>
      <c r="N690" t="s">
        <v>27</v>
      </c>
      <c r="O690" t="s">
        <v>27</v>
      </c>
      <c r="P690" t="s">
        <v>31</v>
      </c>
      <c r="Q690" t="s">
        <v>31</v>
      </c>
      <c r="R690">
        <v>14.62</v>
      </c>
      <c r="S690">
        <v>-83.64</v>
      </c>
      <c r="T690" t="s">
        <v>31</v>
      </c>
    </row>
    <row r="691" spans="1:20" hidden="1" x14ac:dyDescent="0.3">
      <c r="A691" t="s">
        <v>991</v>
      </c>
      <c r="B691" t="s">
        <v>28</v>
      </c>
      <c r="C691" t="s">
        <v>29</v>
      </c>
      <c r="D691" t="s">
        <v>30</v>
      </c>
      <c r="E691">
        <v>2007</v>
      </c>
      <c r="F691" t="s">
        <v>31</v>
      </c>
      <c r="G691" t="s">
        <v>3527</v>
      </c>
      <c r="H691" t="s">
        <v>2675</v>
      </c>
      <c r="I691" t="s">
        <v>81</v>
      </c>
      <c r="J691" t="s">
        <v>3560</v>
      </c>
      <c r="K691" t="s">
        <v>31</v>
      </c>
      <c r="L691" t="s">
        <v>82</v>
      </c>
      <c r="M691" t="s">
        <v>33</v>
      </c>
      <c r="N691" t="s">
        <v>33</v>
      </c>
      <c r="O691" t="s">
        <v>27</v>
      </c>
      <c r="P691" t="s">
        <v>31</v>
      </c>
      <c r="Q691" t="s">
        <v>31</v>
      </c>
      <c r="R691">
        <v>14.62</v>
      </c>
      <c r="S691">
        <v>-83.64</v>
      </c>
      <c r="T691" t="s">
        <v>31</v>
      </c>
    </row>
    <row r="692" spans="1:20" hidden="1" x14ac:dyDescent="0.3">
      <c r="A692" t="s">
        <v>992</v>
      </c>
      <c r="B692" t="s">
        <v>39</v>
      </c>
      <c r="C692" t="s">
        <v>40</v>
      </c>
      <c r="D692" t="s">
        <v>41</v>
      </c>
      <c r="E692">
        <v>2007</v>
      </c>
      <c r="F692">
        <v>30000</v>
      </c>
      <c r="G692" t="s">
        <v>3561</v>
      </c>
      <c r="H692" t="s">
        <v>2769</v>
      </c>
      <c r="I692" t="s">
        <v>117</v>
      </c>
      <c r="J692" t="s">
        <v>3562</v>
      </c>
      <c r="K692" t="s">
        <v>3563</v>
      </c>
      <c r="L692" t="s">
        <v>31</v>
      </c>
      <c r="M692" t="s">
        <v>33</v>
      </c>
      <c r="N692" t="s">
        <v>27</v>
      </c>
      <c r="O692" t="s">
        <v>33</v>
      </c>
      <c r="P692" t="s">
        <v>31</v>
      </c>
      <c r="Q692" t="s">
        <v>31</v>
      </c>
      <c r="R692" t="s">
        <v>31</v>
      </c>
      <c r="S692" t="s">
        <v>31</v>
      </c>
      <c r="T692" t="s">
        <v>31</v>
      </c>
    </row>
    <row r="693" spans="1:20" hidden="1" x14ac:dyDescent="0.3">
      <c r="A693" t="s">
        <v>993</v>
      </c>
      <c r="B693" t="s">
        <v>91</v>
      </c>
      <c r="C693" t="s">
        <v>92</v>
      </c>
      <c r="D693" t="s">
        <v>93</v>
      </c>
      <c r="E693">
        <v>2007</v>
      </c>
      <c r="F693" t="s">
        <v>31</v>
      </c>
      <c r="G693" t="s">
        <v>3564</v>
      </c>
      <c r="H693" t="s">
        <v>2753</v>
      </c>
      <c r="I693" t="s">
        <v>49</v>
      </c>
      <c r="J693" t="s">
        <v>3565</v>
      </c>
      <c r="K693" t="s">
        <v>31</v>
      </c>
      <c r="L693" t="s">
        <v>31</v>
      </c>
      <c r="M693" t="s">
        <v>27</v>
      </c>
      <c r="N693" t="s">
        <v>27</v>
      </c>
      <c r="O693" t="s">
        <v>27</v>
      </c>
      <c r="P693" t="s">
        <v>31</v>
      </c>
      <c r="Q693">
        <v>5.3</v>
      </c>
      <c r="R693">
        <v>14.827999999999999</v>
      </c>
      <c r="S693">
        <v>-87.12</v>
      </c>
      <c r="T693" t="s">
        <v>31</v>
      </c>
    </row>
    <row r="694" spans="1:20" hidden="1" x14ac:dyDescent="0.3">
      <c r="A694" t="s">
        <v>994</v>
      </c>
      <c r="B694" t="s">
        <v>51</v>
      </c>
      <c r="C694" t="s">
        <v>37</v>
      </c>
      <c r="D694" t="s">
        <v>52</v>
      </c>
      <c r="E694">
        <v>2007</v>
      </c>
      <c r="F694" t="s">
        <v>31</v>
      </c>
      <c r="G694" t="s">
        <v>31</v>
      </c>
      <c r="H694" t="s">
        <v>2656</v>
      </c>
      <c r="I694" t="s">
        <v>119</v>
      </c>
      <c r="J694" t="s">
        <v>2602</v>
      </c>
      <c r="K694" t="s">
        <v>2664</v>
      </c>
      <c r="L694" t="s">
        <v>31</v>
      </c>
      <c r="M694" t="s">
        <v>27</v>
      </c>
      <c r="N694" t="s">
        <v>27</v>
      </c>
      <c r="O694" t="s">
        <v>27</v>
      </c>
      <c r="P694" t="s">
        <v>31</v>
      </c>
      <c r="Q694">
        <v>127400</v>
      </c>
      <c r="R694">
        <v>-30.25</v>
      </c>
      <c r="S694">
        <v>-52.67</v>
      </c>
      <c r="T694" t="s">
        <v>31</v>
      </c>
    </row>
    <row r="695" spans="1:20" hidden="1" x14ac:dyDescent="0.3">
      <c r="A695" t="s">
        <v>995</v>
      </c>
      <c r="B695" t="s">
        <v>51</v>
      </c>
      <c r="C695" t="s">
        <v>37</v>
      </c>
      <c r="D695" t="s">
        <v>121</v>
      </c>
      <c r="E695">
        <v>2007</v>
      </c>
      <c r="F695">
        <v>80000</v>
      </c>
      <c r="G695" t="s">
        <v>31</v>
      </c>
      <c r="H695" t="s">
        <v>2695</v>
      </c>
      <c r="I695" t="s">
        <v>161</v>
      </c>
      <c r="J695" t="s">
        <v>3566</v>
      </c>
      <c r="K695" t="s">
        <v>2664</v>
      </c>
      <c r="L695" t="s">
        <v>54</v>
      </c>
      <c r="M695" t="s">
        <v>33</v>
      </c>
      <c r="N695" t="s">
        <v>27</v>
      </c>
      <c r="O695" t="s">
        <v>33</v>
      </c>
      <c r="P695" t="s">
        <v>31</v>
      </c>
      <c r="Q695" t="s">
        <v>31</v>
      </c>
      <c r="R695">
        <v>10.98</v>
      </c>
      <c r="S695">
        <v>-85.44</v>
      </c>
      <c r="T695" t="s">
        <v>31</v>
      </c>
    </row>
    <row r="696" spans="1:20" hidden="1" x14ac:dyDescent="0.3">
      <c r="A696" t="s">
        <v>996</v>
      </c>
      <c r="B696" t="s">
        <v>51</v>
      </c>
      <c r="C696" t="s">
        <v>37</v>
      </c>
      <c r="D696" t="s">
        <v>121</v>
      </c>
      <c r="E696">
        <v>2007</v>
      </c>
      <c r="F696" t="s">
        <v>31</v>
      </c>
      <c r="G696" t="s">
        <v>31</v>
      </c>
      <c r="H696" t="s">
        <v>2753</v>
      </c>
      <c r="I696" t="s">
        <v>49</v>
      </c>
      <c r="J696" t="s">
        <v>3567</v>
      </c>
      <c r="K696" t="s">
        <v>2649</v>
      </c>
      <c r="L696" t="s">
        <v>31</v>
      </c>
      <c r="M696" t="s">
        <v>33</v>
      </c>
      <c r="N696" t="s">
        <v>27</v>
      </c>
      <c r="O696" t="s">
        <v>27</v>
      </c>
      <c r="P696" t="s">
        <v>31</v>
      </c>
      <c r="Q696" t="s">
        <v>31</v>
      </c>
      <c r="R696">
        <v>10.98</v>
      </c>
      <c r="S696">
        <v>-85.44</v>
      </c>
      <c r="T696" t="s">
        <v>31</v>
      </c>
    </row>
    <row r="697" spans="1:20" hidden="1" x14ac:dyDescent="0.3">
      <c r="A697" t="s">
        <v>997</v>
      </c>
      <c r="B697" t="s">
        <v>51</v>
      </c>
      <c r="C697" t="s">
        <v>37</v>
      </c>
      <c r="D697" t="s">
        <v>121</v>
      </c>
      <c r="E697">
        <v>2007</v>
      </c>
      <c r="F697">
        <v>3000000</v>
      </c>
      <c r="G697" t="s">
        <v>3568</v>
      </c>
      <c r="H697" t="s">
        <v>2672</v>
      </c>
      <c r="I697" t="s">
        <v>73</v>
      </c>
      <c r="J697" t="s">
        <v>3569</v>
      </c>
      <c r="K697" t="s">
        <v>2664</v>
      </c>
      <c r="L697" t="s">
        <v>473</v>
      </c>
      <c r="M697" t="s">
        <v>33</v>
      </c>
      <c r="N697" t="s">
        <v>33</v>
      </c>
      <c r="O697" t="s">
        <v>33</v>
      </c>
      <c r="P697">
        <v>12610</v>
      </c>
      <c r="Q697">
        <v>35810</v>
      </c>
      <c r="R697">
        <v>17.670000000000002</v>
      </c>
      <c r="S697">
        <v>-92.41</v>
      </c>
      <c r="T697" t="s">
        <v>3570</v>
      </c>
    </row>
    <row r="698" spans="1:20" hidden="1" x14ac:dyDescent="0.3">
      <c r="A698" t="s">
        <v>998</v>
      </c>
      <c r="B698" t="s">
        <v>91</v>
      </c>
      <c r="C698" t="s">
        <v>92</v>
      </c>
      <c r="D698" t="s">
        <v>93</v>
      </c>
      <c r="E698">
        <v>2007</v>
      </c>
      <c r="F698" t="s">
        <v>31</v>
      </c>
      <c r="G698" t="s">
        <v>3536</v>
      </c>
      <c r="H698" t="s">
        <v>2959</v>
      </c>
      <c r="I698" t="s">
        <v>144</v>
      </c>
      <c r="J698" t="s">
        <v>3571</v>
      </c>
      <c r="K698" t="s">
        <v>31</v>
      </c>
      <c r="L698" t="s">
        <v>54</v>
      </c>
      <c r="M698" t="s">
        <v>27</v>
      </c>
      <c r="N698" t="s">
        <v>27</v>
      </c>
      <c r="O698" t="s">
        <v>27</v>
      </c>
      <c r="P698" t="s">
        <v>31</v>
      </c>
      <c r="Q698">
        <v>7.4</v>
      </c>
      <c r="R698">
        <v>14.944000000000001</v>
      </c>
      <c r="S698">
        <v>-61.274000000000001</v>
      </c>
      <c r="T698" t="s">
        <v>31</v>
      </c>
    </row>
    <row r="699" spans="1:20" hidden="1" x14ac:dyDescent="0.3">
      <c r="A699" t="s">
        <v>999</v>
      </c>
      <c r="B699" t="s">
        <v>28</v>
      </c>
      <c r="C699" t="s">
        <v>29</v>
      </c>
      <c r="D699" t="s">
        <v>189</v>
      </c>
      <c r="E699">
        <v>2007</v>
      </c>
      <c r="F699" t="s">
        <v>31</v>
      </c>
      <c r="G699" t="s">
        <v>31</v>
      </c>
      <c r="H699" t="s">
        <v>2739</v>
      </c>
      <c r="I699" t="s">
        <v>77</v>
      </c>
      <c r="J699" t="s">
        <v>3572</v>
      </c>
      <c r="K699" t="s">
        <v>31</v>
      </c>
      <c r="L699" t="s">
        <v>31</v>
      </c>
      <c r="M699" t="s">
        <v>27</v>
      </c>
      <c r="N699" t="s">
        <v>27</v>
      </c>
      <c r="O699" t="s">
        <v>27</v>
      </c>
      <c r="P699" t="s">
        <v>31</v>
      </c>
      <c r="Q699" t="s">
        <v>31</v>
      </c>
      <c r="R699" t="s">
        <v>31</v>
      </c>
      <c r="S699" t="s">
        <v>31</v>
      </c>
      <c r="T699" t="s">
        <v>31</v>
      </c>
    </row>
    <row r="700" spans="1:20" hidden="1" x14ac:dyDescent="0.3">
      <c r="A700" t="s">
        <v>1000</v>
      </c>
      <c r="B700" t="s">
        <v>28</v>
      </c>
      <c r="C700" t="s">
        <v>29</v>
      </c>
      <c r="D700" t="s">
        <v>189</v>
      </c>
      <c r="E700">
        <v>2007</v>
      </c>
      <c r="F700" t="s">
        <v>31</v>
      </c>
      <c r="G700" t="s">
        <v>31</v>
      </c>
      <c r="H700" t="s">
        <v>2645</v>
      </c>
      <c r="I700" t="s">
        <v>34</v>
      </c>
      <c r="J700" t="s">
        <v>3573</v>
      </c>
      <c r="K700" t="s">
        <v>31</v>
      </c>
      <c r="L700" t="s">
        <v>290</v>
      </c>
      <c r="M700" t="s">
        <v>27</v>
      </c>
      <c r="N700" t="s">
        <v>27</v>
      </c>
      <c r="O700" t="s">
        <v>27</v>
      </c>
      <c r="P700" t="s">
        <v>31</v>
      </c>
      <c r="Q700">
        <v>109</v>
      </c>
      <c r="R700" t="s">
        <v>31</v>
      </c>
      <c r="S700" t="s">
        <v>31</v>
      </c>
      <c r="T700" t="s">
        <v>31</v>
      </c>
    </row>
    <row r="701" spans="1:20" hidden="1" x14ac:dyDescent="0.3">
      <c r="A701" t="s">
        <v>1001</v>
      </c>
      <c r="B701" t="s">
        <v>28</v>
      </c>
      <c r="C701" t="s">
        <v>29</v>
      </c>
      <c r="D701" t="s">
        <v>189</v>
      </c>
      <c r="E701">
        <v>2007</v>
      </c>
      <c r="F701">
        <v>500000</v>
      </c>
      <c r="G701" t="s">
        <v>31</v>
      </c>
      <c r="H701" t="s">
        <v>2645</v>
      </c>
      <c r="I701" t="s">
        <v>34</v>
      </c>
      <c r="J701" t="s">
        <v>3574</v>
      </c>
      <c r="K701" t="s">
        <v>31</v>
      </c>
      <c r="L701" t="s">
        <v>290</v>
      </c>
      <c r="M701" t="s">
        <v>27</v>
      </c>
      <c r="N701" t="s">
        <v>27</v>
      </c>
      <c r="O701" t="s">
        <v>27</v>
      </c>
      <c r="P701" t="s">
        <v>31</v>
      </c>
      <c r="Q701" t="s">
        <v>31</v>
      </c>
      <c r="R701" t="s">
        <v>31</v>
      </c>
      <c r="S701" t="s">
        <v>31</v>
      </c>
      <c r="T701" t="s">
        <v>31</v>
      </c>
    </row>
    <row r="702" spans="1:20" hidden="1" x14ac:dyDescent="0.3">
      <c r="A702" t="s">
        <v>1002</v>
      </c>
      <c r="B702" t="s">
        <v>51</v>
      </c>
      <c r="C702" t="s">
        <v>37</v>
      </c>
      <c r="D702" t="s">
        <v>121</v>
      </c>
      <c r="E702">
        <v>2007</v>
      </c>
      <c r="F702">
        <v>500000</v>
      </c>
      <c r="G702" t="s">
        <v>3575</v>
      </c>
      <c r="H702" t="s">
        <v>2669</v>
      </c>
      <c r="I702" t="s">
        <v>111</v>
      </c>
      <c r="J702" t="s">
        <v>3576</v>
      </c>
      <c r="K702" t="s">
        <v>3577</v>
      </c>
      <c r="L702" t="s">
        <v>402</v>
      </c>
      <c r="M702" t="s">
        <v>33</v>
      </c>
      <c r="N702" t="s">
        <v>33</v>
      </c>
      <c r="O702" t="s">
        <v>33</v>
      </c>
      <c r="P702">
        <v>26053</v>
      </c>
      <c r="Q702">
        <v>218600</v>
      </c>
      <c r="R702">
        <v>-17.66</v>
      </c>
      <c r="S702">
        <v>-65.3</v>
      </c>
      <c r="T702" t="s">
        <v>31</v>
      </c>
    </row>
    <row r="703" spans="1:20" hidden="1" x14ac:dyDescent="0.3">
      <c r="A703" t="s">
        <v>1003</v>
      </c>
      <c r="B703" t="s">
        <v>28</v>
      </c>
      <c r="C703" t="s">
        <v>29</v>
      </c>
      <c r="D703" t="s">
        <v>30</v>
      </c>
      <c r="E703">
        <v>2007</v>
      </c>
      <c r="F703" t="s">
        <v>31</v>
      </c>
      <c r="G703" t="s">
        <v>31</v>
      </c>
      <c r="H703" t="s">
        <v>2672</v>
      </c>
      <c r="I703" t="s">
        <v>73</v>
      </c>
      <c r="J703" t="s">
        <v>3578</v>
      </c>
      <c r="K703" t="s">
        <v>31</v>
      </c>
      <c r="L703" t="s">
        <v>31</v>
      </c>
      <c r="M703" t="s">
        <v>27</v>
      </c>
      <c r="N703" t="s">
        <v>27</v>
      </c>
      <c r="O703" t="s">
        <v>27</v>
      </c>
      <c r="P703" t="s">
        <v>31</v>
      </c>
      <c r="Q703" t="s">
        <v>31</v>
      </c>
      <c r="R703" t="s">
        <v>31</v>
      </c>
      <c r="S703" t="s">
        <v>31</v>
      </c>
      <c r="T703" t="s">
        <v>31</v>
      </c>
    </row>
    <row r="704" spans="1:20" hidden="1" x14ac:dyDescent="0.3">
      <c r="A704" t="s">
        <v>1569</v>
      </c>
      <c r="B704" t="s">
        <v>91</v>
      </c>
      <c r="C704" t="s">
        <v>2712</v>
      </c>
      <c r="D704" t="s">
        <v>105</v>
      </c>
      <c r="E704">
        <v>2007</v>
      </c>
      <c r="F704" t="s">
        <v>31</v>
      </c>
      <c r="G704" t="s">
        <v>3579</v>
      </c>
      <c r="H704" t="s">
        <v>2647</v>
      </c>
      <c r="I704" t="s">
        <v>47</v>
      </c>
      <c r="J704" t="s">
        <v>3580</v>
      </c>
      <c r="K704" t="s">
        <v>31</v>
      </c>
      <c r="L704" t="s">
        <v>54</v>
      </c>
      <c r="M704" t="s">
        <v>27</v>
      </c>
      <c r="N704" t="s">
        <v>27</v>
      </c>
      <c r="O704" t="s">
        <v>27</v>
      </c>
      <c r="P704" t="s">
        <v>31</v>
      </c>
      <c r="Q704" t="s">
        <v>31</v>
      </c>
      <c r="R704">
        <v>2.93</v>
      </c>
      <c r="S704">
        <v>-76.03</v>
      </c>
      <c r="T704" t="s">
        <v>31</v>
      </c>
    </row>
    <row r="705" spans="1:20" x14ac:dyDescent="0.3">
      <c r="A705" t="s">
        <v>1570</v>
      </c>
      <c r="B705" t="s">
        <v>51</v>
      </c>
      <c r="C705" t="s">
        <v>37</v>
      </c>
      <c r="D705" t="s">
        <v>56</v>
      </c>
      <c r="E705">
        <v>2007</v>
      </c>
      <c r="F705">
        <v>125000</v>
      </c>
      <c r="G705" t="s">
        <v>3581</v>
      </c>
      <c r="H705" t="s">
        <v>2656</v>
      </c>
      <c r="I705" t="s">
        <v>119</v>
      </c>
      <c r="J705" t="s">
        <v>2615</v>
      </c>
      <c r="K705" t="s">
        <v>2664</v>
      </c>
      <c r="L705" t="s">
        <v>54</v>
      </c>
      <c r="M705" t="s">
        <v>27</v>
      </c>
      <c r="N705" t="s">
        <v>27</v>
      </c>
      <c r="O705" t="s">
        <v>33</v>
      </c>
      <c r="P705" t="s">
        <v>31</v>
      </c>
      <c r="Q705">
        <v>210600</v>
      </c>
      <c r="R705">
        <v>-22.42</v>
      </c>
      <c r="S705">
        <v>-44</v>
      </c>
      <c r="T705" t="s">
        <v>3582</v>
      </c>
    </row>
    <row r="706" spans="1:20" hidden="1" x14ac:dyDescent="0.3">
      <c r="A706" t="s">
        <v>1571</v>
      </c>
      <c r="B706" t="s">
        <v>51</v>
      </c>
      <c r="C706" t="s">
        <v>2655</v>
      </c>
      <c r="D706" t="s">
        <v>150</v>
      </c>
      <c r="E706">
        <v>2007</v>
      </c>
      <c r="F706" t="s">
        <v>31</v>
      </c>
      <c r="G706" t="s">
        <v>3583</v>
      </c>
      <c r="H706" t="s">
        <v>2656</v>
      </c>
      <c r="I706" t="s">
        <v>119</v>
      </c>
      <c r="J706" t="s">
        <v>3584</v>
      </c>
      <c r="K706" t="s">
        <v>3585</v>
      </c>
      <c r="L706" t="s">
        <v>31</v>
      </c>
      <c r="M706" t="s">
        <v>27</v>
      </c>
      <c r="N706" t="s">
        <v>27</v>
      </c>
      <c r="O706" t="s">
        <v>27</v>
      </c>
      <c r="P706" t="s">
        <v>31</v>
      </c>
      <c r="Q706" t="s">
        <v>31</v>
      </c>
      <c r="R706" t="s">
        <v>31</v>
      </c>
      <c r="S706" t="s">
        <v>31</v>
      </c>
      <c r="T706" t="s">
        <v>31</v>
      </c>
    </row>
    <row r="707" spans="1:20" hidden="1" x14ac:dyDescent="0.3">
      <c r="A707" t="s">
        <v>1572</v>
      </c>
      <c r="B707" t="s">
        <v>51</v>
      </c>
      <c r="C707" t="s">
        <v>37</v>
      </c>
      <c r="D707" t="s">
        <v>121</v>
      </c>
      <c r="E707">
        <v>2007</v>
      </c>
      <c r="F707" t="s">
        <v>31</v>
      </c>
      <c r="G707" t="s">
        <v>31</v>
      </c>
      <c r="H707" t="s">
        <v>2645</v>
      </c>
      <c r="I707" t="s">
        <v>34</v>
      </c>
      <c r="J707" t="s">
        <v>3586</v>
      </c>
      <c r="K707" t="s">
        <v>2649</v>
      </c>
      <c r="L707" t="s">
        <v>31</v>
      </c>
      <c r="M707" t="s">
        <v>27</v>
      </c>
      <c r="N707" t="s">
        <v>27</v>
      </c>
      <c r="O707" t="s">
        <v>27</v>
      </c>
      <c r="P707" t="s">
        <v>31</v>
      </c>
      <c r="Q707">
        <v>434.4</v>
      </c>
      <c r="R707">
        <v>34.880000000000003</v>
      </c>
      <c r="S707">
        <v>-90.07</v>
      </c>
      <c r="T707" t="s">
        <v>3587</v>
      </c>
    </row>
    <row r="708" spans="1:20" hidden="1" x14ac:dyDescent="0.3">
      <c r="A708" t="s">
        <v>1573</v>
      </c>
      <c r="B708" t="s">
        <v>51</v>
      </c>
      <c r="C708" t="s">
        <v>37</v>
      </c>
      <c r="D708" t="s">
        <v>121</v>
      </c>
      <c r="E708">
        <v>2007</v>
      </c>
      <c r="F708">
        <v>90000</v>
      </c>
      <c r="G708" t="s">
        <v>31</v>
      </c>
      <c r="H708" t="s">
        <v>2669</v>
      </c>
      <c r="I708" t="s">
        <v>111</v>
      </c>
      <c r="J708" t="s">
        <v>2812</v>
      </c>
      <c r="K708" t="s">
        <v>3588</v>
      </c>
      <c r="L708" t="s">
        <v>54</v>
      </c>
      <c r="M708" t="s">
        <v>33</v>
      </c>
      <c r="N708" t="s">
        <v>27</v>
      </c>
      <c r="O708" t="s">
        <v>33</v>
      </c>
      <c r="P708">
        <v>13000</v>
      </c>
      <c r="Q708">
        <v>801000</v>
      </c>
      <c r="R708">
        <v>-16.97</v>
      </c>
      <c r="S708">
        <v>-61.96</v>
      </c>
      <c r="T708" t="s">
        <v>3589</v>
      </c>
    </row>
    <row r="709" spans="1:20" hidden="1" x14ac:dyDescent="0.3">
      <c r="A709" t="s">
        <v>1574</v>
      </c>
      <c r="B709" t="s">
        <v>51</v>
      </c>
      <c r="C709" t="s">
        <v>37</v>
      </c>
      <c r="D709" t="s">
        <v>121</v>
      </c>
      <c r="E709">
        <v>2007</v>
      </c>
      <c r="F709">
        <v>30000</v>
      </c>
      <c r="G709" t="s">
        <v>3590</v>
      </c>
      <c r="H709" t="s">
        <v>2658</v>
      </c>
      <c r="I709" t="s">
        <v>130</v>
      </c>
      <c r="J709" t="s">
        <v>3591</v>
      </c>
      <c r="K709" t="s">
        <v>2649</v>
      </c>
      <c r="L709" t="s">
        <v>181</v>
      </c>
      <c r="M709" t="s">
        <v>27</v>
      </c>
      <c r="N709" t="s">
        <v>27</v>
      </c>
      <c r="O709" t="s">
        <v>27</v>
      </c>
      <c r="P709" t="s">
        <v>31</v>
      </c>
      <c r="Q709">
        <v>518000</v>
      </c>
      <c r="R709" t="s">
        <v>31</v>
      </c>
      <c r="S709" t="s">
        <v>31</v>
      </c>
      <c r="T709" t="s">
        <v>3592</v>
      </c>
    </row>
    <row r="710" spans="1:20" hidden="1" x14ac:dyDescent="0.3">
      <c r="A710" t="s">
        <v>1575</v>
      </c>
      <c r="B710" t="s">
        <v>28</v>
      </c>
      <c r="C710" t="s">
        <v>29</v>
      </c>
      <c r="D710" t="s">
        <v>67</v>
      </c>
      <c r="E710">
        <v>2007</v>
      </c>
      <c r="F710" t="s">
        <v>31</v>
      </c>
      <c r="G710" t="s">
        <v>31</v>
      </c>
      <c r="H710" t="s">
        <v>2739</v>
      </c>
      <c r="I710" t="s">
        <v>77</v>
      </c>
      <c r="J710" t="s">
        <v>3593</v>
      </c>
      <c r="K710" t="s">
        <v>31</v>
      </c>
      <c r="L710" t="s">
        <v>68</v>
      </c>
      <c r="M710" t="s">
        <v>27</v>
      </c>
      <c r="N710" t="s">
        <v>27</v>
      </c>
      <c r="O710" t="s">
        <v>27</v>
      </c>
      <c r="P710" t="s">
        <v>31</v>
      </c>
      <c r="Q710" t="s">
        <v>31</v>
      </c>
      <c r="R710" t="s">
        <v>31</v>
      </c>
      <c r="S710" t="s">
        <v>31</v>
      </c>
      <c r="T710" t="s">
        <v>31</v>
      </c>
    </row>
    <row r="711" spans="1:20" hidden="1" x14ac:dyDescent="0.3">
      <c r="A711" t="s">
        <v>1576</v>
      </c>
      <c r="B711" t="s">
        <v>51</v>
      </c>
      <c r="C711" t="s">
        <v>37</v>
      </c>
      <c r="D711" t="s">
        <v>121</v>
      </c>
      <c r="E711">
        <v>2007</v>
      </c>
      <c r="F711" t="s">
        <v>31</v>
      </c>
      <c r="G711" t="s">
        <v>3594</v>
      </c>
      <c r="H711" t="s">
        <v>2749</v>
      </c>
      <c r="I711" t="s">
        <v>45</v>
      </c>
      <c r="J711" t="s">
        <v>3595</v>
      </c>
      <c r="K711" t="s">
        <v>2649</v>
      </c>
      <c r="L711" t="s">
        <v>405</v>
      </c>
      <c r="M711" t="s">
        <v>27</v>
      </c>
      <c r="N711" t="s">
        <v>27</v>
      </c>
      <c r="O711" t="s">
        <v>27</v>
      </c>
      <c r="P711" t="s">
        <v>31</v>
      </c>
      <c r="Q711" t="s">
        <v>31</v>
      </c>
      <c r="R711">
        <v>19.41</v>
      </c>
      <c r="S711">
        <v>-71.78</v>
      </c>
      <c r="T711" t="s">
        <v>31</v>
      </c>
    </row>
    <row r="712" spans="1:20" hidden="1" x14ac:dyDescent="0.3">
      <c r="A712" t="s">
        <v>1577</v>
      </c>
      <c r="B712" t="s">
        <v>51</v>
      </c>
      <c r="C712" t="s">
        <v>37</v>
      </c>
      <c r="D712" t="s">
        <v>121</v>
      </c>
      <c r="E712">
        <v>2007</v>
      </c>
      <c r="F712" t="s">
        <v>31</v>
      </c>
      <c r="G712" t="s">
        <v>3548</v>
      </c>
      <c r="H712" t="s">
        <v>2730</v>
      </c>
      <c r="I712" t="s">
        <v>57</v>
      </c>
      <c r="J712" t="s">
        <v>3596</v>
      </c>
      <c r="K712" t="s">
        <v>2664</v>
      </c>
      <c r="L712" t="s">
        <v>31</v>
      </c>
      <c r="M712" t="s">
        <v>27</v>
      </c>
      <c r="N712" t="s">
        <v>27</v>
      </c>
      <c r="O712" t="s">
        <v>27</v>
      </c>
      <c r="P712" t="s">
        <v>31</v>
      </c>
      <c r="Q712" t="s">
        <v>31</v>
      </c>
      <c r="R712">
        <v>-31.99</v>
      </c>
      <c r="S712">
        <v>-59.12</v>
      </c>
      <c r="T712" t="s">
        <v>3597</v>
      </c>
    </row>
    <row r="713" spans="1:20" hidden="1" x14ac:dyDescent="0.3">
      <c r="A713" t="s">
        <v>1578</v>
      </c>
      <c r="B713" t="s">
        <v>51</v>
      </c>
      <c r="C713" t="s">
        <v>37</v>
      </c>
      <c r="D713" t="s">
        <v>121</v>
      </c>
      <c r="E713">
        <v>2007</v>
      </c>
      <c r="F713" t="s">
        <v>31</v>
      </c>
      <c r="G713" t="s">
        <v>31</v>
      </c>
      <c r="H713" t="s">
        <v>2645</v>
      </c>
      <c r="I713" t="s">
        <v>34</v>
      </c>
      <c r="J713" t="s">
        <v>3598</v>
      </c>
      <c r="K713" t="s">
        <v>2664</v>
      </c>
      <c r="L713" t="s">
        <v>31</v>
      </c>
      <c r="M713" t="s">
        <v>27</v>
      </c>
      <c r="N713" t="s">
        <v>27</v>
      </c>
      <c r="O713" t="s">
        <v>27</v>
      </c>
      <c r="P713" t="s">
        <v>31</v>
      </c>
      <c r="Q713">
        <v>341.3</v>
      </c>
      <c r="R713">
        <v>30.24</v>
      </c>
      <c r="S713">
        <v>-98.66</v>
      </c>
      <c r="T713" t="s">
        <v>3599</v>
      </c>
    </row>
    <row r="714" spans="1:20" hidden="1" x14ac:dyDescent="0.3">
      <c r="A714" t="s">
        <v>1579</v>
      </c>
      <c r="B714" t="s">
        <v>51</v>
      </c>
      <c r="C714" t="s">
        <v>37</v>
      </c>
      <c r="D714" t="s">
        <v>121</v>
      </c>
      <c r="E714">
        <v>2007</v>
      </c>
      <c r="F714" t="s">
        <v>31</v>
      </c>
      <c r="G714" t="s">
        <v>3600</v>
      </c>
      <c r="H714" t="s">
        <v>2647</v>
      </c>
      <c r="I714" t="s">
        <v>47</v>
      </c>
      <c r="J714" t="s">
        <v>3601</v>
      </c>
      <c r="K714" t="s">
        <v>2664</v>
      </c>
      <c r="L714" t="s">
        <v>54</v>
      </c>
      <c r="M714" t="s">
        <v>27</v>
      </c>
      <c r="N714" t="s">
        <v>27</v>
      </c>
      <c r="O714" t="s">
        <v>27</v>
      </c>
      <c r="P714">
        <v>3800</v>
      </c>
      <c r="Q714">
        <v>29770</v>
      </c>
      <c r="R714">
        <v>7.38</v>
      </c>
      <c r="S714">
        <v>-75.430000000000007</v>
      </c>
      <c r="T714" t="s">
        <v>3602</v>
      </c>
    </row>
    <row r="715" spans="1:20" hidden="1" x14ac:dyDescent="0.3">
      <c r="A715" t="s">
        <v>1580</v>
      </c>
      <c r="B715" t="s">
        <v>51</v>
      </c>
      <c r="C715" t="s">
        <v>37</v>
      </c>
      <c r="D715" t="s">
        <v>121</v>
      </c>
      <c r="E715">
        <v>2007</v>
      </c>
      <c r="F715">
        <v>45000</v>
      </c>
      <c r="G715" t="s">
        <v>3603</v>
      </c>
      <c r="H715" t="s">
        <v>2730</v>
      </c>
      <c r="I715" t="s">
        <v>57</v>
      </c>
      <c r="J715" t="s">
        <v>3604</v>
      </c>
      <c r="K715" t="s">
        <v>2664</v>
      </c>
      <c r="L715" t="s">
        <v>31</v>
      </c>
      <c r="M715" t="s">
        <v>33</v>
      </c>
      <c r="N715" t="s">
        <v>33</v>
      </c>
      <c r="O715" t="s">
        <v>33</v>
      </c>
      <c r="P715">
        <v>624</v>
      </c>
      <c r="Q715">
        <v>104100</v>
      </c>
      <c r="R715">
        <v>-32.770000000000003</v>
      </c>
      <c r="S715">
        <v>-55.8</v>
      </c>
      <c r="T715" t="s">
        <v>3605</v>
      </c>
    </row>
    <row r="716" spans="1:20" hidden="1" x14ac:dyDescent="0.3">
      <c r="A716" t="s">
        <v>1581</v>
      </c>
      <c r="B716" t="s">
        <v>51</v>
      </c>
      <c r="C716" t="s">
        <v>37</v>
      </c>
      <c r="D716" t="s">
        <v>121</v>
      </c>
      <c r="E716">
        <v>2007</v>
      </c>
      <c r="F716">
        <v>28000</v>
      </c>
      <c r="G716" t="s">
        <v>31</v>
      </c>
      <c r="H716" t="s">
        <v>2645</v>
      </c>
      <c r="I716" t="s">
        <v>34</v>
      </c>
      <c r="J716" t="s">
        <v>3606</v>
      </c>
      <c r="K716" t="s">
        <v>2664</v>
      </c>
      <c r="L716" t="s">
        <v>31</v>
      </c>
      <c r="M716" t="s">
        <v>27</v>
      </c>
      <c r="N716" t="s">
        <v>27</v>
      </c>
      <c r="O716" t="s">
        <v>27</v>
      </c>
      <c r="P716" t="s">
        <v>31</v>
      </c>
      <c r="Q716">
        <v>34750</v>
      </c>
      <c r="R716">
        <v>33.450000000000003</v>
      </c>
      <c r="S716">
        <v>-97.3</v>
      </c>
      <c r="T716" t="s">
        <v>3607</v>
      </c>
    </row>
    <row r="717" spans="1:20" hidden="1" x14ac:dyDescent="0.3">
      <c r="A717" t="s">
        <v>1582</v>
      </c>
      <c r="B717" t="s">
        <v>28</v>
      </c>
      <c r="C717" t="s">
        <v>2685</v>
      </c>
      <c r="D717" t="s">
        <v>278</v>
      </c>
      <c r="E717">
        <v>2007</v>
      </c>
      <c r="F717" t="s">
        <v>31</v>
      </c>
      <c r="G717" t="s">
        <v>3517</v>
      </c>
      <c r="H717" t="s">
        <v>2658</v>
      </c>
      <c r="I717" t="s">
        <v>130</v>
      </c>
      <c r="J717" t="s">
        <v>3608</v>
      </c>
      <c r="K717" t="s">
        <v>31</v>
      </c>
      <c r="L717" t="s">
        <v>355</v>
      </c>
      <c r="M717" t="s">
        <v>27</v>
      </c>
      <c r="N717" t="s">
        <v>27</v>
      </c>
      <c r="O717" t="s">
        <v>27</v>
      </c>
      <c r="P717" t="s">
        <v>31</v>
      </c>
      <c r="Q717">
        <v>-3.8</v>
      </c>
      <c r="R717" t="s">
        <v>31</v>
      </c>
      <c r="S717" t="s">
        <v>31</v>
      </c>
      <c r="T717" t="s">
        <v>31</v>
      </c>
    </row>
    <row r="718" spans="1:20" hidden="1" x14ac:dyDescent="0.3">
      <c r="A718" t="s">
        <v>1583</v>
      </c>
      <c r="B718" t="s">
        <v>51</v>
      </c>
      <c r="C718" t="s">
        <v>37</v>
      </c>
      <c r="D718" t="s">
        <v>121</v>
      </c>
      <c r="E718">
        <v>2007</v>
      </c>
      <c r="F718" t="s">
        <v>31</v>
      </c>
      <c r="G718" t="s">
        <v>31</v>
      </c>
      <c r="H718" t="s">
        <v>2749</v>
      </c>
      <c r="I718" t="s">
        <v>45</v>
      </c>
      <c r="J718" t="s">
        <v>3073</v>
      </c>
      <c r="K718" t="s">
        <v>2649</v>
      </c>
      <c r="L718" t="s">
        <v>31</v>
      </c>
      <c r="M718" t="s">
        <v>27</v>
      </c>
      <c r="N718" t="s">
        <v>27</v>
      </c>
      <c r="O718" t="s">
        <v>27</v>
      </c>
      <c r="P718" t="s">
        <v>31</v>
      </c>
      <c r="Q718">
        <v>44</v>
      </c>
      <c r="R718">
        <v>18.55</v>
      </c>
      <c r="S718">
        <v>-72.290000000000006</v>
      </c>
      <c r="T718" t="s">
        <v>31</v>
      </c>
    </row>
    <row r="719" spans="1:20" hidden="1" x14ac:dyDescent="0.3">
      <c r="A719" t="s">
        <v>1584</v>
      </c>
      <c r="B719" t="s">
        <v>28</v>
      </c>
      <c r="C719" t="s">
        <v>29</v>
      </c>
      <c r="D719" t="s">
        <v>30</v>
      </c>
      <c r="E719">
        <v>2007</v>
      </c>
      <c r="F719">
        <v>40000</v>
      </c>
      <c r="G719" t="s">
        <v>3521</v>
      </c>
      <c r="H719" t="s">
        <v>3184</v>
      </c>
      <c r="I719" t="s">
        <v>246</v>
      </c>
      <c r="J719" t="s">
        <v>3609</v>
      </c>
      <c r="K719" t="s">
        <v>31</v>
      </c>
      <c r="L719" t="s">
        <v>37</v>
      </c>
      <c r="M719" t="s">
        <v>33</v>
      </c>
      <c r="N719" t="s">
        <v>27</v>
      </c>
      <c r="O719" t="s">
        <v>27</v>
      </c>
      <c r="P719" t="s">
        <v>31</v>
      </c>
      <c r="Q719" t="s">
        <v>31</v>
      </c>
      <c r="R719">
        <v>14.64</v>
      </c>
      <c r="S719">
        <v>-61.02</v>
      </c>
      <c r="T719" t="s">
        <v>31</v>
      </c>
    </row>
    <row r="720" spans="1:20" hidden="1" x14ac:dyDescent="0.3">
      <c r="A720" t="s">
        <v>1585</v>
      </c>
      <c r="B720" t="s">
        <v>28</v>
      </c>
      <c r="C720" t="s">
        <v>29</v>
      </c>
      <c r="D720" t="s">
        <v>30</v>
      </c>
      <c r="E720">
        <v>2007</v>
      </c>
      <c r="F720">
        <v>6579</v>
      </c>
      <c r="G720" t="s">
        <v>3527</v>
      </c>
      <c r="H720" t="s">
        <v>2753</v>
      </c>
      <c r="I720" t="s">
        <v>49</v>
      </c>
      <c r="J720" t="s">
        <v>3610</v>
      </c>
      <c r="K720" t="s">
        <v>31</v>
      </c>
      <c r="L720" t="s">
        <v>82</v>
      </c>
      <c r="M720" t="s">
        <v>27</v>
      </c>
      <c r="N720" t="s">
        <v>27</v>
      </c>
      <c r="O720" t="s">
        <v>27</v>
      </c>
      <c r="P720" t="s">
        <v>31</v>
      </c>
      <c r="Q720" t="s">
        <v>31</v>
      </c>
      <c r="R720">
        <v>14.62</v>
      </c>
      <c r="S720">
        <v>-83.64</v>
      </c>
      <c r="T720" t="s">
        <v>31</v>
      </c>
    </row>
    <row r="721" spans="1:20" hidden="1" x14ac:dyDescent="0.3">
      <c r="A721" t="s">
        <v>1586</v>
      </c>
      <c r="B721" t="s">
        <v>28</v>
      </c>
      <c r="C721" t="s">
        <v>29</v>
      </c>
      <c r="D721" t="s">
        <v>30</v>
      </c>
      <c r="E721">
        <v>2007</v>
      </c>
      <c r="F721" t="s">
        <v>31</v>
      </c>
      <c r="G721" t="s">
        <v>31</v>
      </c>
      <c r="H721" t="s">
        <v>2672</v>
      </c>
      <c r="I721" t="s">
        <v>73</v>
      </c>
      <c r="J721" t="s">
        <v>3611</v>
      </c>
      <c r="K721" t="s">
        <v>31</v>
      </c>
      <c r="L721" t="s">
        <v>82</v>
      </c>
      <c r="M721" t="s">
        <v>27</v>
      </c>
      <c r="N721" t="s">
        <v>27</v>
      </c>
      <c r="O721" t="s">
        <v>27</v>
      </c>
      <c r="P721" t="s">
        <v>31</v>
      </c>
      <c r="Q721" t="s">
        <v>31</v>
      </c>
      <c r="R721">
        <v>20.93</v>
      </c>
      <c r="S721">
        <v>-97.85</v>
      </c>
      <c r="T721" t="s">
        <v>31</v>
      </c>
    </row>
    <row r="722" spans="1:20" hidden="1" x14ac:dyDescent="0.3">
      <c r="A722" t="s">
        <v>1587</v>
      </c>
      <c r="B722" t="s">
        <v>28</v>
      </c>
      <c r="C722" t="s">
        <v>29</v>
      </c>
      <c r="D722" t="s">
        <v>189</v>
      </c>
      <c r="E722">
        <v>2007</v>
      </c>
      <c r="F722">
        <v>1000000</v>
      </c>
      <c r="G722" t="s">
        <v>31</v>
      </c>
      <c r="H722" t="s">
        <v>2645</v>
      </c>
      <c r="I722" t="s">
        <v>34</v>
      </c>
      <c r="J722" t="s">
        <v>3444</v>
      </c>
      <c r="K722" t="s">
        <v>31</v>
      </c>
      <c r="L722" t="s">
        <v>82</v>
      </c>
      <c r="M722" t="s">
        <v>27</v>
      </c>
      <c r="N722" t="s">
        <v>27</v>
      </c>
      <c r="O722" t="s">
        <v>33</v>
      </c>
      <c r="P722" t="s">
        <v>31</v>
      </c>
      <c r="Q722">
        <v>160</v>
      </c>
      <c r="R722">
        <v>47.09</v>
      </c>
      <c r="S722">
        <v>-122.91</v>
      </c>
      <c r="T722" t="s">
        <v>31</v>
      </c>
    </row>
    <row r="723" spans="1:20" hidden="1" x14ac:dyDescent="0.3">
      <c r="A723" t="s">
        <v>1588</v>
      </c>
      <c r="B723" t="s">
        <v>51</v>
      </c>
      <c r="C723" t="s">
        <v>37</v>
      </c>
      <c r="D723" t="s">
        <v>121</v>
      </c>
      <c r="E723">
        <v>2007</v>
      </c>
      <c r="F723" t="s">
        <v>31</v>
      </c>
      <c r="G723" t="s">
        <v>31</v>
      </c>
      <c r="H723" t="s">
        <v>2749</v>
      </c>
      <c r="I723" t="s">
        <v>45</v>
      </c>
      <c r="J723" t="s">
        <v>2891</v>
      </c>
      <c r="K723" t="s">
        <v>2649</v>
      </c>
      <c r="L723" t="s">
        <v>31</v>
      </c>
      <c r="M723" t="s">
        <v>27</v>
      </c>
      <c r="N723" t="s">
        <v>27</v>
      </c>
      <c r="O723" t="s">
        <v>27</v>
      </c>
      <c r="P723" t="s">
        <v>31</v>
      </c>
      <c r="Q723" t="s">
        <v>31</v>
      </c>
      <c r="R723">
        <v>20.67</v>
      </c>
      <c r="S723">
        <v>-76.400000000000006</v>
      </c>
      <c r="T723" t="s">
        <v>3612</v>
      </c>
    </row>
    <row r="724" spans="1:20" hidden="1" x14ac:dyDescent="0.3">
      <c r="A724" t="s">
        <v>1589</v>
      </c>
      <c r="B724" t="s">
        <v>51</v>
      </c>
      <c r="C724" t="s">
        <v>37</v>
      </c>
      <c r="D724" t="s">
        <v>121</v>
      </c>
      <c r="E724">
        <v>2007</v>
      </c>
      <c r="F724" t="s">
        <v>31</v>
      </c>
      <c r="G724" t="s">
        <v>31</v>
      </c>
      <c r="H724" t="s">
        <v>2716</v>
      </c>
      <c r="I724" t="s">
        <v>242</v>
      </c>
      <c r="J724" t="s">
        <v>3613</v>
      </c>
      <c r="K724" t="s">
        <v>2649</v>
      </c>
      <c r="L724" t="s">
        <v>31</v>
      </c>
      <c r="M724" t="s">
        <v>27</v>
      </c>
      <c r="N724" t="s">
        <v>27</v>
      </c>
      <c r="O724" t="s">
        <v>27</v>
      </c>
      <c r="P724" t="s">
        <v>31</v>
      </c>
      <c r="Q724" t="s">
        <v>31</v>
      </c>
      <c r="R724">
        <v>20.67</v>
      </c>
      <c r="S724">
        <v>-76.400000000000006</v>
      </c>
      <c r="T724" t="s">
        <v>3614</v>
      </c>
    </row>
    <row r="725" spans="1:20" hidden="1" x14ac:dyDescent="0.3">
      <c r="A725" t="s">
        <v>1590</v>
      </c>
      <c r="B725" t="s">
        <v>39</v>
      </c>
      <c r="C725" t="s">
        <v>40</v>
      </c>
      <c r="D725" t="s">
        <v>59</v>
      </c>
      <c r="E725">
        <v>2007</v>
      </c>
      <c r="F725">
        <v>2500000</v>
      </c>
      <c r="G725" t="s">
        <v>31</v>
      </c>
      <c r="H725" t="s">
        <v>2645</v>
      </c>
      <c r="I725" t="s">
        <v>34</v>
      </c>
      <c r="J725" t="s">
        <v>3615</v>
      </c>
      <c r="K725" t="s">
        <v>31</v>
      </c>
      <c r="L725" t="s">
        <v>29</v>
      </c>
      <c r="M725" t="s">
        <v>27</v>
      </c>
      <c r="N725" t="s">
        <v>27</v>
      </c>
      <c r="O725" t="s">
        <v>33</v>
      </c>
      <c r="P725" t="s">
        <v>31</v>
      </c>
      <c r="Q725" t="s">
        <v>31</v>
      </c>
      <c r="R725" t="s">
        <v>31</v>
      </c>
      <c r="S725" t="s">
        <v>31</v>
      </c>
      <c r="T725" t="s">
        <v>31</v>
      </c>
    </row>
    <row r="726" spans="1:20" hidden="1" x14ac:dyDescent="0.3">
      <c r="A726" t="s">
        <v>1591</v>
      </c>
      <c r="B726" t="s">
        <v>28</v>
      </c>
      <c r="C726" t="s">
        <v>29</v>
      </c>
      <c r="D726" t="s">
        <v>30</v>
      </c>
      <c r="E726">
        <v>2007</v>
      </c>
      <c r="F726" t="s">
        <v>31</v>
      </c>
      <c r="G726" t="s">
        <v>3531</v>
      </c>
      <c r="H726" t="s">
        <v>2751</v>
      </c>
      <c r="I726" t="s">
        <v>234</v>
      </c>
      <c r="J726" t="s">
        <v>3616</v>
      </c>
      <c r="K726" t="s">
        <v>31</v>
      </c>
      <c r="L726" t="s">
        <v>31</v>
      </c>
      <c r="M726" t="s">
        <v>27</v>
      </c>
      <c r="N726" t="s">
        <v>27</v>
      </c>
      <c r="O726" t="s">
        <v>27</v>
      </c>
      <c r="P726" t="s">
        <v>31</v>
      </c>
      <c r="Q726" t="s">
        <v>31</v>
      </c>
      <c r="R726" t="s">
        <v>31</v>
      </c>
      <c r="S726" t="s">
        <v>31</v>
      </c>
      <c r="T726" t="s">
        <v>31</v>
      </c>
    </row>
    <row r="727" spans="1:20" hidden="1" x14ac:dyDescent="0.3">
      <c r="A727" t="s">
        <v>1592</v>
      </c>
      <c r="B727" t="s">
        <v>51</v>
      </c>
      <c r="C727" t="s">
        <v>37</v>
      </c>
      <c r="D727" t="s">
        <v>121</v>
      </c>
      <c r="E727">
        <v>2007</v>
      </c>
      <c r="F727" t="s">
        <v>31</v>
      </c>
      <c r="G727" t="s">
        <v>31</v>
      </c>
      <c r="H727" t="s">
        <v>2647</v>
      </c>
      <c r="I727" t="s">
        <v>47</v>
      </c>
      <c r="J727" t="s">
        <v>3617</v>
      </c>
      <c r="K727" t="s">
        <v>3618</v>
      </c>
      <c r="L727" t="s">
        <v>31</v>
      </c>
      <c r="M727" t="s">
        <v>27</v>
      </c>
      <c r="N727" t="s">
        <v>27</v>
      </c>
      <c r="O727" t="s">
        <v>27</v>
      </c>
      <c r="P727">
        <v>1900</v>
      </c>
      <c r="Q727">
        <v>189700</v>
      </c>
      <c r="R727">
        <v>7.89</v>
      </c>
      <c r="S727">
        <v>-74.91</v>
      </c>
      <c r="T727" t="s">
        <v>31</v>
      </c>
    </row>
    <row r="728" spans="1:20" hidden="1" x14ac:dyDescent="0.3">
      <c r="A728" t="s">
        <v>1593</v>
      </c>
      <c r="B728" t="s">
        <v>91</v>
      </c>
      <c r="C728" t="s">
        <v>92</v>
      </c>
      <c r="D728" t="s">
        <v>93</v>
      </c>
      <c r="E728">
        <v>2007</v>
      </c>
      <c r="F728" t="s">
        <v>31</v>
      </c>
      <c r="G728" t="s">
        <v>3536</v>
      </c>
      <c r="H728" t="s">
        <v>3557</v>
      </c>
      <c r="I728" t="s">
        <v>244</v>
      </c>
      <c r="J728" t="s">
        <v>3619</v>
      </c>
      <c r="K728" t="s">
        <v>31</v>
      </c>
      <c r="L728" t="s">
        <v>31</v>
      </c>
      <c r="M728" t="s">
        <v>27</v>
      </c>
      <c r="N728" t="s">
        <v>27</v>
      </c>
      <c r="O728" t="s">
        <v>27</v>
      </c>
      <c r="P728" t="s">
        <v>31</v>
      </c>
      <c r="Q728">
        <v>7.4</v>
      </c>
      <c r="R728">
        <v>14.944000000000001</v>
      </c>
      <c r="S728">
        <v>-61.274000000000001</v>
      </c>
      <c r="T728" t="s">
        <v>31</v>
      </c>
    </row>
    <row r="729" spans="1:20" hidden="1" x14ac:dyDescent="0.3">
      <c r="A729" t="s">
        <v>1594</v>
      </c>
      <c r="B729" t="s">
        <v>91</v>
      </c>
      <c r="C729" t="s">
        <v>92</v>
      </c>
      <c r="D729" t="s">
        <v>93</v>
      </c>
      <c r="E729">
        <v>2007</v>
      </c>
      <c r="F729">
        <v>100000</v>
      </c>
      <c r="G729" t="s">
        <v>3620</v>
      </c>
      <c r="H729" t="s">
        <v>2701</v>
      </c>
      <c r="I729" t="s">
        <v>60</v>
      </c>
      <c r="J729" t="s">
        <v>3621</v>
      </c>
      <c r="K729" t="s">
        <v>31</v>
      </c>
      <c r="L729" t="s">
        <v>31</v>
      </c>
      <c r="M729" t="s">
        <v>27</v>
      </c>
      <c r="N729" t="s">
        <v>27</v>
      </c>
      <c r="O729" t="s">
        <v>33</v>
      </c>
      <c r="P729" t="s">
        <v>31</v>
      </c>
      <c r="Q729">
        <v>7.7</v>
      </c>
      <c r="R729">
        <v>-22.247</v>
      </c>
      <c r="S729">
        <v>-69.89</v>
      </c>
      <c r="T729" t="s">
        <v>31</v>
      </c>
    </row>
    <row r="730" spans="1:20" hidden="1" x14ac:dyDescent="0.3">
      <c r="A730" t="s">
        <v>1595</v>
      </c>
      <c r="B730" t="s">
        <v>28</v>
      </c>
      <c r="C730" t="s">
        <v>29</v>
      </c>
      <c r="D730" t="s">
        <v>30</v>
      </c>
      <c r="E730">
        <v>2007</v>
      </c>
      <c r="F730">
        <v>45000</v>
      </c>
      <c r="G730" t="s">
        <v>3538</v>
      </c>
      <c r="H730" t="s">
        <v>2888</v>
      </c>
      <c r="I730" t="s">
        <v>75</v>
      </c>
      <c r="J730" t="s">
        <v>3622</v>
      </c>
      <c r="K730" t="s">
        <v>31</v>
      </c>
      <c r="L730" t="s">
        <v>82</v>
      </c>
      <c r="M730" t="s">
        <v>27</v>
      </c>
      <c r="N730" t="s">
        <v>27</v>
      </c>
      <c r="O730" t="s">
        <v>27</v>
      </c>
      <c r="P730" t="s">
        <v>31</v>
      </c>
      <c r="Q730" t="s">
        <v>31</v>
      </c>
      <c r="R730">
        <v>18.93</v>
      </c>
      <c r="S730">
        <v>-71.03</v>
      </c>
      <c r="T730" t="s">
        <v>31</v>
      </c>
    </row>
    <row r="731" spans="1:20" hidden="1" x14ac:dyDescent="0.3">
      <c r="A731" t="s">
        <v>1596</v>
      </c>
      <c r="B731" t="s">
        <v>28</v>
      </c>
      <c r="C731" t="s">
        <v>29</v>
      </c>
      <c r="D731" t="s">
        <v>189</v>
      </c>
      <c r="E731">
        <v>2007</v>
      </c>
      <c r="F731">
        <v>2000000</v>
      </c>
      <c r="G731" t="s">
        <v>3623</v>
      </c>
      <c r="H731" t="s">
        <v>2645</v>
      </c>
      <c r="I731" t="s">
        <v>34</v>
      </c>
      <c r="J731" t="s">
        <v>3624</v>
      </c>
      <c r="K731" t="s">
        <v>31</v>
      </c>
      <c r="L731" t="s">
        <v>100</v>
      </c>
      <c r="M731" t="s">
        <v>27</v>
      </c>
      <c r="N731" t="s">
        <v>27</v>
      </c>
      <c r="O731" t="s">
        <v>27</v>
      </c>
      <c r="P731" t="s">
        <v>31</v>
      </c>
      <c r="Q731" t="s">
        <v>31</v>
      </c>
      <c r="R731" t="s">
        <v>31</v>
      </c>
      <c r="S731" t="s">
        <v>31</v>
      </c>
      <c r="T731" t="s">
        <v>31</v>
      </c>
    </row>
    <row r="732" spans="1:20" hidden="1" x14ac:dyDescent="0.3">
      <c r="A732" t="s">
        <v>2269</v>
      </c>
      <c r="B732" t="s">
        <v>51</v>
      </c>
      <c r="C732" t="s">
        <v>37</v>
      </c>
      <c r="D732" t="s">
        <v>121</v>
      </c>
      <c r="E732">
        <v>2007</v>
      </c>
      <c r="F732" t="s">
        <v>31</v>
      </c>
      <c r="G732" t="s">
        <v>3594</v>
      </c>
      <c r="H732" t="s">
        <v>2888</v>
      </c>
      <c r="I732" t="s">
        <v>75</v>
      </c>
      <c r="J732" t="s">
        <v>3219</v>
      </c>
      <c r="K732" t="s">
        <v>2649</v>
      </c>
      <c r="L732" t="s">
        <v>54</v>
      </c>
      <c r="M732" t="s">
        <v>27</v>
      </c>
      <c r="N732" t="s">
        <v>27</v>
      </c>
      <c r="O732" t="s">
        <v>27</v>
      </c>
      <c r="P732" t="s">
        <v>31</v>
      </c>
      <c r="Q732" t="s">
        <v>31</v>
      </c>
      <c r="R732">
        <v>19.41</v>
      </c>
      <c r="S732">
        <v>-71.78</v>
      </c>
      <c r="T732" t="s">
        <v>31</v>
      </c>
    </row>
    <row r="733" spans="1:20" hidden="1" x14ac:dyDescent="0.3">
      <c r="A733" t="s">
        <v>2275</v>
      </c>
      <c r="B733" t="s">
        <v>51</v>
      </c>
      <c r="C733" t="s">
        <v>37</v>
      </c>
      <c r="D733" t="s">
        <v>121</v>
      </c>
      <c r="E733">
        <v>2007</v>
      </c>
      <c r="F733" t="s">
        <v>31</v>
      </c>
      <c r="G733" t="s">
        <v>3625</v>
      </c>
      <c r="H733" t="s">
        <v>2678</v>
      </c>
      <c r="I733" t="s">
        <v>53</v>
      </c>
      <c r="J733" t="s">
        <v>3626</v>
      </c>
      <c r="K733" t="s">
        <v>2664</v>
      </c>
      <c r="L733" t="s">
        <v>54</v>
      </c>
      <c r="M733" t="s">
        <v>27</v>
      </c>
      <c r="N733" t="s">
        <v>27</v>
      </c>
      <c r="O733" t="s">
        <v>27</v>
      </c>
      <c r="P733" t="s">
        <v>31</v>
      </c>
      <c r="Q733" t="s">
        <v>31</v>
      </c>
      <c r="R733">
        <v>-11.47</v>
      </c>
      <c r="S733">
        <v>-74.459999999999994</v>
      </c>
      <c r="T733" t="s">
        <v>3627</v>
      </c>
    </row>
    <row r="734" spans="1:20" hidden="1" x14ac:dyDescent="0.3">
      <c r="A734" t="s">
        <v>2276</v>
      </c>
      <c r="B734" t="s">
        <v>28</v>
      </c>
      <c r="C734" t="s">
        <v>29</v>
      </c>
      <c r="D734" t="s">
        <v>97</v>
      </c>
      <c r="E734">
        <v>2007</v>
      </c>
      <c r="F734" t="s">
        <v>31</v>
      </c>
      <c r="G734" t="s">
        <v>31</v>
      </c>
      <c r="H734" t="s">
        <v>2645</v>
      </c>
      <c r="I734" t="s">
        <v>34</v>
      </c>
      <c r="J734" t="s">
        <v>2788</v>
      </c>
      <c r="K734" t="s">
        <v>31</v>
      </c>
      <c r="L734" t="s">
        <v>37</v>
      </c>
      <c r="M734" t="s">
        <v>27</v>
      </c>
      <c r="N734" t="s">
        <v>27</v>
      </c>
      <c r="O734" t="s">
        <v>27</v>
      </c>
      <c r="P734" t="s">
        <v>31</v>
      </c>
      <c r="Q734">
        <v>240</v>
      </c>
      <c r="R734" t="s">
        <v>31</v>
      </c>
      <c r="S734" t="s">
        <v>31</v>
      </c>
      <c r="T734" t="s">
        <v>31</v>
      </c>
    </row>
    <row r="735" spans="1:20" hidden="1" x14ac:dyDescent="0.3">
      <c r="A735" t="s">
        <v>2277</v>
      </c>
      <c r="B735" t="s">
        <v>91</v>
      </c>
      <c r="C735" t="s">
        <v>92</v>
      </c>
      <c r="D735" t="s">
        <v>798</v>
      </c>
      <c r="E735">
        <v>2007</v>
      </c>
      <c r="F735" t="s">
        <v>31</v>
      </c>
      <c r="G735" t="s">
        <v>3628</v>
      </c>
      <c r="H735" t="s">
        <v>2701</v>
      </c>
      <c r="I735" t="s">
        <v>60</v>
      </c>
      <c r="J735" t="s">
        <v>3629</v>
      </c>
      <c r="K735" t="s">
        <v>3630</v>
      </c>
      <c r="L735" t="s">
        <v>173</v>
      </c>
      <c r="M735" t="s">
        <v>27</v>
      </c>
      <c r="N735" t="s">
        <v>27</v>
      </c>
      <c r="O735" t="s">
        <v>27</v>
      </c>
      <c r="P735" t="s">
        <v>31</v>
      </c>
      <c r="Q735">
        <v>6.2</v>
      </c>
      <c r="R735">
        <v>-45.243000000000002</v>
      </c>
      <c r="S735">
        <v>-72.647999999999996</v>
      </c>
      <c r="T735" t="s">
        <v>31</v>
      </c>
    </row>
    <row r="736" spans="1:20" hidden="1" x14ac:dyDescent="0.3">
      <c r="A736" t="s">
        <v>2278</v>
      </c>
      <c r="B736" t="s">
        <v>51</v>
      </c>
      <c r="C736" t="s">
        <v>37</v>
      </c>
      <c r="D736" t="s">
        <v>121</v>
      </c>
      <c r="E736">
        <v>2007</v>
      </c>
      <c r="F736" t="s">
        <v>31</v>
      </c>
      <c r="G736" t="s">
        <v>31</v>
      </c>
      <c r="H736" t="s">
        <v>2647</v>
      </c>
      <c r="I736" t="s">
        <v>47</v>
      </c>
      <c r="J736" t="s">
        <v>3631</v>
      </c>
      <c r="K736" t="s">
        <v>2664</v>
      </c>
      <c r="L736" t="s">
        <v>54</v>
      </c>
      <c r="M736" t="s">
        <v>27</v>
      </c>
      <c r="N736" t="s">
        <v>27</v>
      </c>
      <c r="O736" t="s">
        <v>33</v>
      </c>
      <c r="P736" t="s">
        <v>31</v>
      </c>
      <c r="Q736">
        <v>69990</v>
      </c>
      <c r="R736">
        <v>8.3800000000000008</v>
      </c>
      <c r="S736">
        <v>-75.59</v>
      </c>
      <c r="T736" t="s">
        <v>3632</v>
      </c>
    </row>
    <row r="737" spans="1:20" hidden="1" x14ac:dyDescent="0.3">
      <c r="A737" t="s">
        <v>2279</v>
      </c>
      <c r="B737" t="s">
        <v>28</v>
      </c>
      <c r="C737" t="s">
        <v>2685</v>
      </c>
      <c r="D737" t="s">
        <v>278</v>
      </c>
      <c r="E737">
        <v>2007</v>
      </c>
      <c r="F737" t="s">
        <v>31</v>
      </c>
      <c r="G737" t="s">
        <v>3517</v>
      </c>
      <c r="H737" t="s">
        <v>2701</v>
      </c>
      <c r="I737" t="s">
        <v>60</v>
      </c>
      <c r="J737" t="s">
        <v>3633</v>
      </c>
      <c r="K737" t="s">
        <v>31</v>
      </c>
      <c r="L737" t="s">
        <v>31</v>
      </c>
      <c r="M737" t="s">
        <v>27</v>
      </c>
      <c r="N737" t="s">
        <v>27</v>
      </c>
      <c r="O737" t="s">
        <v>27</v>
      </c>
      <c r="P737" t="s">
        <v>31</v>
      </c>
      <c r="Q737">
        <v>-18</v>
      </c>
      <c r="R737" t="s">
        <v>31</v>
      </c>
      <c r="S737" t="s">
        <v>31</v>
      </c>
      <c r="T737" t="s">
        <v>31</v>
      </c>
    </row>
    <row r="738" spans="1:20" hidden="1" x14ac:dyDescent="0.3">
      <c r="A738" t="s">
        <v>2280</v>
      </c>
      <c r="B738" t="s">
        <v>39</v>
      </c>
      <c r="C738" t="s">
        <v>40</v>
      </c>
      <c r="D738" t="s">
        <v>41</v>
      </c>
      <c r="E738">
        <v>2007</v>
      </c>
      <c r="F738" t="s">
        <v>31</v>
      </c>
      <c r="G738" t="s">
        <v>31</v>
      </c>
      <c r="H738" t="s">
        <v>2645</v>
      </c>
      <c r="I738" t="s">
        <v>34</v>
      </c>
      <c r="J738" t="s">
        <v>3634</v>
      </c>
      <c r="K738" t="s">
        <v>31</v>
      </c>
      <c r="L738" t="s">
        <v>31</v>
      </c>
      <c r="M738" t="s">
        <v>27</v>
      </c>
      <c r="N738" t="s">
        <v>27</v>
      </c>
      <c r="O738" t="s">
        <v>27</v>
      </c>
      <c r="P738" t="s">
        <v>31</v>
      </c>
      <c r="Q738" t="s">
        <v>31</v>
      </c>
      <c r="R738" t="s">
        <v>31</v>
      </c>
      <c r="S738" t="s">
        <v>31</v>
      </c>
      <c r="T738" t="s">
        <v>31</v>
      </c>
    </row>
    <row r="739" spans="1:20" hidden="1" x14ac:dyDescent="0.3">
      <c r="A739" t="s">
        <v>2281</v>
      </c>
      <c r="B739" t="s">
        <v>28</v>
      </c>
      <c r="C739" t="s">
        <v>29</v>
      </c>
      <c r="D739" t="s">
        <v>30</v>
      </c>
      <c r="E739">
        <v>2007</v>
      </c>
      <c r="F739">
        <v>248000</v>
      </c>
      <c r="G739" t="s">
        <v>31</v>
      </c>
      <c r="H739" t="s">
        <v>2645</v>
      </c>
      <c r="I739" t="s">
        <v>34</v>
      </c>
      <c r="J739" t="s">
        <v>3635</v>
      </c>
      <c r="K739" t="s">
        <v>31</v>
      </c>
      <c r="L739" t="s">
        <v>37</v>
      </c>
      <c r="M739" t="s">
        <v>27</v>
      </c>
      <c r="N739" t="s">
        <v>27</v>
      </c>
      <c r="O739" t="s">
        <v>27</v>
      </c>
      <c r="P739" t="s">
        <v>31</v>
      </c>
      <c r="Q739">
        <v>132</v>
      </c>
      <c r="R739" t="s">
        <v>31</v>
      </c>
      <c r="S739" t="s">
        <v>31</v>
      </c>
      <c r="T739" t="s">
        <v>31</v>
      </c>
    </row>
    <row r="740" spans="1:20" hidden="1" x14ac:dyDescent="0.3">
      <c r="A740" t="s">
        <v>2282</v>
      </c>
      <c r="B740" t="s">
        <v>28</v>
      </c>
      <c r="C740" t="s">
        <v>29</v>
      </c>
      <c r="D740" t="s">
        <v>30</v>
      </c>
      <c r="E740">
        <v>2007</v>
      </c>
      <c r="F740" t="s">
        <v>31</v>
      </c>
      <c r="G740" t="s">
        <v>3521</v>
      </c>
      <c r="H740" t="s">
        <v>2716</v>
      </c>
      <c r="I740" t="s">
        <v>242</v>
      </c>
      <c r="J740" t="s">
        <v>3636</v>
      </c>
      <c r="K740" t="s">
        <v>31</v>
      </c>
      <c r="L740" t="s">
        <v>85</v>
      </c>
      <c r="M740" t="s">
        <v>27</v>
      </c>
      <c r="N740" t="s">
        <v>27</v>
      </c>
      <c r="O740" t="s">
        <v>27</v>
      </c>
      <c r="P740" t="s">
        <v>31</v>
      </c>
      <c r="Q740">
        <v>240</v>
      </c>
      <c r="R740" t="s">
        <v>31</v>
      </c>
      <c r="S740" t="s">
        <v>31</v>
      </c>
      <c r="T740" t="s">
        <v>31</v>
      </c>
    </row>
    <row r="741" spans="1:20" hidden="1" x14ac:dyDescent="0.3">
      <c r="A741" t="s">
        <v>2283</v>
      </c>
      <c r="B741" t="s">
        <v>91</v>
      </c>
      <c r="C741" t="s">
        <v>92</v>
      </c>
      <c r="D741" t="s">
        <v>93</v>
      </c>
      <c r="E741">
        <v>2007</v>
      </c>
      <c r="F741">
        <v>600000</v>
      </c>
      <c r="G741" t="s">
        <v>3637</v>
      </c>
      <c r="H741" t="s">
        <v>2678</v>
      </c>
      <c r="I741" t="s">
        <v>53</v>
      </c>
      <c r="J741" t="s">
        <v>3638</v>
      </c>
      <c r="K741" t="s">
        <v>31</v>
      </c>
      <c r="L741" t="s">
        <v>214</v>
      </c>
      <c r="M741" t="s">
        <v>33</v>
      </c>
      <c r="N741" t="s">
        <v>33</v>
      </c>
      <c r="O741" t="s">
        <v>33</v>
      </c>
      <c r="P741">
        <v>52191</v>
      </c>
      <c r="Q741">
        <v>8</v>
      </c>
      <c r="R741">
        <v>-13.385999999999999</v>
      </c>
      <c r="S741">
        <v>-76.602999999999994</v>
      </c>
      <c r="T741" t="s">
        <v>31</v>
      </c>
    </row>
    <row r="742" spans="1:20" hidden="1" x14ac:dyDescent="0.3">
      <c r="A742" t="s">
        <v>2284</v>
      </c>
      <c r="B742" t="s">
        <v>51</v>
      </c>
      <c r="C742" t="s">
        <v>37</v>
      </c>
      <c r="D742" t="s">
        <v>194</v>
      </c>
      <c r="E742">
        <v>2007</v>
      </c>
      <c r="F742" t="s">
        <v>31</v>
      </c>
      <c r="G742" t="s">
        <v>3639</v>
      </c>
      <c r="H742" t="s">
        <v>2672</v>
      </c>
      <c r="I742" t="s">
        <v>73</v>
      </c>
      <c r="J742" t="s">
        <v>3640</v>
      </c>
      <c r="K742" t="s">
        <v>3641</v>
      </c>
      <c r="L742" t="s">
        <v>31</v>
      </c>
      <c r="M742" t="s">
        <v>27</v>
      </c>
      <c r="N742" t="s">
        <v>27</v>
      </c>
      <c r="O742" t="s">
        <v>27</v>
      </c>
      <c r="P742" t="s">
        <v>31</v>
      </c>
      <c r="Q742" t="s">
        <v>31</v>
      </c>
      <c r="R742">
        <v>14.62</v>
      </c>
      <c r="S742">
        <v>-83.64</v>
      </c>
      <c r="T742" t="s">
        <v>3642</v>
      </c>
    </row>
    <row r="743" spans="1:20" hidden="1" x14ac:dyDescent="0.3">
      <c r="A743" t="s">
        <v>2285</v>
      </c>
      <c r="B743" t="s">
        <v>28</v>
      </c>
      <c r="C743" t="s">
        <v>29</v>
      </c>
      <c r="D743" t="s">
        <v>189</v>
      </c>
      <c r="E743">
        <v>2007</v>
      </c>
      <c r="F743">
        <v>300000</v>
      </c>
      <c r="G743" t="s">
        <v>31</v>
      </c>
      <c r="H743" t="s">
        <v>2645</v>
      </c>
      <c r="I743" t="s">
        <v>34</v>
      </c>
      <c r="J743" t="s">
        <v>3643</v>
      </c>
      <c r="K743" t="s">
        <v>31</v>
      </c>
      <c r="L743" t="s">
        <v>65</v>
      </c>
      <c r="M743" t="s">
        <v>27</v>
      </c>
      <c r="N743" t="s">
        <v>27</v>
      </c>
      <c r="O743" t="s">
        <v>27</v>
      </c>
      <c r="P743" t="s">
        <v>31</v>
      </c>
      <c r="Q743">
        <v>128</v>
      </c>
      <c r="R743" t="s">
        <v>31</v>
      </c>
      <c r="S743" t="s">
        <v>31</v>
      </c>
      <c r="T743" t="s">
        <v>31</v>
      </c>
    </row>
    <row r="744" spans="1:20" hidden="1" x14ac:dyDescent="0.3">
      <c r="A744" t="s">
        <v>2286</v>
      </c>
      <c r="B744" t="s">
        <v>28</v>
      </c>
      <c r="C744" t="s">
        <v>29</v>
      </c>
      <c r="D744" t="s">
        <v>30</v>
      </c>
      <c r="E744">
        <v>2007</v>
      </c>
      <c r="F744" t="s">
        <v>31</v>
      </c>
      <c r="G744" t="s">
        <v>3527</v>
      </c>
      <c r="H744" t="s">
        <v>2680</v>
      </c>
      <c r="I744" t="s">
        <v>115</v>
      </c>
      <c r="J744" t="s">
        <v>2681</v>
      </c>
      <c r="K744" t="s">
        <v>31</v>
      </c>
      <c r="L744" t="s">
        <v>37</v>
      </c>
      <c r="M744" t="s">
        <v>27</v>
      </c>
      <c r="N744" t="s">
        <v>27</v>
      </c>
      <c r="O744" t="s">
        <v>27</v>
      </c>
      <c r="P744" t="s">
        <v>31</v>
      </c>
      <c r="Q744" t="s">
        <v>31</v>
      </c>
      <c r="R744" t="s">
        <v>31</v>
      </c>
      <c r="S744" t="s">
        <v>31</v>
      </c>
      <c r="T744" t="s">
        <v>31</v>
      </c>
    </row>
    <row r="745" spans="1:20" hidden="1" x14ac:dyDescent="0.3">
      <c r="A745" t="s">
        <v>2287</v>
      </c>
      <c r="B745" t="s">
        <v>28</v>
      </c>
      <c r="C745" t="s">
        <v>29</v>
      </c>
      <c r="D745" t="s">
        <v>189</v>
      </c>
      <c r="E745">
        <v>2007</v>
      </c>
      <c r="F745">
        <v>300000</v>
      </c>
      <c r="G745" t="s">
        <v>31</v>
      </c>
      <c r="H745" t="s">
        <v>2645</v>
      </c>
      <c r="I745" t="s">
        <v>34</v>
      </c>
      <c r="J745" t="s">
        <v>3644</v>
      </c>
      <c r="K745" t="s">
        <v>31</v>
      </c>
      <c r="L745" t="s">
        <v>68</v>
      </c>
      <c r="M745" t="s">
        <v>27</v>
      </c>
      <c r="N745" t="s">
        <v>27</v>
      </c>
      <c r="O745" t="s">
        <v>27</v>
      </c>
      <c r="P745" t="s">
        <v>31</v>
      </c>
      <c r="Q745" t="s">
        <v>31</v>
      </c>
      <c r="R745" t="s">
        <v>31</v>
      </c>
      <c r="S745" t="s">
        <v>31</v>
      </c>
      <c r="T745" t="s">
        <v>31</v>
      </c>
    </row>
    <row r="746" spans="1:20" hidden="1" x14ac:dyDescent="0.3">
      <c r="A746" t="s">
        <v>2288</v>
      </c>
      <c r="B746" t="s">
        <v>51</v>
      </c>
      <c r="C746" t="s">
        <v>37</v>
      </c>
      <c r="D746" t="s">
        <v>121</v>
      </c>
      <c r="E746">
        <v>2007</v>
      </c>
      <c r="F746" t="s">
        <v>31</v>
      </c>
      <c r="G746" t="s">
        <v>3645</v>
      </c>
      <c r="H746" t="s">
        <v>2695</v>
      </c>
      <c r="I746" t="s">
        <v>161</v>
      </c>
      <c r="J746" t="s">
        <v>3646</v>
      </c>
      <c r="K746" t="s">
        <v>2664</v>
      </c>
      <c r="L746" t="s">
        <v>31</v>
      </c>
      <c r="M746" t="s">
        <v>27</v>
      </c>
      <c r="N746" t="s">
        <v>27</v>
      </c>
      <c r="O746" t="s">
        <v>27</v>
      </c>
      <c r="P746" t="s">
        <v>31</v>
      </c>
      <c r="Q746">
        <v>11460</v>
      </c>
      <c r="R746">
        <v>10.27</v>
      </c>
      <c r="S746">
        <v>-84.95</v>
      </c>
      <c r="T746" t="s">
        <v>3647</v>
      </c>
    </row>
    <row r="747" spans="1:20" hidden="1" x14ac:dyDescent="0.3">
      <c r="A747" t="s">
        <v>2289</v>
      </c>
      <c r="B747" t="s">
        <v>51</v>
      </c>
      <c r="C747" t="s">
        <v>37</v>
      </c>
      <c r="D747" t="s">
        <v>121</v>
      </c>
      <c r="E747">
        <v>2007</v>
      </c>
      <c r="F747" t="s">
        <v>31</v>
      </c>
      <c r="G747" t="s">
        <v>31</v>
      </c>
      <c r="H747" t="s">
        <v>2719</v>
      </c>
      <c r="I747" t="s">
        <v>90</v>
      </c>
      <c r="J747" t="s">
        <v>3648</v>
      </c>
      <c r="K747" t="s">
        <v>2664</v>
      </c>
      <c r="L747" t="s">
        <v>54</v>
      </c>
      <c r="M747" t="s">
        <v>27</v>
      </c>
      <c r="N747" t="s">
        <v>27</v>
      </c>
      <c r="O747" t="s">
        <v>27</v>
      </c>
      <c r="P747" t="s">
        <v>31</v>
      </c>
      <c r="Q747">
        <v>2300</v>
      </c>
      <c r="R747">
        <v>14.6</v>
      </c>
      <c r="S747">
        <v>-90.49</v>
      </c>
      <c r="T747" t="s">
        <v>31</v>
      </c>
    </row>
    <row r="748" spans="1:20" hidden="1" x14ac:dyDescent="0.3">
      <c r="A748" t="s">
        <v>2290</v>
      </c>
      <c r="B748" t="s">
        <v>51</v>
      </c>
      <c r="C748" t="s">
        <v>37</v>
      </c>
      <c r="D748" t="s">
        <v>121</v>
      </c>
      <c r="E748">
        <v>2007</v>
      </c>
      <c r="F748" t="s">
        <v>31</v>
      </c>
      <c r="G748" t="s">
        <v>31</v>
      </c>
      <c r="H748" t="s">
        <v>2719</v>
      </c>
      <c r="I748" t="s">
        <v>90</v>
      </c>
      <c r="J748" t="s">
        <v>3649</v>
      </c>
      <c r="K748" t="s">
        <v>2649</v>
      </c>
      <c r="L748" t="s">
        <v>31</v>
      </c>
      <c r="M748" t="s">
        <v>27</v>
      </c>
      <c r="N748" t="s">
        <v>27</v>
      </c>
      <c r="O748" t="s">
        <v>27</v>
      </c>
      <c r="P748" t="s">
        <v>31</v>
      </c>
      <c r="Q748" t="s">
        <v>31</v>
      </c>
      <c r="R748">
        <v>10.98</v>
      </c>
      <c r="S748">
        <v>-85.44</v>
      </c>
      <c r="T748" t="s">
        <v>31</v>
      </c>
    </row>
    <row r="749" spans="1:20" hidden="1" x14ac:dyDescent="0.3">
      <c r="A749" t="s">
        <v>2291</v>
      </c>
      <c r="B749" t="s">
        <v>51</v>
      </c>
      <c r="C749" t="s">
        <v>37</v>
      </c>
      <c r="D749" t="s">
        <v>121</v>
      </c>
      <c r="E749">
        <v>2007</v>
      </c>
      <c r="F749" t="s">
        <v>31</v>
      </c>
      <c r="G749" t="s">
        <v>31</v>
      </c>
      <c r="H749" t="s">
        <v>2680</v>
      </c>
      <c r="I749" t="s">
        <v>115</v>
      </c>
      <c r="J749" t="s">
        <v>2681</v>
      </c>
      <c r="K749" t="s">
        <v>2649</v>
      </c>
      <c r="L749" t="s">
        <v>31</v>
      </c>
      <c r="M749" t="s">
        <v>27</v>
      </c>
      <c r="N749" t="s">
        <v>27</v>
      </c>
      <c r="O749" t="s">
        <v>27</v>
      </c>
      <c r="P749" t="s">
        <v>31</v>
      </c>
      <c r="Q749" t="s">
        <v>31</v>
      </c>
      <c r="R749">
        <v>10.98</v>
      </c>
      <c r="S749">
        <v>-85.44</v>
      </c>
      <c r="T749" t="s">
        <v>31</v>
      </c>
    </row>
    <row r="750" spans="1:20" hidden="1" x14ac:dyDescent="0.3">
      <c r="A750" t="s">
        <v>2292</v>
      </c>
      <c r="B750" t="s">
        <v>28</v>
      </c>
      <c r="C750" t="s">
        <v>29</v>
      </c>
      <c r="D750" t="s">
        <v>30</v>
      </c>
      <c r="E750">
        <v>2007</v>
      </c>
      <c r="F750" t="s">
        <v>31</v>
      </c>
      <c r="G750" t="s">
        <v>3531</v>
      </c>
      <c r="H750" t="s">
        <v>2804</v>
      </c>
      <c r="I750" t="s">
        <v>102</v>
      </c>
      <c r="J750" t="s">
        <v>3650</v>
      </c>
      <c r="K750" t="s">
        <v>31</v>
      </c>
      <c r="L750" t="s">
        <v>37</v>
      </c>
      <c r="M750" t="s">
        <v>27</v>
      </c>
      <c r="N750" t="s">
        <v>27</v>
      </c>
      <c r="O750" t="s">
        <v>27</v>
      </c>
      <c r="P750" t="s">
        <v>31</v>
      </c>
      <c r="Q750" t="s">
        <v>31</v>
      </c>
      <c r="R750">
        <v>18.53</v>
      </c>
      <c r="S750">
        <v>-70.06</v>
      </c>
      <c r="T750" t="s">
        <v>31</v>
      </c>
    </row>
    <row r="751" spans="1:20" hidden="1" x14ac:dyDescent="0.3">
      <c r="A751" t="s">
        <v>2293</v>
      </c>
      <c r="B751" t="s">
        <v>28</v>
      </c>
      <c r="C751" t="s">
        <v>29</v>
      </c>
      <c r="D751" t="s">
        <v>30</v>
      </c>
      <c r="E751">
        <v>2007</v>
      </c>
      <c r="F751">
        <v>500000</v>
      </c>
      <c r="G751" t="s">
        <v>3531</v>
      </c>
      <c r="H751" t="s">
        <v>2716</v>
      </c>
      <c r="I751" t="s">
        <v>242</v>
      </c>
      <c r="J751" t="s">
        <v>3651</v>
      </c>
      <c r="K751" t="s">
        <v>31</v>
      </c>
      <c r="L751" t="s">
        <v>209</v>
      </c>
      <c r="M751" t="s">
        <v>33</v>
      </c>
      <c r="N751" t="s">
        <v>27</v>
      </c>
      <c r="O751" t="s">
        <v>27</v>
      </c>
      <c r="P751" t="s">
        <v>31</v>
      </c>
      <c r="Q751" t="s">
        <v>31</v>
      </c>
      <c r="R751">
        <v>18.53</v>
      </c>
      <c r="S751">
        <v>-70.06</v>
      </c>
      <c r="T751" t="s">
        <v>31</v>
      </c>
    </row>
    <row r="752" spans="1:20" hidden="1" x14ac:dyDescent="0.3">
      <c r="A752" t="s">
        <v>2294</v>
      </c>
      <c r="B752" t="s">
        <v>28</v>
      </c>
      <c r="C752" t="s">
        <v>29</v>
      </c>
      <c r="D752" t="s">
        <v>30</v>
      </c>
      <c r="E752">
        <v>2007</v>
      </c>
      <c r="F752">
        <v>77700</v>
      </c>
      <c r="G752" t="s">
        <v>3531</v>
      </c>
      <c r="H752" t="s">
        <v>2888</v>
      </c>
      <c r="I752" t="s">
        <v>75</v>
      </c>
      <c r="J752" t="s">
        <v>3652</v>
      </c>
      <c r="K752" t="s">
        <v>31</v>
      </c>
      <c r="L752" t="s">
        <v>82</v>
      </c>
      <c r="M752" t="s">
        <v>33</v>
      </c>
      <c r="N752" t="s">
        <v>27</v>
      </c>
      <c r="O752" t="s">
        <v>27</v>
      </c>
      <c r="P752" t="s">
        <v>31</v>
      </c>
      <c r="Q752" t="s">
        <v>31</v>
      </c>
      <c r="R752">
        <v>18.53</v>
      </c>
      <c r="S752">
        <v>-70.06</v>
      </c>
      <c r="T752" t="s">
        <v>31</v>
      </c>
    </row>
    <row r="753" spans="1:20" hidden="1" x14ac:dyDescent="0.3">
      <c r="A753" t="s">
        <v>2295</v>
      </c>
      <c r="B753" t="s">
        <v>51</v>
      </c>
      <c r="C753" t="s">
        <v>37</v>
      </c>
      <c r="D753" t="s">
        <v>121</v>
      </c>
      <c r="E753">
        <v>2007</v>
      </c>
      <c r="F753" t="s">
        <v>31</v>
      </c>
      <c r="G753" t="s">
        <v>31</v>
      </c>
      <c r="H753" t="s">
        <v>2656</v>
      </c>
      <c r="I753" t="s">
        <v>119</v>
      </c>
      <c r="J753" t="s">
        <v>3653</v>
      </c>
      <c r="K753" t="s">
        <v>2664</v>
      </c>
      <c r="L753" t="s">
        <v>54</v>
      </c>
      <c r="M753" t="s">
        <v>27</v>
      </c>
      <c r="N753" t="s">
        <v>27</v>
      </c>
      <c r="O753" t="s">
        <v>27</v>
      </c>
      <c r="P753" t="s">
        <v>31</v>
      </c>
      <c r="Q753">
        <v>730</v>
      </c>
      <c r="R753">
        <v>-22.72</v>
      </c>
      <c r="S753">
        <v>-43.42</v>
      </c>
      <c r="T753" t="s">
        <v>31</v>
      </c>
    </row>
    <row r="754" spans="1:20" hidden="1" x14ac:dyDescent="0.3">
      <c r="A754" t="s">
        <v>2296</v>
      </c>
      <c r="B754" t="s">
        <v>28</v>
      </c>
      <c r="C754" t="s">
        <v>29</v>
      </c>
      <c r="D754" t="s">
        <v>30</v>
      </c>
      <c r="E754">
        <v>2007</v>
      </c>
      <c r="F754" t="s">
        <v>31</v>
      </c>
      <c r="G754" t="s">
        <v>3538</v>
      </c>
      <c r="H754" t="s">
        <v>2749</v>
      </c>
      <c r="I754" t="s">
        <v>45</v>
      </c>
      <c r="J754" t="s">
        <v>3654</v>
      </c>
      <c r="K754" t="s">
        <v>31</v>
      </c>
      <c r="L754" t="s">
        <v>37</v>
      </c>
      <c r="M754" t="s">
        <v>27</v>
      </c>
      <c r="N754" t="s">
        <v>27</v>
      </c>
      <c r="O754" t="s">
        <v>27</v>
      </c>
      <c r="P754" t="s">
        <v>31</v>
      </c>
      <c r="Q754" t="s">
        <v>31</v>
      </c>
      <c r="R754">
        <v>18.93</v>
      </c>
      <c r="S754">
        <v>-71.03</v>
      </c>
      <c r="T754" t="s">
        <v>31</v>
      </c>
    </row>
    <row r="755" spans="1:20" hidden="1" x14ac:dyDescent="0.3">
      <c r="A755" t="s">
        <v>2297</v>
      </c>
      <c r="B755" t="s">
        <v>39</v>
      </c>
      <c r="C755" t="s">
        <v>157</v>
      </c>
      <c r="D755" t="s">
        <v>157</v>
      </c>
      <c r="E755">
        <v>2007</v>
      </c>
      <c r="F755">
        <v>300000</v>
      </c>
      <c r="G755" t="s">
        <v>31</v>
      </c>
      <c r="H755" t="s">
        <v>2645</v>
      </c>
      <c r="I755" t="s">
        <v>34</v>
      </c>
      <c r="J755" t="s">
        <v>3655</v>
      </c>
      <c r="K755" t="s">
        <v>3656</v>
      </c>
      <c r="L755" t="s">
        <v>31</v>
      </c>
      <c r="M755" t="s">
        <v>27</v>
      </c>
      <c r="N755" t="s">
        <v>27</v>
      </c>
      <c r="O755" t="s">
        <v>33</v>
      </c>
      <c r="P755" t="s">
        <v>31</v>
      </c>
      <c r="Q755" t="s">
        <v>31</v>
      </c>
      <c r="R755" t="s">
        <v>31</v>
      </c>
      <c r="S755" t="s">
        <v>31</v>
      </c>
      <c r="T755" t="s">
        <v>31</v>
      </c>
    </row>
    <row r="756" spans="1:20" hidden="1" x14ac:dyDescent="0.3">
      <c r="A756" t="s">
        <v>653</v>
      </c>
      <c r="B756" t="s">
        <v>28</v>
      </c>
      <c r="C756" t="s">
        <v>29</v>
      </c>
      <c r="D756" t="s">
        <v>97</v>
      </c>
      <c r="E756">
        <v>2008</v>
      </c>
      <c r="F756">
        <v>1300000</v>
      </c>
      <c r="G756" t="s">
        <v>3657</v>
      </c>
      <c r="H756" t="s">
        <v>2645</v>
      </c>
      <c r="I756" t="s">
        <v>34</v>
      </c>
      <c r="J756" t="s">
        <v>3658</v>
      </c>
      <c r="K756" t="s">
        <v>31</v>
      </c>
      <c r="L756" t="s">
        <v>100</v>
      </c>
      <c r="M756" t="s">
        <v>27</v>
      </c>
      <c r="N756" t="s">
        <v>27</v>
      </c>
      <c r="O756" t="s">
        <v>33</v>
      </c>
      <c r="P756" t="s">
        <v>31</v>
      </c>
      <c r="Q756" t="s">
        <v>31</v>
      </c>
      <c r="R756" t="s">
        <v>31</v>
      </c>
      <c r="S756" t="s">
        <v>31</v>
      </c>
      <c r="T756" t="s">
        <v>31</v>
      </c>
    </row>
    <row r="757" spans="1:20" hidden="1" x14ac:dyDescent="0.3">
      <c r="A757" t="s">
        <v>655</v>
      </c>
      <c r="B757" t="s">
        <v>51</v>
      </c>
      <c r="C757" t="s">
        <v>37</v>
      </c>
      <c r="D757" t="s">
        <v>121</v>
      </c>
      <c r="E757">
        <v>2008</v>
      </c>
      <c r="F757" t="s">
        <v>31</v>
      </c>
      <c r="G757" t="s">
        <v>3659</v>
      </c>
      <c r="H757" t="s">
        <v>2656</v>
      </c>
      <c r="I757" t="s">
        <v>119</v>
      </c>
      <c r="J757" t="s">
        <v>3660</v>
      </c>
      <c r="K757" t="s">
        <v>3661</v>
      </c>
      <c r="L757" t="s">
        <v>54</v>
      </c>
      <c r="M757" t="s">
        <v>27</v>
      </c>
      <c r="N757" t="s">
        <v>27</v>
      </c>
      <c r="O757" t="s">
        <v>33</v>
      </c>
      <c r="P757">
        <v>100</v>
      </c>
      <c r="Q757">
        <v>290</v>
      </c>
      <c r="R757">
        <v>-22.37</v>
      </c>
      <c r="S757">
        <v>-43.13</v>
      </c>
      <c r="T757" t="s">
        <v>31</v>
      </c>
    </row>
    <row r="758" spans="1:20" hidden="1" x14ac:dyDescent="0.3">
      <c r="A758" t="s">
        <v>656</v>
      </c>
      <c r="B758" t="s">
        <v>51</v>
      </c>
      <c r="C758" t="s">
        <v>37</v>
      </c>
      <c r="D758" t="s">
        <v>121</v>
      </c>
      <c r="E758">
        <v>2008</v>
      </c>
      <c r="F758">
        <v>1000000</v>
      </c>
      <c r="G758" t="s">
        <v>3662</v>
      </c>
      <c r="H758" t="s">
        <v>2666</v>
      </c>
      <c r="I758" t="s">
        <v>109</v>
      </c>
      <c r="J758" t="s">
        <v>3663</v>
      </c>
      <c r="K758" t="s">
        <v>3577</v>
      </c>
      <c r="L758" t="s">
        <v>54</v>
      </c>
      <c r="M758" t="s">
        <v>33</v>
      </c>
      <c r="N758" t="s">
        <v>33</v>
      </c>
      <c r="O758" t="s">
        <v>33</v>
      </c>
      <c r="P758">
        <v>7019</v>
      </c>
      <c r="Q758">
        <v>75830</v>
      </c>
      <c r="R758">
        <v>-1.25</v>
      </c>
      <c r="S758">
        <v>-79.66</v>
      </c>
      <c r="T758" t="s">
        <v>3664</v>
      </c>
    </row>
    <row r="759" spans="1:20" hidden="1" x14ac:dyDescent="0.3">
      <c r="A759" t="s">
        <v>657</v>
      </c>
      <c r="B759" t="s">
        <v>91</v>
      </c>
      <c r="C759" t="s">
        <v>2712</v>
      </c>
      <c r="D759" t="s">
        <v>105</v>
      </c>
      <c r="E759">
        <v>2008</v>
      </c>
      <c r="F759" t="s">
        <v>31</v>
      </c>
      <c r="G759" t="s">
        <v>3665</v>
      </c>
      <c r="H759" t="s">
        <v>2658</v>
      </c>
      <c r="I759" t="s">
        <v>130</v>
      </c>
      <c r="J759" t="s">
        <v>3666</v>
      </c>
      <c r="K759" t="s">
        <v>31</v>
      </c>
      <c r="L759" t="s">
        <v>31</v>
      </c>
      <c r="M759" t="s">
        <v>27</v>
      </c>
      <c r="N759" t="s">
        <v>27</v>
      </c>
      <c r="O759" t="s">
        <v>27</v>
      </c>
      <c r="P759" t="s">
        <v>31</v>
      </c>
      <c r="Q759" t="s">
        <v>31</v>
      </c>
      <c r="R759">
        <v>-42.832999999999998</v>
      </c>
      <c r="S759">
        <v>-72.650000000000006</v>
      </c>
      <c r="T759" t="s">
        <v>31</v>
      </c>
    </row>
    <row r="760" spans="1:20" hidden="1" x14ac:dyDescent="0.3">
      <c r="A760" t="s">
        <v>658</v>
      </c>
      <c r="B760" t="s">
        <v>28</v>
      </c>
      <c r="C760" t="s">
        <v>29</v>
      </c>
      <c r="D760" t="s">
        <v>97</v>
      </c>
      <c r="E760">
        <v>2008</v>
      </c>
      <c r="F760">
        <v>450000</v>
      </c>
      <c r="G760" t="s">
        <v>31</v>
      </c>
      <c r="H760" t="s">
        <v>2645</v>
      </c>
      <c r="I760" t="s">
        <v>34</v>
      </c>
      <c r="J760" t="s">
        <v>3667</v>
      </c>
      <c r="K760" t="s">
        <v>31</v>
      </c>
      <c r="L760" t="s">
        <v>100</v>
      </c>
      <c r="M760" t="s">
        <v>27</v>
      </c>
      <c r="N760" t="s">
        <v>27</v>
      </c>
      <c r="O760" t="s">
        <v>33</v>
      </c>
      <c r="P760" t="s">
        <v>31</v>
      </c>
      <c r="Q760">
        <v>217</v>
      </c>
      <c r="R760" t="s">
        <v>31</v>
      </c>
      <c r="S760" t="s">
        <v>31</v>
      </c>
      <c r="T760" t="s">
        <v>31</v>
      </c>
    </row>
    <row r="761" spans="1:20" hidden="1" x14ac:dyDescent="0.3">
      <c r="A761" t="s">
        <v>659</v>
      </c>
      <c r="B761" t="s">
        <v>51</v>
      </c>
      <c r="C761" t="s">
        <v>37</v>
      </c>
      <c r="D761" t="s">
        <v>121</v>
      </c>
      <c r="E761">
        <v>2008</v>
      </c>
      <c r="F761" t="s">
        <v>31</v>
      </c>
      <c r="G761" t="s">
        <v>31</v>
      </c>
      <c r="H761" t="s">
        <v>2647</v>
      </c>
      <c r="I761" t="s">
        <v>47</v>
      </c>
      <c r="J761" t="s">
        <v>3668</v>
      </c>
      <c r="K761" t="s">
        <v>2664</v>
      </c>
      <c r="L761" t="s">
        <v>54</v>
      </c>
      <c r="M761" t="s">
        <v>27</v>
      </c>
      <c r="N761" t="s">
        <v>27</v>
      </c>
      <c r="O761" t="s">
        <v>27</v>
      </c>
      <c r="P761" t="s">
        <v>31</v>
      </c>
      <c r="Q761" t="s">
        <v>31</v>
      </c>
      <c r="R761">
        <v>2.68</v>
      </c>
      <c r="S761">
        <v>-75.42</v>
      </c>
      <c r="T761" t="s">
        <v>31</v>
      </c>
    </row>
    <row r="762" spans="1:20" hidden="1" x14ac:dyDescent="0.3">
      <c r="A762" t="s">
        <v>660</v>
      </c>
      <c r="B762" t="s">
        <v>28</v>
      </c>
      <c r="C762" t="s">
        <v>29</v>
      </c>
      <c r="D762" t="s">
        <v>30</v>
      </c>
      <c r="E762">
        <v>2008</v>
      </c>
      <c r="F762" t="s">
        <v>31</v>
      </c>
      <c r="G762" t="s">
        <v>3669</v>
      </c>
      <c r="H762" t="s">
        <v>2706</v>
      </c>
      <c r="I762" t="s">
        <v>32</v>
      </c>
      <c r="J762" t="s">
        <v>3670</v>
      </c>
      <c r="K762" t="s">
        <v>31</v>
      </c>
      <c r="L762" t="s">
        <v>37</v>
      </c>
      <c r="M762" t="s">
        <v>33</v>
      </c>
      <c r="N762" t="s">
        <v>27</v>
      </c>
      <c r="O762" t="s">
        <v>33</v>
      </c>
      <c r="P762">
        <v>362</v>
      </c>
      <c r="Q762" t="s">
        <v>31</v>
      </c>
      <c r="R762">
        <v>17.3</v>
      </c>
      <c r="S762">
        <v>-88.1</v>
      </c>
      <c r="T762" t="s">
        <v>31</v>
      </c>
    </row>
    <row r="763" spans="1:20" hidden="1" x14ac:dyDescent="0.3">
      <c r="A763" t="s">
        <v>661</v>
      </c>
      <c r="B763" t="s">
        <v>28</v>
      </c>
      <c r="C763" t="s">
        <v>29</v>
      </c>
      <c r="D763" t="s">
        <v>30</v>
      </c>
      <c r="E763">
        <v>2008</v>
      </c>
      <c r="F763" t="s">
        <v>31</v>
      </c>
      <c r="G763" t="s">
        <v>3671</v>
      </c>
      <c r="H763" t="s">
        <v>2695</v>
      </c>
      <c r="I763" t="s">
        <v>161</v>
      </c>
      <c r="J763" t="s">
        <v>3672</v>
      </c>
      <c r="K763" t="s">
        <v>31</v>
      </c>
      <c r="L763" t="s">
        <v>82</v>
      </c>
      <c r="M763" t="s">
        <v>27</v>
      </c>
      <c r="N763" t="s">
        <v>27</v>
      </c>
      <c r="O763" t="s">
        <v>27</v>
      </c>
      <c r="P763" t="s">
        <v>31</v>
      </c>
      <c r="Q763" t="s">
        <v>31</v>
      </c>
      <c r="R763" t="s">
        <v>31</v>
      </c>
      <c r="S763" t="s">
        <v>31</v>
      </c>
      <c r="T763" t="s">
        <v>31</v>
      </c>
    </row>
    <row r="764" spans="1:20" hidden="1" x14ac:dyDescent="0.3">
      <c r="A764" t="s">
        <v>662</v>
      </c>
      <c r="B764" t="s">
        <v>28</v>
      </c>
      <c r="C764" t="s">
        <v>29</v>
      </c>
      <c r="D764" t="s">
        <v>30</v>
      </c>
      <c r="E764">
        <v>2008</v>
      </c>
      <c r="F764" t="s">
        <v>31</v>
      </c>
      <c r="G764" t="s">
        <v>3671</v>
      </c>
      <c r="H764" t="s">
        <v>2753</v>
      </c>
      <c r="I764" t="s">
        <v>49</v>
      </c>
      <c r="J764" t="s">
        <v>3673</v>
      </c>
      <c r="K764" t="s">
        <v>31</v>
      </c>
      <c r="L764" t="s">
        <v>31</v>
      </c>
      <c r="M764" t="s">
        <v>27</v>
      </c>
      <c r="N764" t="s">
        <v>27</v>
      </c>
      <c r="O764" t="s">
        <v>27</v>
      </c>
      <c r="P764" t="s">
        <v>31</v>
      </c>
      <c r="Q764" t="s">
        <v>31</v>
      </c>
      <c r="R764" t="s">
        <v>31</v>
      </c>
      <c r="S764" t="s">
        <v>31</v>
      </c>
      <c r="T764" t="s">
        <v>31</v>
      </c>
    </row>
    <row r="765" spans="1:20" hidden="1" x14ac:dyDescent="0.3">
      <c r="A765" t="s">
        <v>663</v>
      </c>
      <c r="B765" t="s">
        <v>51</v>
      </c>
      <c r="C765" t="s">
        <v>37</v>
      </c>
      <c r="D765" t="s">
        <v>121</v>
      </c>
      <c r="E765">
        <v>2008</v>
      </c>
      <c r="F765" t="s">
        <v>31</v>
      </c>
      <c r="G765" t="s">
        <v>3674</v>
      </c>
      <c r="H765" t="s">
        <v>2680</v>
      </c>
      <c r="I765" t="s">
        <v>115</v>
      </c>
      <c r="J765" t="s">
        <v>3675</v>
      </c>
      <c r="K765" t="s">
        <v>31</v>
      </c>
      <c r="L765" t="s">
        <v>290</v>
      </c>
      <c r="M765" t="s">
        <v>27</v>
      </c>
      <c r="N765" t="s">
        <v>27</v>
      </c>
      <c r="O765" t="s">
        <v>27</v>
      </c>
      <c r="P765" t="s">
        <v>31</v>
      </c>
      <c r="Q765" t="s">
        <v>31</v>
      </c>
      <c r="R765" t="s">
        <v>31</v>
      </c>
      <c r="S765" t="s">
        <v>31</v>
      </c>
      <c r="T765" t="s">
        <v>31</v>
      </c>
    </row>
    <row r="766" spans="1:20" hidden="1" x14ac:dyDescent="0.3">
      <c r="A766" t="s">
        <v>664</v>
      </c>
      <c r="B766" t="s">
        <v>28</v>
      </c>
      <c r="C766" t="s">
        <v>29</v>
      </c>
      <c r="D766" t="s">
        <v>30</v>
      </c>
      <c r="E766">
        <v>2008</v>
      </c>
      <c r="F766">
        <v>75000</v>
      </c>
      <c r="G766" t="s">
        <v>3676</v>
      </c>
      <c r="H766" t="s">
        <v>2672</v>
      </c>
      <c r="I766" t="s">
        <v>73</v>
      </c>
      <c r="J766" t="s">
        <v>3677</v>
      </c>
      <c r="K766" t="s">
        <v>31</v>
      </c>
      <c r="L766" t="s">
        <v>82</v>
      </c>
      <c r="M766" t="s">
        <v>27</v>
      </c>
      <c r="N766" t="s">
        <v>27</v>
      </c>
      <c r="O766" t="s">
        <v>27</v>
      </c>
      <c r="P766" t="s">
        <v>31</v>
      </c>
      <c r="Q766">
        <v>160</v>
      </c>
      <c r="R766" t="s">
        <v>31</v>
      </c>
      <c r="S766" t="s">
        <v>31</v>
      </c>
      <c r="T766" t="s">
        <v>31</v>
      </c>
    </row>
    <row r="767" spans="1:20" hidden="1" x14ac:dyDescent="0.3">
      <c r="A767" t="s">
        <v>665</v>
      </c>
      <c r="B767" t="s">
        <v>28</v>
      </c>
      <c r="C767" t="s">
        <v>29</v>
      </c>
      <c r="D767" t="s">
        <v>30</v>
      </c>
      <c r="E767">
        <v>2008</v>
      </c>
      <c r="F767">
        <v>1200000</v>
      </c>
      <c r="G767" t="s">
        <v>3676</v>
      </c>
      <c r="H767" t="s">
        <v>2645</v>
      </c>
      <c r="I767" t="s">
        <v>34</v>
      </c>
      <c r="J767" t="s">
        <v>3678</v>
      </c>
      <c r="K767" t="s">
        <v>31</v>
      </c>
      <c r="L767" t="s">
        <v>666</v>
      </c>
      <c r="M767" t="s">
        <v>27</v>
      </c>
      <c r="N767" t="s">
        <v>27</v>
      </c>
      <c r="O767" t="s">
        <v>33</v>
      </c>
      <c r="P767" t="s">
        <v>31</v>
      </c>
      <c r="Q767">
        <v>160</v>
      </c>
      <c r="R767" t="s">
        <v>31</v>
      </c>
      <c r="S767" t="s">
        <v>31</v>
      </c>
      <c r="T767" t="s">
        <v>31</v>
      </c>
    </row>
    <row r="768" spans="1:20" hidden="1" x14ac:dyDescent="0.3">
      <c r="A768" t="s">
        <v>667</v>
      </c>
      <c r="B768" t="s">
        <v>28</v>
      </c>
      <c r="C768" t="s">
        <v>29</v>
      </c>
      <c r="D768" t="s">
        <v>30</v>
      </c>
      <c r="E768">
        <v>2008</v>
      </c>
      <c r="F768" t="s">
        <v>31</v>
      </c>
      <c r="G768" t="s">
        <v>3679</v>
      </c>
      <c r="H768" t="s">
        <v>2716</v>
      </c>
      <c r="I768" t="s">
        <v>242</v>
      </c>
      <c r="J768" t="s">
        <v>3680</v>
      </c>
      <c r="K768" t="s">
        <v>31</v>
      </c>
      <c r="L768" t="s">
        <v>31</v>
      </c>
      <c r="M768" t="s">
        <v>27</v>
      </c>
      <c r="N768" t="s">
        <v>27</v>
      </c>
      <c r="O768" t="s">
        <v>27</v>
      </c>
      <c r="P768" t="s">
        <v>31</v>
      </c>
      <c r="Q768">
        <v>85</v>
      </c>
      <c r="R768" t="s">
        <v>31</v>
      </c>
      <c r="S768" t="s">
        <v>31</v>
      </c>
      <c r="T768" t="s">
        <v>31</v>
      </c>
    </row>
    <row r="769" spans="1:20" hidden="1" x14ac:dyDescent="0.3">
      <c r="A769" t="s">
        <v>668</v>
      </c>
      <c r="B769" t="s">
        <v>28</v>
      </c>
      <c r="C769" t="s">
        <v>29</v>
      </c>
      <c r="D769" t="s">
        <v>30</v>
      </c>
      <c r="E769">
        <v>2008</v>
      </c>
      <c r="F769" t="s">
        <v>31</v>
      </c>
      <c r="G769" t="s">
        <v>3679</v>
      </c>
      <c r="H769" t="s">
        <v>2751</v>
      </c>
      <c r="I769" t="s">
        <v>234</v>
      </c>
      <c r="J769" t="s">
        <v>2862</v>
      </c>
      <c r="K769" t="s">
        <v>31</v>
      </c>
      <c r="L769" t="s">
        <v>31</v>
      </c>
      <c r="M769" t="s">
        <v>27</v>
      </c>
      <c r="N769" t="s">
        <v>27</v>
      </c>
      <c r="O769" t="s">
        <v>27</v>
      </c>
      <c r="P769" t="s">
        <v>31</v>
      </c>
      <c r="Q769" t="s">
        <v>31</v>
      </c>
      <c r="R769" t="s">
        <v>31</v>
      </c>
      <c r="S769" t="s">
        <v>31</v>
      </c>
      <c r="T769" t="s">
        <v>31</v>
      </c>
    </row>
    <row r="770" spans="1:20" hidden="1" x14ac:dyDescent="0.3">
      <c r="A770" t="s">
        <v>669</v>
      </c>
      <c r="B770" t="s">
        <v>28</v>
      </c>
      <c r="C770" t="s">
        <v>29</v>
      </c>
      <c r="D770" t="s">
        <v>30</v>
      </c>
      <c r="E770">
        <v>2008</v>
      </c>
      <c r="F770" t="s">
        <v>31</v>
      </c>
      <c r="G770" t="s">
        <v>3681</v>
      </c>
      <c r="H770" t="s">
        <v>2860</v>
      </c>
      <c r="I770" t="s">
        <v>670</v>
      </c>
      <c r="J770" t="s">
        <v>3682</v>
      </c>
      <c r="K770" t="s">
        <v>31</v>
      </c>
      <c r="L770" t="s">
        <v>31</v>
      </c>
      <c r="M770" t="s">
        <v>27</v>
      </c>
      <c r="N770" t="s">
        <v>27</v>
      </c>
      <c r="O770" t="s">
        <v>27</v>
      </c>
      <c r="P770" t="s">
        <v>31</v>
      </c>
      <c r="Q770" t="s">
        <v>31</v>
      </c>
      <c r="R770" t="s">
        <v>31</v>
      </c>
      <c r="S770" t="s">
        <v>31</v>
      </c>
      <c r="T770" t="s">
        <v>31</v>
      </c>
    </row>
    <row r="771" spans="1:20" hidden="1" x14ac:dyDescent="0.3">
      <c r="A771" t="s">
        <v>671</v>
      </c>
      <c r="B771" t="s">
        <v>28</v>
      </c>
      <c r="C771" t="s">
        <v>29</v>
      </c>
      <c r="D771" t="s">
        <v>30</v>
      </c>
      <c r="E771">
        <v>2008</v>
      </c>
      <c r="F771" t="s">
        <v>31</v>
      </c>
      <c r="G771" t="s">
        <v>3681</v>
      </c>
      <c r="H771" t="s">
        <v>2749</v>
      </c>
      <c r="I771" t="s">
        <v>45</v>
      </c>
      <c r="J771" t="s">
        <v>3683</v>
      </c>
      <c r="K771" t="s">
        <v>31</v>
      </c>
      <c r="L771" t="s">
        <v>37</v>
      </c>
      <c r="M771" t="s">
        <v>27</v>
      </c>
      <c r="N771" t="s">
        <v>27</v>
      </c>
      <c r="O771" t="s">
        <v>27</v>
      </c>
      <c r="P771" t="s">
        <v>31</v>
      </c>
      <c r="Q771" t="s">
        <v>31</v>
      </c>
      <c r="R771" t="s">
        <v>31</v>
      </c>
      <c r="S771" t="s">
        <v>31</v>
      </c>
      <c r="T771" t="s">
        <v>31</v>
      </c>
    </row>
    <row r="772" spans="1:20" hidden="1" x14ac:dyDescent="0.3">
      <c r="A772" t="s">
        <v>672</v>
      </c>
      <c r="B772" t="s">
        <v>28</v>
      </c>
      <c r="C772" t="s">
        <v>29</v>
      </c>
      <c r="D772" t="s">
        <v>30</v>
      </c>
      <c r="E772">
        <v>2008</v>
      </c>
      <c r="F772" t="s">
        <v>31</v>
      </c>
      <c r="G772" t="s">
        <v>31</v>
      </c>
      <c r="H772" t="s">
        <v>2888</v>
      </c>
      <c r="I772" t="s">
        <v>75</v>
      </c>
      <c r="J772" t="s">
        <v>3684</v>
      </c>
      <c r="K772" t="s">
        <v>31</v>
      </c>
      <c r="L772" t="s">
        <v>181</v>
      </c>
      <c r="M772" t="s">
        <v>27</v>
      </c>
      <c r="N772" t="s">
        <v>27</v>
      </c>
      <c r="O772" t="s">
        <v>27</v>
      </c>
      <c r="P772" t="s">
        <v>31</v>
      </c>
      <c r="Q772">
        <v>110</v>
      </c>
      <c r="R772" t="s">
        <v>31</v>
      </c>
      <c r="S772" t="s">
        <v>31</v>
      </c>
      <c r="T772" t="s">
        <v>31</v>
      </c>
    </row>
    <row r="773" spans="1:20" hidden="1" x14ac:dyDescent="0.3">
      <c r="A773" t="s">
        <v>673</v>
      </c>
      <c r="B773" t="s">
        <v>28</v>
      </c>
      <c r="C773" t="s">
        <v>29</v>
      </c>
      <c r="D773" t="s">
        <v>30</v>
      </c>
      <c r="E773">
        <v>2008</v>
      </c>
      <c r="F773" t="s">
        <v>31</v>
      </c>
      <c r="G773" t="s">
        <v>31</v>
      </c>
      <c r="H773" t="s">
        <v>3220</v>
      </c>
      <c r="I773" t="s">
        <v>674</v>
      </c>
      <c r="J773" t="s">
        <v>3685</v>
      </c>
      <c r="K773" t="s">
        <v>31</v>
      </c>
      <c r="L773" t="s">
        <v>37</v>
      </c>
      <c r="M773" t="s">
        <v>27</v>
      </c>
      <c r="N773" t="s">
        <v>27</v>
      </c>
      <c r="O773" t="s">
        <v>27</v>
      </c>
      <c r="P773" t="s">
        <v>31</v>
      </c>
      <c r="Q773" t="s">
        <v>31</v>
      </c>
      <c r="R773" t="s">
        <v>31</v>
      </c>
      <c r="S773" t="s">
        <v>31</v>
      </c>
      <c r="T773" t="s">
        <v>31</v>
      </c>
    </row>
    <row r="774" spans="1:20" hidden="1" x14ac:dyDescent="0.3">
      <c r="A774" t="s">
        <v>675</v>
      </c>
      <c r="B774" t="s">
        <v>28</v>
      </c>
      <c r="C774" t="s">
        <v>29</v>
      </c>
      <c r="D774" t="s">
        <v>30</v>
      </c>
      <c r="E774">
        <v>2008</v>
      </c>
      <c r="F774" t="s">
        <v>31</v>
      </c>
      <c r="G774" t="s">
        <v>3686</v>
      </c>
      <c r="H774" t="s">
        <v>2804</v>
      </c>
      <c r="I774" t="s">
        <v>102</v>
      </c>
      <c r="J774" t="s">
        <v>3687</v>
      </c>
      <c r="K774" t="s">
        <v>31</v>
      </c>
      <c r="L774" t="s">
        <v>31</v>
      </c>
      <c r="M774" t="s">
        <v>27</v>
      </c>
      <c r="N774" t="s">
        <v>27</v>
      </c>
      <c r="O774" t="s">
        <v>27</v>
      </c>
      <c r="P774" t="s">
        <v>31</v>
      </c>
      <c r="Q774">
        <v>215</v>
      </c>
      <c r="R774" t="s">
        <v>31</v>
      </c>
      <c r="S774" t="s">
        <v>31</v>
      </c>
      <c r="T774" t="s">
        <v>31</v>
      </c>
    </row>
    <row r="775" spans="1:20" hidden="1" x14ac:dyDescent="0.3">
      <c r="A775" t="s">
        <v>676</v>
      </c>
      <c r="B775" t="s">
        <v>51</v>
      </c>
      <c r="C775" t="s">
        <v>37</v>
      </c>
      <c r="D775" t="s">
        <v>121</v>
      </c>
      <c r="E775">
        <v>2008</v>
      </c>
      <c r="F775">
        <v>23000</v>
      </c>
      <c r="G775" t="s">
        <v>3688</v>
      </c>
      <c r="H775" t="s">
        <v>2701</v>
      </c>
      <c r="I775" t="s">
        <v>60</v>
      </c>
      <c r="J775" t="s">
        <v>3689</v>
      </c>
      <c r="K775" t="s">
        <v>2664</v>
      </c>
      <c r="L775" t="s">
        <v>54</v>
      </c>
      <c r="M775" t="s">
        <v>27</v>
      </c>
      <c r="N775" t="s">
        <v>27</v>
      </c>
      <c r="O775" t="s">
        <v>33</v>
      </c>
      <c r="P775" t="s">
        <v>31</v>
      </c>
      <c r="Q775" t="s">
        <v>31</v>
      </c>
      <c r="R775" t="s">
        <v>31</v>
      </c>
      <c r="S775" t="s">
        <v>31</v>
      </c>
      <c r="T775" t="s">
        <v>3690</v>
      </c>
    </row>
    <row r="776" spans="1:20" hidden="1" x14ac:dyDescent="0.3">
      <c r="A776" t="s">
        <v>677</v>
      </c>
      <c r="B776" t="s">
        <v>51</v>
      </c>
      <c r="C776" t="s">
        <v>2655</v>
      </c>
      <c r="D776" t="s">
        <v>134</v>
      </c>
      <c r="E776">
        <v>2008</v>
      </c>
      <c r="F776" t="s">
        <v>31</v>
      </c>
      <c r="G776" t="s">
        <v>31</v>
      </c>
      <c r="H776" t="s">
        <v>2672</v>
      </c>
      <c r="I776" t="s">
        <v>73</v>
      </c>
      <c r="J776" t="s">
        <v>3691</v>
      </c>
      <c r="K776" t="s">
        <v>31</v>
      </c>
      <c r="L776" t="s">
        <v>31</v>
      </c>
      <c r="M776" t="s">
        <v>27</v>
      </c>
      <c r="N776" t="s">
        <v>27</v>
      </c>
      <c r="O776" t="s">
        <v>27</v>
      </c>
      <c r="P776" t="s">
        <v>31</v>
      </c>
      <c r="Q776" t="s">
        <v>31</v>
      </c>
      <c r="R776" t="s">
        <v>31</v>
      </c>
      <c r="S776" t="s">
        <v>31</v>
      </c>
      <c r="T776" t="s">
        <v>31</v>
      </c>
    </row>
    <row r="777" spans="1:20" hidden="1" x14ac:dyDescent="0.3">
      <c r="A777" t="s">
        <v>678</v>
      </c>
      <c r="B777" t="s">
        <v>51</v>
      </c>
      <c r="C777" t="s">
        <v>37</v>
      </c>
      <c r="D777" t="s">
        <v>121</v>
      </c>
      <c r="E777">
        <v>2008</v>
      </c>
      <c r="F777" t="s">
        <v>31</v>
      </c>
      <c r="G777" t="s">
        <v>3692</v>
      </c>
      <c r="H777" t="s">
        <v>2753</v>
      </c>
      <c r="I777" t="s">
        <v>49</v>
      </c>
      <c r="J777" t="s">
        <v>3693</v>
      </c>
      <c r="K777" t="s">
        <v>3694</v>
      </c>
      <c r="L777" t="s">
        <v>54</v>
      </c>
      <c r="M777" t="s">
        <v>33</v>
      </c>
      <c r="N777" t="s">
        <v>33</v>
      </c>
      <c r="O777" t="s">
        <v>33</v>
      </c>
      <c r="P777" t="s">
        <v>31</v>
      </c>
      <c r="Q777" t="s">
        <v>31</v>
      </c>
      <c r="R777">
        <v>15.86</v>
      </c>
      <c r="S777">
        <v>-89.28</v>
      </c>
      <c r="T777" t="s">
        <v>31</v>
      </c>
    </row>
    <row r="778" spans="1:20" hidden="1" x14ac:dyDescent="0.3">
      <c r="A778" t="s">
        <v>679</v>
      </c>
      <c r="B778" t="s">
        <v>51</v>
      </c>
      <c r="C778" t="s">
        <v>37</v>
      </c>
      <c r="D778" t="s">
        <v>121</v>
      </c>
      <c r="E778">
        <v>2008</v>
      </c>
      <c r="F778" t="s">
        <v>31</v>
      </c>
      <c r="G778" t="s">
        <v>3692</v>
      </c>
      <c r="H778" t="s">
        <v>2675</v>
      </c>
      <c r="I778" t="s">
        <v>81</v>
      </c>
      <c r="J778" t="s">
        <v>3695</v>
      </c>
      <c r="K778" t="s">
        <v>3696</v>
      </c>
      <c r="L778" t="s">
        <v>31</v>
      </c>
      <c r="M778" t="s">
        <v>27</v>
      </c>
      <c r="N778" t="s">
        <v>27</v>
      </c>
      <c r="O778" t="s">
        <v>27</v>
      </c>
      <c r="P778" t="s">
        <v>31</v>
      </c>
      <c r="Q778" t="s">
        <v>31</v>
      </c>
      <c r="R778" t="s">
        <v>31</v>
      </c>
      <c r="S778" t="s">
        <v>31</v>
      </c>
      <c r="T778" t="s">
        <v>31</v>
      </c>
    </row>
    <row r="779" spans="1:20" hidden="1" x14ac:dyDescent="0.3">
      <c r="A779" t="s">
        <v>680</v>
      </c>
      <c r="B779" t="s">
        <v>39</v>
      </c>
      <c r="C779" t="s">
        <v>40</v>
      </c>
      <c r="D779" t="s">
        <v>142</v>
      </c>
      <c r="E779">
        <v>2008</v>
      </c>
      <c r="F779">
        <v>2000000</v>
      </c>
      <c r="G779" t="s">
        <v>3697</v>
      </c>
      <c r="H779" t="s">
        <v>2645</v>
      </c>
      <c r="I779" t="s">
        <v>34</v>
      </c>
      <c r="J779" t="s">
        <v>3698</v>
      </c>
      <c r="K779" t="s">
        <v>31</v>
      </c>
      <c r="L779" t="s">
        <v>31</v>
      </c>
      <c r="M779" t="s">
        <v>27</v>
      </c>
      <c r="N779" t="s">
        <v>27</v>
      </c>
      <c r="O779" t="s">
        <v>33</v>
      </c>
      <c r="P779" t="s">
        <v>31</v>
      </c>
      <c r="Q779" t="s">
        <v>31</v>
      </c>
      <c r="R779" t="s">
        <v>31</v>
      </c>
      <c r="S779" t="s">
        <v>31</v>
      </c>
      <c r="T779" t="s">
        <v>31</v>
      </c>
    </row>
    <row r="780" spans="1:20" hidden="1" x14ac:dyDescent="0.3">
      <c r="A780" t="s">
        <v>681</v>
      </c>
      <c r="B780" t="s">
        <v>51</v>
      </c>
      <c r="C780" t="s">
        <v>37</v>
      </c>
      <c r="D780" t="s">
        <v>121</v>
      </c>
      <c r="E780">
        <v>2008</v>
      </c>
      <c r="F780" t="s">
        <v>31</v>
      </c>
      <c r="G780" t="s">
        <v>31</v>
      </c>
      <c r="H780" t="s">
        <v>2709</v>
      </c>
      <c r="I780" t="s">
        <v>70</v>
      </c>
      <c r="J780" t="s">
        <v>3699</v>
      </c>
      <c r="K780" t="s">
        <v>2649</v>
      </c>
      <c r="L780" t="s">
        <v>54</v>
      </c>
      <c r="M780" t="s">
        <v>27</v>
      </c>
      <c r="N780" t="s">
        <v>27</v>
      </c>
      <c r="O780" t="s">
        <v>27</v>
      </c>
      <c r="P780" t="s">
        <v>31</v>
      </c>
      <c r="Q780">
        <v>61390</v>
      </c>
      <c r="R780">
        <v>9.77</v>
      </c>
      <c r="S780">
        <v>-66.400000000000006</v>
      </c>
      <c r="T780" t="s">
        <v>31</v>
      </c>
    </row>
    <row r="781" spans="1:20" hidden="1" x14ac:dyDescent="0.3">
      <c r="A781" t="s">
        <v>682</v>
      </c>
      <c r="B781" t="s">
        <v>51</v>
      </c>
      <c r="C781" t="s">
        <v>37</v>
      </c>
      <c r="D781" t="s">
        <v>121</v>
      </c>
      <c r="E781">
        <v>2008</v>
      </c>
      <c r="F781" t="s">
        <v>31</v>
      </c>
      <c r="G781" t="s">
        <v>3700</v>
      </c>
      <c r="H781" t="s">
        <v>3306</v>
      </c>
      <c r="I781" t="s">
        <v>604</v>
      </c>
      <c r="J781" t="s">
        <v>3701</v>
      </c>
      <c r="K781" t="s">
        <v>2664</v>
      </c>
      <c r="L781" t="s">
        <v>31</v>
      </c>
      <c r="M781" t="s">
        <v>27</v>
      </c>
      <c r="N781" t="s">
        <v>27</v>
      </c>
      <c r="O781" t="s">
        <v>27</v>
      </c>
      <c r="P781" t="s">
        <v>31</v>
      </c>
      <c r="Q781">
        <v>40000</v>
      </c>
      <c r="R781">
        <v>7.01</v>
      </c>
      <c r="S781">
        <v>-58.58</v>
      </c>
      <c r="T781" t="s">
        <v>3702</v>
      </c>
    </row>
    <row r="782" spans="1:20" hidden="1" x14ac:dyDescent="0.3">
      <c r="A782" t="s">
        <v>683</v>
      </c>
      <c r="B782" t="s">
        <v>28</v>
      </c>
      <c r="C782" t="s">
        <v>29</v>
      </c>
      <c r="D782" t="s">
        <v>67</v>
      </c>
      <c r="E782">
        <v>2008</v>
      </c>
      <c r="F782">
        <v>360000</v>
      </c>
      <c r="G782" t="s">
        <v>31</v>
      </c>
      <c r="H782" t="s">
        <v>2645</v>
      </c>
      <c r="I782" t="s">
        <v>34</v>
      </c>
      <c r="J782" t="s">
        <v>3703</v>
      </c>
      <c r="K782" t="s">
        <v>31</v>
      </c>
      <c r="L782" t="s">
        <v>31</v>
      </c>
      <c r="M782" t="s">
        <v>27</v>
      </c>
      <c r="N782" t="s">
        <v>27</v>
      </c>
      <c r="O782" t="s">
        <v>27</v>
      </c>
      <c r="P782" t="s">
        <v>31</v>
      </c>
      <c r="Q782" t="s">
        <v>31</v>
      </c>
      <c r="R782" t="s">
        <v>31</v>
      </c>
      <c r="S782" t="s">
        <v>31</v>
      </c>
      <c r="T782" t="s">
        <v>31</v>
      </c>
    </row>
    <row r="783" spans="1:20" hidden="1" x14ac:dyDescent="0.3">
      <c r="A783" t="s">
        <v>1004</v>
      </c>
      <c r="B783" t="s">
        <v>91</v>
      </c>
      <c r="C783" t="s">
        <v>2712</v>
      </c>
      <c r="D783" t="s">
        <v>105</v>
      </c>
      <c r="E783">
        <v>2008</v>
      </c>
      <c r="F783" t="s">
        <v>31</v>
      </c>
      <c r="G783" t="s">
        <v>3704</v>
      </c>
      <c r="H783" t="s">
        <v>2647</v>
      </c>
      <c r="I783" t="s">
        <v>47</v>
      </c>
      <c r="J783" t="s">
        <v>3705</v>
      </c>
      <c r="K783" t="s">
        <v>31</v>
      </c>
      <c r="L783" t="s">
        <v>31</v>
      </c>
      <c r="M783" t="s">
        <v>27</v>
      </c>
      <c r="N783" t="s">
        <v>27</v>
      </c>
      <c r="O783" t="s">
        <v>27</v>
      </c>
      <c r="P783" t="s">
        <v>31</v>
      </c>
      <c r="Q783" t="s">
        <v>31</v>
      </c>
      <c r="R783" t="s">
        <v>31</v>
      </c>
      <c r="S783" t="s">
        <v>31</v>
      </c>
      <c r="T783" t="s">
        <v>31</v>
      </c>
    </row>
    <row r="784" spans="1:20" hidden="1" x14ac:dyDescent="0.3">
      <c r="A784" t="s">
        <v>1005</v>
      </c>
      <c r="B784" t="s">
        <v>28</v>
      </c>
      <c r="C784" t="s">
        <v>29</v>
      </c>
      <c r="D784" t="s">
        <v>30</v>
      </c>
      <c r="E784">
        <v>2008</v>
      </c>
      <c r="F784" t="s">
        <v>31</v>
      </c>
      <c r="G784" t="s">
        <v>3671</v>
      </c>
      <c r="H784" t="s">
        <v>2675</v>
      </c>
      <c r="I784" t="s">
        <v>81</v>
      </c>
      <c r="J784" t="s">
        <v>3706</v>
      </c>
      <c r="K784" t="s">
        <v>31</v>
      </c>
      <c r="L784" t="s">
        <v>31</v>
      </c>
      <c r="M784" t="s">
        <v>33</v>
      </c>
      <c r="N784" t="s">
        <v>27</v>
      </c>
      <c r="O784" t="s">
        <v>27</v>
      </c>
      <c r="P784" t="s">
        <v>31</v>
      </c>
      <c r="Q784" t="s">
        <v>31</v>
      </c>
      <c r="R784" t="s">
        <v>31</v>
      </c>
      <c r="S784" t="s">
        <v>31</v>
      </c>
      <c r="T784" t="s">
        <v>31</v>
      </c>
    </row>
    <row r="785" spans="1:20" x14ac:dyDescent="0.3">
      <c r="A785" t="s">
        <v>1006</v>
      </c>
      <c r="B785" t="s">
        <v>51</v>
      </c>
      <c r="C785" t="s">
        <v>37</v>
      </c>
      <c r="D785" t="s">
        <v>121</v>
      </c>
      <c r="E785">
        <v>2008</v>
      </c>
      <c r="F785">
        <v>360000</v>
      </c>
      <c r="G785" t="s">
        <v>3707</v>
      </c>
      <c r="H785" t="s">
        <v>2656</v>
      </c>
      <c r="I785" t="s">
        <v>119</v>
      </c>
      <c r="J785" t="s">
        <v>2600</v>
      </c>
      <c r="K785" t="s">
        <v>2664</v>
      </c>
      <c r="L785" t="s">
        <v>54</v>
      </c>
      <c r="M785" t="s">
        <v>33</v>
      </c>
      <c r="N785" t="s">
        <v>27</v>
      </c>
      <c r="O785" t="s">
        <v>33</v>
      </c>
      <c r="P785" t="s">
        <v>31</v>
      </c>
      <c r="Q785">
        <v>1120000</v>
      </c>
      <c r="R785">
        <v>-5.36</v>
      </c>
      <c r="S785">
        <v>-41.68</v>
      </c>
      <c r="T785" t="s">
        <v>3708</v>
      </c>
    </row>
    <row r="786" spans="1:20" hidden="1" x14ac:dyDescent="0.3">
      <c r="A786" t="s">
        <v>1007</v>
      </c>
      <c r="B786" t="s">
        <v>43</v>
      </c>
      <c r="C786" t="s">
        <v>2665</v>
      </c>
      <c r="D786" t="s">
        <v>114</v>
      </c>
      <c r="E786">
        <v>2008</v>
      </c>
      <c r="F786" t="s">
        <v>31</v>
      </c>
      <c r="G786" t="s">
        <v>31</v>
      </c>
      <c r="H786" t="s">
        <v>2769</v>
      </c>
      <c r="I786" t="s">
        <v>117</v>
      </c>
      <c r="J786" t="s">
        <v>3709</v>
      </c>
      <c r="K786" t="s">
        <v>31</v>
      </c>
      <c r="L786" t="s">
        <v>31</v>
      </c>
      <c r="M786" t="s">
        <v>33</v>
      </c>
      <c r="N786" t="s">
        <v>33</v>
      </c>
      <c r="O786" t="s">
        <v>33</v>
      </c>
      <c r="P786" t="s">
        <v>31</v>
      </c>
      <c r="Q786">
        <v>1768303</v>
      </c>
      <c r="R786" t="s">
        <v>31</v>
      </c>
      <c r="S786" t="s">
        <v>31</v>
      </c>
      <c r="T786" t="s">
        <v>31</v>
      </c>
    </row>
    <row r="787" spans="1:20" hidden="1" x14ac:dyDescent="0.3">
      <c r="A787" t="s">
        <v>1008</v>
      </c>
      <c r="B787" t="s">
        <v>91</v>
      </c>
      <c r="C787" t="s">
        <v>2712</v>
      </c>
      <c r="D787" t="s">
        <v>105</v>
      </c>
      <c r="E787">
        <v>2008</v>
      </c>
      <c r="F787" t="s">
        <v>31</v>
      </c>
      <c r="G787" t="s">
        <v>3710</v>
      </c>
      <c r="H787" t="s">
        <v>2647</v>
      </c>
      <c r="I787" t="s">
        <v>47</v>
      </c>
      <c r="J787" t="s">
        <v>3711</v>
      </c>
      <c r="K787" t="s">
        <v>31</v>
      </c>
      <c r="L787" t="s">
        <v>31</v>
      </c>
      <c r="M787" t="s">
        <v>27</v>
      </c>
      <c r="N787" t="s">
        <v>27</v>
      </c>
      <c r="O787" t="s">
        <v>27</v>
      </c>
      <c r="P787" t="s">
        <v>31</v>
      </c>
      <c r="Q787" t="s">
        <v>31</v>
      </c>
      <c r="R787" t="s">
        <v>31</v>
      </c>
      <c r="S787" t="s">
        <v>31</v>
      </c>
      <c r="T787" t="s">
        <v>31</v>
      </c>
    </row>
    <row r="788" spans="1:20" hidden="1" x14ac:dyDescent="0.3">
      <c r="A788" t="s">
        <v>1009</v>
      </c>
      <c r="B788" t="s">
        <v>51</v>
      </c>
      <c r="C788" t="s">
        <v>2655</v>
      </c>
      <c r="D788" t="s">
        <v>134</v>
      </c>
      <c r="E788">
        <v>2008</v>
      </c>
      <c r="F788" t="s">
        <v>31</v>
      </c>
      <c r="G788" t="s">
        <v>31</v>
      </c>
      <c r="H788" t="s">
        <v>2647</v>
      </c>
      <c r="I788" t="s">
        <v>47</v>
      </c>
      <c r="J788" t="s">
        <v>3712</v>
      </c>
      <c r="K788" t="s">
        <v>2649</v>
      </c>
      <c r="L788" t="s">
        <v>31</v>
      </c>
      <c r="M788" t="s">
        <v>27</v>
      </c>
      <c r="N788" t="s">
        <v>27</v>
      </c>
      <c r="O788" t="s">
        <v>27</v>
      </c>
      <c r="P788" t="s">
        <v>31</v>
      </c>
      <c r="Q788" t="s">
        <v>31</v>
      </c>
      <c r="R788" t="s">
        <v>31</v>
      </c>
      <c r="S788" t="s">
        <v>31</v>
      </c>
      <c r="T788" t="s">
        <v>31</v>
      </c>
    </row>
    <row r="789" spans="1:20" hidden="1" x14ac:dyDescent="0.3">
      <c r="A789" t="s">
        <v>1010</v>
      </c>
      <c r="B789" t="s">
        <v>28</v>
      </c>
      <c r="C789" t="s">
        <v>29</v>
      </c>
      <c r="D789" t="s">
        <v>30</v>
      </c>
      <c r="E789">
        <v>2008</v>
      </c>
      <c r="F789" t="s">
        <v>31</v>
      </c>
      <c r="G789" t="s">
        <v>3681</v>
      </c>
      <c r="H789" t="s">
        <v>2888</v>
      </c>
      <c r="I789" t="s">
        <v>75</v>
      </c>
      <c r="J789" t="s">
        <v>2889</v>
      </c>
      <c r="K789" t="s">
        <v>31</v>
      </c>
      <c r="L789" t="s">
        <v>54</v>
      </c>
      <c r="M789" t="s">
        <v>27</v>
      </c>
      <c r="N789" t="s">
        <v>27</v>
      </c>
      <c r="O789" t="s">
        <v>27</v>
      </c>
      <c r="P789" t="s">
        <v>31</v>
      </c>
      <c r="Q789" t="s">
        <v>31</v>
      </c>
      <c r="R789" t="s">
        <v>31</v>
      </c>
      <c r="S789" t="s">
        <v>31</v>
      </c>
      <c r="T789" t="s">
        <v>31</v>
      </c>
    </row>
    <row r="790" spans="1:20" hidden="1" x14ac:dyDescent="0.3">
      <c r="A790" t="s">
        <v>1011</v>
      </c>
      <c r="B790" t="s">
        <v>51</v>
      </c>
      <c r="C790" t="s">
        <v>37</v>
      </c>
      <c r="D790" t="s">
        <v>121</v>
      </c>
      <c r="E790">
        <v>2008</v>
      </c>
      <c r="F790" t="s">
        <v>31</v>
      </c>
      <c r="G790" t="s">
        <v>31</v>
      </c>
      <c r="H790" t="s">
        <v>2719</v>
      </c>
      <c r="I790" t="s">
        <v>90</v>
      </c>
      <c r="J790" t="s">
        <v>3713</v>
      </c>
      <c r="K790" t="s">
        <v>3714</v>
      </c>
      <c r="L790" t="s">
        <v>473</v>
      </c>
      <c r="M790" t="s">
        <v>33</v>
      </c>
      <c r="N790" t="s">
        <v>27</v>
      </c>
      <c r="O790" t="s">
        <v>33</v>
      </c>
      <c r="P790" t="s">
        <v>31</v>
      </c>
      <c r="Q790" t="s">
        <v>31</v>
      </c>
      <c r="R790" t="s">
        <v>31</v>
      </c>
      <c r="S790" t="s">
        <v>31</v>
      </c>
      <c r="T790" t="s">
        <v>31</v>
      </c>
    </row>
    <row r="791" spans="1:20" hidden="1" x14ac:dyDescent="0.3">
      <c r="A791" t="s">
        <v>1012</v>
      </c>
      <c r="B791" t="s">
        <v>28</v>
      </c>
      <c r="C791" t="s">
        <v>29</v>
      </c>
      <c r="D791" t="s">
        <v>30</v>
      </c>
      <c r="E791">
        <v>2008</v>
      </c>
      <c r="F791" t="s">
        <v>31</v>
      </c>
      <c r="G791" t="s">
        <v>3676</v>
      </c>
      <c r="H791" t="s">
        <v>2719</v>
      </c>
      <c r="I791" t="s">
        <v>90</v>
      </c>
      <c r="J791" t="s">
        <v>3715</v>
      </c>
      <c r="K791" t="s">
        <v>31</v>
      </c>
      <c r="L791" t="s">
        <v>82</v>
      </c>
      <c r="M791" t="s">
        <v>27</v>
      </c>
      <c r="N791" t="s">
        <v>27</v>
      </c>
      <c r="O791" t="s">
        <v>27</v>
      </c>
      <c r="P791" t="s">
        <v>31</v>
      </c>
      <c r="Q791" t="s">
        <v>31</v>
      </c>
      <c r="R791" t="s">
        <v>31</v>
      </c>
      <c r="S791" t="s">
        <v>31</v>
      </c>
      <c r="T791" t="s">
        <v>31</v>
      </c>
    </row>
    <row r="792" spans="1:20" hidden="1" x14ac:dyDescent="0.3">
      <c r="A792" t="s">
        <v>1013</v>
      </c>
      <c r="B792" t="s">
        <v>28</v>
      </c>
      <c r="C792" t="s">
        <v>29</v>
      </c>
      <c r="D792" t="s">
        <v>30</v>
      </c>
      <c r="E792">
        <v>2008</v>
      </c>
      <c r="F792" t="s">
        <v>31</v>
      </c>
      <c r="G792" t="s">
        <v>3679</v>
      </c>
      <c r="H792" t="s">
        <v>2888</v>
      </c>
      <c r="I792" t="s">
        <v>75</v>
      </c>
      <c r="J792" t="s">
        <v>3219</v>
      </c>
      <c r="K792" t="s">
        <v>31</v>
      </c>
      <c r="L792" t="s">
        <v>82</v>
      </c>
      <c r="M792" t="s">
        <v>27</v>
      </c>
      <c r="N792" t="s">
        <v>27</v>
      </c>
      <c r="O792" t="s">
        <v>27</v>
      </c>
      <c r="P792" t="s">
        <v>31</v>
      </c>
      <c r="Q792" t="s">
        <v>31</v>
      </c>
      <c r="R792" t="s">
        <v>31</v>
      </c>
      <c r="S792" t="s">
        <v>31</v>
      </c>
      <c r="T792" t="s">
        <v>31</v>
      </c>
    </row>
    <row r="793" spans="1:20" hidden="1" x14ac:dyDescent="0.3">
      <c r="A793" t="s">
        <v>1014</v>
      </c>
      <c r="B793" t="s">
        <v>28</v>
      </c>
      <c r="C793" t="s">
        <v>29</v>
      </c>
      <c r="D793" t="s">
        <v>30</v>
      </c>
      <c r="E793">
        <v>2008</v>
      </c>
      <c r="F793">
        <v>180000</v>
      </c>
      <c r="G793" t="s">
        <v>3679</v>
      </c>
      <c r="H793" t="s">
        <v>2645</v>
      </c>
      <c r="I793" t="s">
        <v>34</v>
      </c>
      <c r="J793" t="s">
        <v>3716</v>
      </c>
      <c r="K793" t="s">
        <v>31</v>
      </c>
      <c r="L793" t="s">
        <v>37</v>
      </c>
      <c r="M793" t="s">
        <v>27</v>
      </c>
      <c r="N793" t="s">
        <v>27</v>
      </c>
      <c r="O793" t="s">
        <v>33</v>
      </c>
      <c r="P793" t="s">
        <v>31</v>
      </c>
      <c r="Q793">
        <v>100</v>
      </c>
      <c r="R793" t="s">
        <v>31</v>
      </c>
      <c r="S793" t="s">
        <v>31</v>
      </c>
      <c r="T793" t="s">
        <v>31</v>
      </c>
    </row>
    <row r="794" spans="1:20" hidden="1" x14ac:dyDescent="0.3">
      <c r="A794" t="s">
        <v>1015</v>
      </c>
      <c r="B794" t="s">
        <v>28</v>
      </c>
      <c r="C794" t="s">
        <v>29</v>
      </c>
      <c r="D794" t="s">
        <v>30</v>
      </c>
      <c r="E794">
        <v>2008</v>
      </c>
      <c r="F794" t="s">
        <v>31</v>
      </c>
      <c r="G794" t="s">
        <v>3681</v>
      </c>
      <c r="H794" t="s">
        <v>2804</v>
      </c>
      <c r="I794" t="s">
        <v>102</v>
      </c>
      <c r="J794" t="s">
        <v>31</v>
      </c>
      <c r="K794" t="s">
        <v>31</v>
      </c>
      <c r="L794" t="s">
        <v>37</v>
      </c>
      <c r="M794" t="s">
        <v>27</v>
      </c>
      <c r="N794" t="s">
        <v>27</v>
      </c>
      <c r="O794" t="s">
        <v>27</v>
      </c>
      <c r="P794" t="s">
        <v>31</v>
      </c>
      <c r="Q794" t="s">
        <v>31</v>
      </c>
      <c r="R794" t="s">
        <v>31</v>
      </c>
      <c r="S794" t="s">
        <v>31</v>
      </c>
      <c r="T794" t="s">
        <v>31</v>
      </c>
    </row>
    <row r="795" spans="1:20" hidden="1" x14ac:dyDescent="0.3">
      <c r="A795" t="s">
        <v>1016</v>
      </c>
      <c r="B795" t="s">
        <v>28</v>
      </c>
      <c r="C795" t="s">
        <v>29</v>
      </c>
      <c r="D795" t="s">
        <v>30</v>
      </c>
      <c r="E795">
        <v>2008</v>
      </c>
      <c r="F795">
        <v>2072000</v>
      </c>
      <c r="G795" t="s">
        <v>3681</v>
      </c>
      <c r="H795" t="s">
        <v>2716</v>
      </c>
      <c r="I795" t="s">
        <v>242</v>
      </c>
      <c r="J795" t="s">
        <v>3717</v>
      </c>
      <c r="K795" t="s">
        <v>31</v>
      </c>
      <c r="L795" t="s">
        <v>37</v>
      </c>
      <c r="M795" t="s">
        <v>33</v>
      </c>
      <c r="N795" t="s">
        <v>27</v>
      </c>
      <c r="O795" t="s">
        <v>27</v>
      </c>
      <c r="P795" t="s">
        <v>31</v>
      </c>
      <c r="Q795">
        <v>240</v>
      </c>
      <c r="R795" t="s">
        <v>31</v>
      </c>
      <c r="S795" t="s">
        <v>31</v>
      </c>
      <c r="T795" t="s">
        <v>31</v>
      </c>
    </row>
    <row r="796" spans="1:20" hidden="1" x14ac:dyDescent="0.3">
      <c r="A796" t="s">
        <v>1017</v>
      </c>
      <c r="B796" t="s">
        <v>28</v>
      </c>
      <c r="C796" t="s">
        <v>29</v>
      </c>
      <c r="D796" t="s">
        <v>30</v>
      </c>
      <c r="E796">
        <v>2008</v>
      </c>
      <c r="F796">
        <v>66198</v>
      </c>
      <c r="G796" t="s">
        <v>3681</v>
      </c>
      <c r="H796" t="s">
        <v>2751</v>
      </c>
      <c r="I796" t="s">
        <v>234</v>
      </c>
      <c r="J796" t="s">
        <v>3718</v>
      </c>
      <c r="K796" t="s">
        <v>31</v>
      </c>
      <c r="L796" t="s">
        <v>85</v>
      </c>
      <c r="M796" t="s">
        <v>33</v>
      </c>
      <c r="N796" t="s">
        <v>27</v>
      </c>
      <c r="O796" t="s">
        <v>27</v>
      </c>
      <c r="P796" t="s">
        <v>31</v>
      </c>
      <c r="Q796" t="s">
        <v>31</v>
      </c>
      <c r="R796" t="s">
        <v>31</v>
      </c>
      <c r="S796" t="s">
        <v>31</v>
      </c>
      <c r="T796" t="s">
        <v>31</v>
      </c>
    </row>
    <row r="797" spans="1:20" hidden="1" x14ac:dyDescent="0.3">
      <c r="A797" t="s">
        <v>1018</v>
      </c>
      <c r="B797" t="s">
        <v>28</v>
      </c>
      <c r="C797" t="s">
        <v>29</v>
      </c>
      <c r="D797" t="s">
        <v>30</v>
      </c>
      <c r="E797">
        <v>2008</v>
      </c>
      <c r="F797" t="s">
        <v>31</v>
      </c>
      <c r="G797" t="s">
        <v>3686</v>
      </c>
      <c r="H797" t="s">
        <v>2749</v>
      </c>
      <c r="I797" t="s">
        <v>45</v>
      </c>
      <c r="J797" t="s">
        <v>3719</v>
      </c>
      <c r="K797" t="s">
        <v>31</v>
      </c>
      <c r="L797" t="s">
        <v>37</v>
      </c>
      <c r="M797" t="s">
        <v>27</v>
      </c>
      <c r="N797" t="s">
        <v>27</v>
      </c>
      <c r="O797" t="s">
        <v>27</v>
      </c>
      <c r="P797" t="s">
        <v>31</v>
      </c>
      <c r="Q797" t="s">
        <v>31</v>
      </c>
      <c r="R797">
        <v>18.46</v>
      </c>
      <c r="S797">
        <v>-71.69</v>
      </c>
      <c r="T797" t="s">
        <v>31</v>
      </c>
    </row>
    <row r="798" spans="1:20" hidden="1" x14ac:dyDescent="0.3">
      <c r="A798" t="s">
        <v>1019</v>
      </c>
      <c r="B798" t="s">
        <v>28</v>
      </c>
      <c r="C798" t="s">
        <v>29</v>
      </c>
      <c r="D798" t="s">
        <v>30</v>
      </c>
      <c r="E798">
        <v>2008</v>
      </c>
      <c r="F798" t="s">
        <v>31</v>
      </c>
      <c r="G798" t="s">
        <v>31</v>
      </c>
      <c r="H798" t="s">
        <v>2749</v>
      </c>
      <c r="I798" t="s">
        <v>45</v>
      </c>
      <c r="J798" t="s">
        <v>3720</v>
      </c>
      <c r="K798" t="s">
        <v>31</v>
      </c>
      <c r="L798" t="s">
        <v>37</v>
      </c>
      <c r="M798" t="s">
        <v>27</v>
      </c>
      <c r="N798" t="s">
        <v>27</v>
      </c>
      <c r="O798" t="s">
        <v>33</v>
      </c>
      <c r="P798">
        <v>128898</v>
      </c>
      <c r="Q798" t="s">
        <v>31</v>
      </c>
      <c r="R798" t="s">
        <v>31</v>
      </c>
      <c r="S798" t="s">
        <v>31</v>
      </c>
      <c r="T798" t="s">
        <v>31</v>
      </c>
    </row>
    <row r="799" spans="1:20" hidden="1" x14ac:dyDescent="0.3">
      <c r="A799" t="s">
        <v>1020</v>
      </c>
      <c r="B799" t="s">
        <v>28</v>
      </c>
      <c r="C799" t="s">
        <v>29</v>
      </c>
      <c r="D799" t="s">
        <v>30</v>
      </c>
      <c r="E799">
        <v>2008</v>
      </c>
      <c r="F799">
        <v>1500000</v>
      </c>
      <c r="G799" t="s">
        <v>3686</v>
      </c>
      <c r="H799" t="s">
        <v>2716</v>
      </c>
      <c r="I799" t="s">
        <v>242</v>
      </c>
      <c r="J799" t="s">
        <v>3721</v>
      </c>
      <c r="K799" t="s">
        <v>31</v>
      </c>
      <c r="L799" t="s">
        <v>85</v>
      </c>
      <c r="M799" t="s">
        <v>27</v>
      </c>
      <c r="N799" t="s">
        <v>27</v>
      </c>
      <c r="O799" t="s">
        <v>27</v>
      </c>
      <c r="P799" t="s">
        <v>31</v>
      </c>
      <c r="Q799" t="s">
        <v>31</v>
      </c>
      <c r="R799" t="s">
        <v>31</v>
      </c>
      <c r="S799" t="s">
        <v>31</v>
      </c>
      <c r="T799" t="s">
        <v>31</v>
      </c>
    </row>
    <row r="800" spans="1:20" hidden="1" x14ac:dyDescent="0.3">
      <c r="A800" t="s">
        <v>1021</v>
      </c>
      <c r="B800" t="s">
        <v>51</v>
      </c>
      <c r="C800" t="s">
        <v>37</v>
      </c>
      <c r="D800" t="s">
        <v>121</v>
      </c>
      <c r="E800">
        <v>2008</v>
      </c>
      <c r="F800">
        <v>9697</v>
      </c>
      <c r="G800" t="s">
        <v>3692</v>
      </c>
      <c r="H800" t="s">
        <v>2706</v>
      </c>
      <c r="I800" t="s">
        <v>32</v>
      </c>
      <c r="J800" t="s">
        <v>3722</v>
      </c>
      <c r="K800" t="s">
        <v>3723</v>
      </c>
      <c r="L800" t="s">
        <v>31</v>
      </c>
      <c r="M800" t="s">
        <v>33</v>
      </c>
      <c r="N800" t="s">
        <v>27</v>
      </c>
      <c r="O800" t="s">
        <v>33</v>
      </c>
      <c r="P800" t="s">
        <v>31</v>
      </c>
      <c r="Q800" t="s">
        <v>31</v>
      </c>
      <c r="R800">
        <v>15.86</v>
      </c>
      <c r="S800">
        <v>-89.28</v>
      </c>
      <c r="T800" t="s">
        <v>3724</v>
      </c>
    </row>
    <row r="801" spans="1:20" hidden="1" x14ac:dyDescent="0.3">
      <c r="A801" t="s">
        <v>1022</v>
      </c>
      <c r="B801" t="s">
        <v>91</v>
      </c>
      <c r="C801" t="s">
        <v>2927</v>
      </c>
      <c r="D801" t="s">
        <v>687</v>
      </c>
      <c r="E801">
        <v>2008</v>
      </c>
      <c r="F801" t="s">
        <v>31</v>
      </c>
      <c r="G801" t="s">
        <v>31</v>
      </c>
      <c r="H801" t="s">
        <v>2647</v>
      </c>
      <c r="I801" t="s">
        <v>47</v>
      </c>
      <c r="J801" t="s">
        <v>3712</v>
      </c>
      <c r="K801" t="s">
        <v>31</v>
      </c>
      <c r="L801" t="s">
        <v>31</v>
      </c>
      <c r="M801" t="s">
        <v>27</v>
      </c>
      <c r="N801" t="s">
        <v>27</v>
      </c>
      <c r="O801" t="s">
        <v>27</v>
      </c>
      <c r="P801" t="s">
        <v>31</v>
      </c>
      <c r="Q801" t="s">
        <v>31</v>
      </c>
      <c r="R801" t="s">
        <v>31</v>
      </c>
      <c r="S801" t="s">
        <v>31</v>
      </c>
      <c r="T801" t="s">
        <v>31</v>
      </c>
    </row>
    <row r="802" spans="1:20" x14ac:dyDescent="0.3">
      <c r="A802" t="s">
        <v>1023</v>
      </c>
      <c r="B802" t="s">
        <v>51</v>
      </c>
      <c r="C802" t="s">
        <v>37</v>
      </c>
      <c r="D802" t="s">
        <v>121</v>
      </c>
      <c r="E802">
        <v>2008</v>
      </c>
      <c r="F802">
        <v>750000</v>
      </c>
      <c r="G802" t="s">
        <v>3725</v>
      </c>
      <c r="H802" t="s">
        <v>2656</v>
      </c>
      <c r="I802" t="s">
        <v>119</v>
      </c>
      <c r="J802" t="s">
        <v>2601</v>
      </c>
      <c r="K802" t="s">
        <v>3054</v>
      </c>
      <c r="L802" t="s">
        <v>54</v>
      </c>
      <c r="M802" t="s">
        <v>27</v>
      </c>
      <c r="N802" t="s">
        <v>27</v>
      </c>
      <c r="O802" t="s">
        <v>33</v>
      </c>
      <c r="P802">
        <v>426</v>
      </c>
      <c r="Q802">
        <v>103400</v>
      </c>
      <c r="R802">
        <v>-25.1</v>
      </c>
      <c r="S802">
        <v>-49.34</v>
      </c>
      <c r="T802" t="s">
        <v>3726</v>
      </c>
    </row>
    <row r="803" spans="1:20" hidden="1" x14ac:dyDescent="0.3">
      <c r="A803" t="s">
        <v>1024</v>
      </c>
      <c r="B803" t="s">
        <v>51</v>
      </c>
      <c r="C803" t="s">
        <v>37</v>
      </c>
      <c r="D803" t="s">
        <v>121</v>
      </c>
      <c r="E803">
        <v>2008</v>
      </c>
      <c r="F803" t="s">
        <v>31</v>
      </c>
      <c r="G803" t="s">
        <v>31</v>
      </c>
      <c r="H803" t="s">
        <v>2647</v>
      </c>
      <c r="I803" t="s">
        <v>47</v>
      </c>
      <c r="J803" t="s">
        <v>3727</v>
      </c>
      <c r="K803" t="s">
        <v>2649</v>
      </c>
      <c r="L803" t="s">
        <v>31</v>
      </c>
      <c r="M803" t="s">
        <v>33</v>
      </c>
      <c r="N803" t="s">
        <v>27</v>
      </c>
      <c r="O803" t="s">
        <v>27</v>
      </c>
      <c r="P803">
        <v>3590</v>
      </c>
      <c r="Q803">
        <v>195400</v>
      </c>
      <c r="R803">
        <v>9</v>
      </c>
      <c r="S803">
        <v>-74.23</v>
      </c>
      <c r="T803" t="s">
        <v>3728</v>
      </c>
    </row>
    <row r="804" spans="1:20" hidden="1" x14ac:dyDescent="0.3">
      <c r="A804" t="s">
        <v>1025</v>
      </c>
      <c r="B804" t="s">
        <v>28</v>
      </c>
      <c r="C804" t="s">
        <v>29</v>
      </c>
      <c r="D804" t="s">
        <v>97</v>
      </c>
      <c r="E804">
        <v>2008</v>
      </c>
      <c r="F804">
        <v>1100000</v>
      </c>
      <c r="G804" t="s">
        <v>31</v>
      </c>
      <c r="H804" t="s">
        <v>2645</v>
      </c>
      <c r="I804" t="s">
        <v>34</v>
      </c>
      <c r="J804" t="s">
        <v>3729</v>
      </c>
      <c r="K804" t="s">
        <v>31</v>
      </c>
      <c r="L804" t="s">
        <v>31</v>
      </c>
      <c r="M804" t="s">
        <v>27</v>
      </c>
      <c r="N804" t="s">
        <v>27</v>
      </c>
      <c r="O804" t="s">
        <v>27</v>
      </c>
      <c r="P804" t="s">
        <v>31</v>
      </c>
      <c r="Q804" t="s">
        <v>31</v>
      </c>
      <c r="R804" t="s">
        <v>31</v>
      </c>
      <c r="S804" t="s">
        <v>31</v>
      </c>
      <c r="T804" t="s">
        <v>31</v>
      </c>
    </row>
    <row r="805" spans="1:20" hidden="1" x14ac:dyDescent="0.3">
      <c r="A805" t="s">
        <v>1026</v>
      </c>
      <c r="B805" t="s">
        <v>28</v>
      </c>
      <c r="C805" t="s">
        <v>29</v>
      </c>
      <c r="D805" t="s">
        <v>97</v>
      </c>
      <c r="E805">
        <v>2008</v>
      </c>
      <c r="F805">
        <v>600000</v>
      </c>
      <c r="G805" t="s">
        <v>31</v>
      </c>
      <c r="H805" t="s">
        <v>2645</v>
      </c>
      <c r="I805" t="s">
        <v>34</v>
      </c>
      <c r="J805" t="s">
        <v>3730</v>
      </c>
      <c r="K805" t="s">
        <v>31</v>
      </c>
      <c r="L805" t="s">
        <v>31</v>
      </c>
      <c r="M805" t="s">
        <v>27</v>
      </c>
      <c r="N805" t="s">
        <v>27</v>
      </c>
      <c r="O805" t="s">
        <v>27</v>
      </c>
      <c r="P805" t="s">
        <v>31</v>
      </c>
      <c r="Q805" t="s">
        <v>31</v>
      </c>
      <c r="R805" t="s">
        <v>31</v>
      </c>
      <c r="S805" t="s">
        <v>31</v>
      </c>
      <c r="T805" t="s">
        <v>31</v>
      </c>
    </row>
    <row r="806" spans="1:20" hidden="1" x14ac:dyDescent="0.3">
      <c r="A806" t="s">
        <v>1027</v>
      </c>
      <c r="B806" t="s">
        <v>28</v>
      </c>
      <c r="C806" t="s">
        <v>29</v>
      </c>
      <c r="D806" t="s">
        <v>1028</v>
      </c>
      <c r="E806">
        <v>2008</v>
      </c>
      <c r="F806">
        <v>1000000</v>
      </c>
      <c r="G806" t="s">
        <v>31</v>
      </c>
      <c r="H806" t="s">
        <v>2645</v>
      </c>
      <c r="I806" t="s">
        <v>34</v>
      </c>
      <c r="J806" t="s">
        <v>3731</v>
      </c>
      <c r="K806" t="s">
        <v>31</v>
      </c>
      <c r="L806" t="s">
        <v>31</v>
      </c>
      <c r="M806" t="s">
        <v>27</v>
      </c>
      <c r="N806" t="s">
        <v>27</v>
      </c>
      <c r="O806" t="s">
        <v>27</v>
      </c>
      <c r="P806" t="s">
        <v>31</v>
      </c>
      <c r="Q806">
        <v>175</v>
      </c>
      <c r="R806" t="s">
        <v>31</v>
      </c>
      <c r="S806" t="s">
        <v>31</v>
      </c>
      <c r="T806" t="s">
        <v>31</v>
      </c>
    </row>
    <row r="807" spans="1:20" hidden="1" x14ac:dyDescent="0.3">
      <c r="A807" t="s">
        <v>1029</v>
      </c>
      <c r="B807" t="s">
        <v>43</v>
      </c>
      <c r="C807" t="s">
        <v>2665</v>
      </c>
      <c r="D807" t="s">
        <v>114</v>
      </c>
      <c r="E807">
        <v>2008</v>
      </c>
      <c r="F807" t="s">
        <v>31</v>
      </c>
      <c r="G807" t="s">
        <v>3732</v>
      </c>
      <c r="H807" t="s">
        <v>2669</v>
      </c>
      <c r="I807" t="s">
        <v>111</v>
      </c>
      <c r="J807" t="s">
        <v>3733</v>
      </c>
      <c r="K807" t="s">
        <v>31</v>
      </c>
      <c r="L807" t="s">
        <v>31</v>
      </c>
      <c r="M807" t="s">
        <v>27</v>
      </c>
      <c r="N807" t="s">
        <v>27</v>
      </c>
      <c r="O807" t="s">
        <v>33</v>
      </c>
      <c r="P807">
        <v>419</v>
      </c>
      <c r="Q807" t="s">
        <v>31</v>
      </c>
      <c r="R807" t="s">
        <v>31</v>
      </c>
      <c r="S807" t="s">
        <v>31</v>
      </c>
      <c r="T807" t="s">
        <v>31</v>
      </c>
    </row>
    <row r="808" spans="1:20" hidden="1" x14ac:dyDescent="0.3">
      <c r="A808" t="s">
        <v>1597</v>
      </c>
      <c r="B808" t="s">
        <v>43</v>
      </c>
      <c r="C808" t="s">
        <v>2665</v>
      </c>
      <c r="D808" t="s">
        <v>114</v>
      </c>
      <c r="E808">
        <v>2008</v>
      </c>
      <c r="F808" t="s">
        <v>31</v>
      </c>
      <c r="G808" t="s">
        <v>31</v>
      </c>
      <c r="H808" t="s">
        <v>2669</v>
      </c>
      <c r="I808" t="s">
        <v>111</v>
      </c>
      <c r="J808" t="s">
        <v>3734</v>
      </c>
      <c r="K808" t="s">
        <v>31</v>
      </c>
      <c r="L808" t="s">
        <v>31</v>
      </c>
      <c r="M808" t="s">
        <v>27</v>
      </c>
      <c r="N808" t="s">
        <v>27</v>
      </c>
      <c r="O808" t="s">
        <v>27</v>
      </c>
      <c r="P808" t="s">
        <v>31</v>
      </c>
      <c r="Q808" t="s">
        <v>31</v>
      </c>
      <c r="R808" t="s">
        <v>31</v>
      </c>
      <c r="S808" t="s">
        <v>31</v>
      </c>
      <c r="T808" t="s">
        <v>31</v>
      </c>
    </row>
    <row r="809" spans="1:20" hidden="1" x14ac:dyDescent="0.3">
      <c r="A809" t="s">
        <v>1598</v>
      </c>
      <c r="B809" t="s">
        <v>51</v>
      </c>
      <c r="C809" t="s">
        <v>37</v>
      </c>
      <c r="D809" t="s">
        <v>121</v>
      </c>
      <c r="E809">
        <v>2008</v>
      </c>
      <c r="F809" t="s">
        <v>31</v>
      </c>
      <c r="G809" t="s">
        <v>3735</v>
      </c>
      <c r="H809" t="s">
        <v>2678</v>
      </c>
      <c r="I809" t="s">
        <v>53</v>
      </c>
      <c r="J809" t="s">
        <v>3736</v>
      </c>
      <c r="K809" t="s">
        <v>3737</v>
      </c>
      <c r="L809" t="s">
        <v>54</v>
      </c>
      <c r="M809" t="s">
        <v>27</v>
      </c>
      <c r="N809" t="s">
        <v>27</v>
      </c>
      <c r="O809" t="s">
        <v>27</v>
      </c>
      <c r="P809" t="s">
        <v>31</v>
      </c>
      <c r="Q809">
        <v>456900</v>
      </c>
      <c r="R809">
        <v>-10.11</v>
      </c>
      <c r="S809">
        <v>-73.010000000000005</v>
      </c>
      <c r="T809" t="s">
        <v>3738</v>
      </c>
    </row>
    <row r="810" spans="1:20" hidden="1" x14ac:dyDescent="0.3">
      <c r="A810" t="s">
        <v>1599</v>
      </c>
      <c r="B810" t="s">
        <v>28</v>
      </c>
      <c r="C810" t="s">
        <v>29</v>
      </c>
      <c r="D810" t="s">
        <v>97</v>
      </c>
      <c r="E810">
        <v>2008</v>
      </c>
      <c r="F810">
        <v>1600000</v>
      </c>
      <c r="G810" t="s">
        <v>3739</v>
      </c>
      <c r="H810" t="s">
        <v>2645</v>
      </c>
      <c r="I810" t="s">
        <v>34</v>
      </c>
      <c r="J810" t="s">
        <v>3740</v>
      </c>
      <c r="K810" t="s">
        <v>31</v>
      </c>
      <c r="L810" t="s">
        <v>209</v>
      </c>
      <c r="M810" t="s">
        <v>27</v>
      </c>
      <c r="N810" t="s">
        <v>27</v>
      </c>
      <c r="O810" t="s">
        <v>33</v>
      </c>
      <c r="P810" t="s">
        <v>31</v>
      </c>
      <c r="Q810" t="s">
        <v>31</v>
      </c>
      <c r="R810">
        <v>39.82</v>
      </c>
      <c r="S810">
        <v>-92.33</v>
      </c>
      <c r="T810" t="s">
        <v>31</v>
      </c>
    </row>
    <row r="811" spans="1:20" hidden="1" x14ac:dyDescent="0.3">
      <c r="A811" t="s">
        <v>1600</v>
      </c>
      <c r="B811" t="s">
        <v>51</v>
      </c>
      <c r="C811" t="s">
        <v>37</v>
      </c>
      <c r="D811" t="s">
        <v>121</v>
      </c>
      <c r="E811">
        <v>2008</v>
      </c>
      <c r="F811" t="s">
        <v>31</v>
      </c>
      <c r="G811" t="s">
        <v>3741</v>
      </c>
      <c r="H811" t="s">
        <v>2701</v>
      </c>
      <c r="I811" t="s">
        <v>60</v>
      </c>
      <c r="J811" t="s">
        <v>3742</v>
      </c>
      <c r="K811" t="s">
        <v>2649</v>
      </c>
      <c r="L811" t="s">
        <v>473</v>
      </c>
      <c r="M811" t="s">
        <v>27</v>
      </c>
      <c r="N811" t="s">
        <v>27</v>
      </c>
      <c r="O811" t="s">
        <v>27</v>
      </c>
      <c r="P811" t="s">
        <v>31</v>
      </c>
      <c r="Q811">
        <v>110500</v>
      </c>
      <c r="R811">
        <v>-35.86</v>
      </c>
      <c r="S811">
        <v>-71.95</v>
      </c>
      <c r="T811" t="s">
        <v>31</v>
      </c>
    </row>
    <row r="812" spans="1:20" hidden="1" x14ac:dyDescent="0.3">
      <c r="A812" t="s">
        <v>1601</v>
      </c>
      <c r="B812" t="s">
        <v>39</v>
      </c>
      <c r="C812" t="s">
        <v>40</v>
      </c>
      <c r="D812" t="s">
        <v>41</v>
      </c>
      <c r="E812">
        <v>2008</v>
      </c>
      <c r="F812">
        <v>102000</v>
      </c>
      <c r="G812" t="s">
        <v>31</v>
      </c>
      <c r="H812" t="s">
        <v>2645</v>
      </c>
      <c r="I812" t="s">
        <v>34</v>
      </c>
      <c r="J812" t="s">
        <v>3454</v>
      </c>
      <c r="K812" t="s">
        <v>3743</v>
      </c>
      <c r="L812" t="s">
        <v>31</v>
      </c>
      <c r="M812" t="s">
        <v>27</v>
      </c>
      <c r="N812" t="s">
        <v>27</v>
      </c>
      <c r="O812" t="s">
        <v>33</v>
      </c>
      <c r="P812" t="s">
        <v>31</v>
      </c>
      <c r="Q812">
        <v>3500</v>
      </c>
      <c r="R812" t="s">
        <v>31</v>
      </c>
      <c r="S812" t="s">
        <v>31</v>
      </c>
      <c r="T812" t="s">
        <v>31</v>
      </c>
    </row>
    <row r="813" spans="1:20" hidden="1" x14ac:dyDescent="0.3">
      <c r="A813" t="s">
        <v>1602</v>
      </c>
      <c r="B813" t="s">
        <v>51</v>
      </c>
      <c r="C813" t="s">
        <v>37</v>
      </c>
      <c r="D813" t="s">
        <v>121</v>
      </c>
      <c r="E813">
        <v>2008</v>
      </c>
      <c r="F813" t="s">
        <v>31</v>
      </c>
      <c r="G813" t="s">
        <v>31</v>
      </c>
      <c r="H813" t="s">
        <v>2739</v>
      </c>
      <c r="I813" t="s">
        <v>77</v>
      </c>
      <c r="J813" t="s">
        <v>3744</v>
      </c>
      <c r="K813" t="s">
        <v>31</v>
      </c>
      <c r="L813" t="s">
        <v>355</v>
      </c>
      <c r="M813" t="s">
        <v>27</v>
      </c>
      <c r="N813" t="s">
        <v>27</v>
      </c>
      <c r="O813" t="s">
        <v>27</v>
      </c>
      <c r="P813" t="s">
        <v>31</v>
      </c>
      <c r="Q813">
        <v>3180</v>
      </c>
      <c r="R813">
        <v>52.15</v>
      </c>
      <c r="S813">
        <v>-81.96</v>
      </c>
      <c r="T813" t="s">
        <v>3745</v>
      </c>
    </row>
    <row r="814" spans="1:20" hidden="1" x14ac:dyDescent="0.3">
      <c r="A814" t="s">
        <v>1603</v>
      </c>
      <c r="B814" t="s">
        <v>51</v>
      </c>
      <c r="C814" t="s">
        <v>37</v>
      </c>
      <c r="D814" t="s">
        <v>56</v>
      </c>
      <c r="E814">
        <v>2008</v>
      </c>
      <c r="F814" t="s">
        <v>31</v>
      </c>
      <c r="G814" t="s">
        <v>3746</v>
      </c>
      <c r="H814" t="s">
        <v>2672</v>
      </c>
      <c r="I814" t="s">
        <v>73</v>
      </c>
      <c r="J814" t="s">
        <v>3747</v>
      </c>
      <c r="K814" t="s">
        <v>2649</v>
      </c>
      <c r="L814" t="s">
        <v>31</v>
      </c>
      <c r="M814" t="s">
        <v>27</v>
      </c>
      <c r="N814" t="s">
        <v>27</v>
      </c>
      <c r="O814" t="s">
        <v>27</v>
      </c>
      <c r="P814" t="s">
        <v>31</v>
      </c>
      <c r="Q814">
        <v>193700</v>
      </c>
      <c r="R814" t="s">
        <v>31</v>
      </c>
      <c r="S814" t="s">
        <v>31</v>
      </c>
      <c r="T814" t="s">
        <v>31</v>
      </c>
    </row>
    <row r="815" spans="1:20" hidden="1" x14ac:dyDescent="0.3">
      <c r="A815" t="s">
        <v>1604</v>
      </c>
      <c r="B815" t="s">
        <v>28</v>
      </c>
      <c r="C815" t="s">
        <v>29</v>
      </c>
      <c r="D815" t="s">
        <v>30</v>
      </c>
      <c r="E815">
        <v>2008</v>
      </c>
      <c r="F815" t="s">
        <v>31</v>
      </c>
      <c r="G815" t="s">
        <v>3681</v>
      </c>
      <c r="H815" t="s">
        <v>3220</v>
      </c>
      <c r="I815" t="s">
        <v>674</v>
      </c>
      <c r="J815" t="s">
        <v>3748</v>
      </c>
      <c r="K815" t="s">
        <v>31</v>
      </c>
      <c r="L815" t="s">
        <v>37</v>
      </c>
      <c r="M815" t="s">
        <v>27</v>
      </c>
      <c r="N815" t="s">
        <v>27</v>
      </c>
      <c r="O815" t="s">
        <v>27</v>
      </c>
      <c r="P815" t="s">
        <v>31</v>
      </c>
      <c r="Q815" t="s">
        <v>31</v>
      </c>
      <c r="R815" t="s">
        <v>31</v>
      </c>
      <c r="S815" t="s">
        <v>31</v>
      </c>
      <c r="T815" t="s">
        <v>31</v>
      </c>
    </row>
    <row r="816" spans="1:20" hidden="1" x14ac:dyDescent="0.3">
      <c r="A816" t="s">
        <v>1605</v>
      </c>
      <c r="B816" t="s">
        <v>28</v>
      </c>
      <c r="C816" t="s">
        <v>29</v>
      </c>
      <c r="D816" t="s">
        <v>30</v>
      </c>
      <c r="E816">
        <v>2008</v>
      </c>
      <c r="F816">
        <v>7000000</v>
      </c>
      <c r="G816" t="s">
        <v>3681</v>
      </c>
      <c r="H816" t="s">
        <v>2645</v>
      </c>
      <c r="I816" t="s">
        <v>34</v>
      </c>
      <c r="J816" t="s">
        <v>3749</v>
      </c>
      <c r="K816" t="s">
        <v>31</v>
      </c>
      <c r="L816" t="s">
        <v>31</v>
      </c>
      <c r="M816" t="s">
        <v>27</v>
      </c>
      <c r="N816" t="s">
        <v>27</v>
      </c>
      <c r="O816" t="s">
        <v>27</v>
      </c>
      <c r="P816" t="s">
        <v>31</v>
      </c>
      <c r="Q816" t="s">
        <v>31</v>
      </c>
      <c r="R816" t="s">
        <v>31</v>
      </c>
      <c r="S816" t="s">
        <v>31</v>
      </c>
      <c r="T816" t="s">
        <v>31</v>
      </c>
    </row>
    <row r="817" spans="1:20" hidden="1" x14ac:dyDescent="0.3">
      <c r="A817" t="s">
        <v>1606</v>
      </c>
      <c r="B817" t="s">
        <v>28</v>
      </c>
      <c r="C817" t="s">
        <v>29</v>
      </c>
      <c r="D817" t="s">
        <v>30</v>
      </c>
      <c r="E817">
        <v>2008</v>
      </c>
      <c r="F817">
        <v>500000</v>
      </c>
      <c r="G817" t="s">
        <v>3686</v>
      </c>
      <c r="H817" t="s">
        <v>3220</v>
      </c>
      <c r="I817" t="s">
        <v>674</v>
      </c>
      <c r="J817" t="s">
        <v>3750</v>
      </c>
      <c r="K817" t="s">
        <v>31</v>
      </c>
      <c r="L817" t="s">
        <v>31</v>
      </c>
      <c r="M817" t="s">
        <v>27</v>
      </c>
      <c r="N817" t="s">
        <v>27</v>
      </c>
      <c r="O817" t="s">
        <v>27</v>
      </c>
      <c r="P817" t="s">
        <v>31</v>
      </c>
      <c r="Q817" t="s">
        <v>31</v>
      </c>
      <c r="R817" t="s">
        <v>31</v>
      </c>
      <c r="S817" t="s">
        <v>31</v>
      </c>
      <c r="T817" t="s">
        <v>31</v>
      </c>
    </row>
    <row r="818" spans="1:20" hidden="1" x14ac:dyDescent="0.3">
      <c r="A818" t="s">
        <v>1607</v>
      </c>
      <c r="B818" t="s">
        <v>28</v>
      </c>
      <c r="C818" t="s">
        <v>29</v>
      </c>
      <c r="D818" t="s">
        <v>97</v>
      </c>
      <c r="E818">
        <v>2008</v>
      </c>
      <c r="F818">
        <v>110000</v>
      </c>
      <c r="G818" t="s">
        <v>31</v>
      </c>
      <c r="H818" t="s">
        <v>2645</v>
      </c>
      <c r="I818" t="s">
        <v>34</v>
      </c>
      <c r="J818" t="s">
        <v>3751</v>
      </c>
      <c r="K818" t="s">
        <v>31</v>
      </c>
      <c r="L818" t="s">
        <v>31</v>
      </c>
      <c r="M818" t="s">
        <v>27</v>
      </c>
      <c r="N818" t="s">
        <v>27</v>
      </c>
      <c r="O818" t="s">
        <v>27</v>
      </c>
      <c r="P818" t="s">
        <v>31</v>
      </c>
      <c r="Q818">
        <v>240</v>
      </c>
      <c r="R818" t="s">
        <v>31</v>
      </c>
      <c r="S818" t="s">
        <v>31</v>
      </c>
      <c r="T818" t="s">
        <v>31</v>
      </c>
    </row>
    <row r="819" spans="1:20" hidden="1" x14ac:dyDescent="0.3">
      <c r="A819" t="s">
        <v>1608</v>
      </c>
      <c r="B819" t="s">
        <v>51</v>
      </c>
      <c r="C819" t="s">
        <v>37</v>
      </c>
      <c r="D819" t="s">
        <v>121</v>
      </c>
      <c r="E819">
        <v>2008</v>
      </c>
      <c r="F819" t="s">
        <v>31</v>
      </c>
      <c r="G819" t="s">
        <v>3752</v>
      </c>
      <c r="H819" t="s">
        <v>2675</v>
      </c>
      <c r="I819" t="s">
        <v>81</v>
      </c>
      <c r="J819" t="s">
        <v>3753</v>
      </c>
      <c r="K819" t="s">
        <v>2649</v>
      </c>
      <c r="L819" t="s">
        <v>54</v>
      </c>
      <c r="M819" t="s">
        <v>27</v>
      </c>
      <c r="N819" t="s">
        <v>27</v>
      </c>
      <c r="O819" t="s">
        <v>27</v>
      </c>
      <c r="P819" t="s">
        <v>31</v>
      </c>
      <c r="Q819">
        <v>34760</v>
      </c>
      <c r="R819">
        <v>12</v>
      </c>
      <c r="S819">
        <v>-86.37</v>
      </c>
      <c r="T819" t="s">
        <v>31</v>
      </c>
    </row>
    <row r="820" spans="1:20" hidden="1" x14ac:dyDescent="0.3">
      <c r="A820" t="s">
        <v>1609</v>
      </c>
      <c r="B820" t="s">
        <v>51</v>
      </c>
      <c r="C820" t="s">
        <v>37</v>
      </c>
      <c r="D820" t="s">
        <v>121</v>
      </c>
      <c r="E820">
        <v>2008</v>
      </c>
      <c r="F820" t="s">
        <v>31</v>
      </c>
      <c r="G820" t="s">
        <v>3692</v>
      </c>
      <c r="H820" t="s">
        <v>2695</v>
      </c>
      <c r="I820" t="s">
        <v>161</v>
      </c>
      <c r="J820" t="s">
        <v>3754</v>
      </c>
      <c r="K820" t="s">
        <v>3696</v>
      </c>
      <c r="L820" t="s">
        <v>54</v>
      </c>
      <c r="M820" t="s">
        <v>27</v>
      </c>
      <c r="N820" t="s">
        <v>27</v>
      </c>
      <c r="O820" t="s">
        <v>33</v>
      </c>
      <c r="P820" t="s">
        <v>31</v>
      </c>
      <c r="Q820" t="s">
        <v>31</v>
      </c>
      <c r="R820" t="s">
        <v>31</v>
      </c>
      <c r="S820" t="s">
        <v>31</v>
      </c>
      <c r="T820" t="s">
        <v>31</v>
      </c>
    </row>
    <row r="821" spans="1:20" hidden="1" x14ac:dyDescent="0.3">
      <c r="A821" t="s">
        <v>1611</v>
      </c>
      <c r="B821" t="s">
        <v>28</v>
      </c>
      <c r="C821" t="s">
        <v>29</v>
      </c>
      <c r="D821" t="s">
        <v>65</v>
      </c>
      <c r="E821">
        <v>2008</v>
      </c>
      <c r="F821" t="s">
        <v>31</v>
      </c>
      <c r="G821" t="s">
        <v>3755</v>
      </c>
      <c r="H821" t="s">
        <v>2769</v>
      </c>
      <c r="I821" t="s">
        <v>117</v>
      </c>
      <c r="J821" t="s">
        <v>3756</v>
      </c>
      <c r="K821" t="s">
        <v>31</v>
      </c>
      <c r="L821" t="s">
        <v>65</v>
      </c>
      <c r="M821" t="s">
        <v>27</v>
      </c>
      <c r="N821" t="s">
        <v>27</v>
      </c>
      <c r="O821" t="s">
        <v>33</v>
      </c>
      <c r="P821" t="s">
        <v>31</v>
      </c>
      <c r="Q821">
        <v>80</v>
      </c>
      <c r="R821" t="s">
        <v>31</v>
      </c>
      <c r="S821" t="s">
        <v>31</v>
      </c>
      <c r="T821" t="s">
        <v>31</v>
      </c>
    </row>
    <row r="822" spans="1:20" hidden="1" x14ac:dyDescent="0.3">
      <c r="A822" t="s">
        <v>1612</v>
      </c>
      <c r="B822" t="s">
        <v>28</v>
      </c>
      <c r="C822" t="s">
        <v>29</v>
      </c>
      <c r="D822" t="s">
        <v>30</v>
      </c>
      <c r="E822">
        <v>2008</v>
      </c>
      <c r="F822" t="s">
        <v>31</v>
      </c>
      <c r="G822" t="s">
        <v>3757</v>
      </c>
      <c r="H822" t="s">
        <v>2716</v>
      </c>
      <c r="I822" t="s">
        <v>242</v>
      </c>
      <c r="J822" t="s">
        <v>3758</v>
      </c>
      <c r="K822" t="s">
        <v>31</v>
      </c>
      <c r="L822" t="s">
        <v>87</v>
      </c>
      <c r="M822" t="s">
        <v>27</v>
      </c>
      <c r="N822" t="s">
        <v>27</v>
      </c>
      <c r="O822" t="s">
        <v>27</v>
      </c>
      <c r="P822" t="s">
        <v>31</v>
      </c>
      <c r="Q822">
        <v>230</v>
      </c>
      <c r="R822" t="s">
        <v>31</v>
      </c>
      <c r="S822" t="s">
        <v>31</v>
      </c>
      <c r="T822" t="s">
        <v>31</v>
      </c>
    </row>
    <row r="823" spans="1:20" hidden="1" x14ac:dyDescent="0.3">
      <c r="A823" t="s">
        <v>1613</v>
      </c>
      <c r="B823" t="s">
        <v>51</v>
      </c>
      <c r="C823" t="s">
        <v>37</v>
      </c>
      <c r="D823" t="s">
        <v>121</v>
      </c>
      <c r="E823">
        <v>2008</v>
      </c>
      <c r="F823">
        <v>22000</v>
      </c>
      <c r="G823" t="s">
        <v>3759</v>
      </c>
      <c r="H823" t="s">
        <v>2695</v>
      </c>
      <c r="I823" t="s">
        <v>161</v>
      </c>
      <c r="J823" t="s">
        <v>3760</v>
      </c>
      <c r="K823" t="s">
        <v>3761</v>
      </c>
      <c r="L823" t="s">
        <v>54</v>
      </c>
      <c r="M823" t="s">
        <v>33</v>
      </c>
      <c r="N823" t="s">
        <v>27</v>
      </c>
      <c r="O823" t="s">
        <v>33</v>
      </c>
      <c r="P823">
        <v>261</v>
      </c>
      <c r="Q823" t="s">
        <v>31</v>
      </c>
      <c r="R823">
        <v>8.57</v>
      </c>
      <c r="S823">
        <v>80.8</v>
      </c>
      <c r="T823" t="s">
        <v>31</v>
      </c>
    </row>
    <row r="824" spans="1:20" hidden="1" x14ac:dyDescent="0.3">
      <c r="A824" t="s">
        <v>1614</v>
      </c>
      <c r="B824" t="s">
        <v>39</v>
      </c>
      <c r="C824" t="s">
        <v>157</v>
      </c>
      <c r="D824" t="s">
        <v>157</v>
      </c>
      <c r="E824">
        <v>2008</v>
      </c>
      <c r="F824" t="s">
        <v>31</v>
      </c>
      <c r="G824" t="s">
        <v>3762</v>
      </c>
      <c r="H824" t="s">
        <v>2769</v>
      </c>
      <c r="I824" t="s">
        <v>117</v>
      </c>
      <c r="J824" t="s">
        <v>3763</v>
      </c>
      <c r="K824" t="s">
        <v>3764</v>
      </c>
      <c r="L824" t="s">
        <v>31</v>
      </c>
      <c r="M824" t="s">
        <v>33</v>
      </c>
      <c r="N824" t="s">
        <v>27</v>
      </c>
      <c r="O824" t="s">
        <v>33</v>
      </c>
      <c r="P824" t="s">
        <v>31</v>
      </c>
      <c r="Q824" t="s">
        <v>31</v>
      </c>
      <c r="R824" t="s">
        <v>31</v>
      </c>
      <c r="S824" t="s">
        <v>31</v>
      </c>
      <c r="T824" t="s">
        <v>31</v>
      </c>
    </row>
    <row r="825" spans="1:20" hidden="1" x14ac:dyDescent="0.3">
      <c r="A825" t="s">
        <v>2298</v>
      </c>
      <c r="B825" t="s">
        <v>51</v>
      </c>
      <c r="C825" t="s">
        <v>37</v>
      </c>
      <c r="D825" t="s">
        <v>121</v>
      </c>
      <c r="E825">
        <v>2008</v>
      </c>
      <c r="F825" t="s">
        <v>31</v>
      </c>
      <c r="G825" t="s">
        <v>31</v>
      </c>
      <c r="H825" t="s">
        <v>2645</v>
      </c>
      <c r="I825" t="s">
        <v>34</v>
      </c>
      <c r="J825" t="s">
        <v>3765</v>
      </c>
      <c r="K825" t="s">
        <v>2649</v>
      </c>
      <c r="L825" t="s">
        <v>2299</v>
      </c>
      <c r="M825" t="s">
        <v>27</v>
      </c>
      <c r="N825" t="s">
        <v>27</v>
      </c>
      <c r="O825" t="s">
        <v>27</v>
      </c>
      <c r="P825" t="s">
        <v>31</v>
      </c>
      <c r="Q825">
        <v>550</v>
      </c>
      <c r="R825">
        <v>39.630000000000003</v>
      </c>
      <c r="S825">
        <v>-119.2</v>
      </c>
      <c r="T825" t="s">
        <v>3766</v>
      </c>
    </row>
    <row r="826" spans="1:20" hidden="1" x14ac:dyDescent="0.3">
      <c r="A826" t="s">
        <v>2300</v>
      </c>
      <c r="B826" t="s">
        <v>51</v>
      </c>
      <c r="C826" t="s">
        <v>37</v>
      </c>
      <c r="D826" t="s">
        <v>121</v>
      </c>
      <c r="E826">
        <v>2008</v>
      </c>
      <c r="F826" t="s">
        <v>31</v>
      </c>
      <c r="G826" t="s">
        <v>3659</v>
      </c>
      <c r="H826" t="s">
        <v>2656</v>
      </c>
      <c r="I826" t="s">
        <v>119</v>
      </c>
      <c r="J826" t="s">
        <v>3767</v>
      </c>
      <c r="K826" t="s">
        <v>3768</v>
      </c>
      <c r="L826" t="s">
        <v>54</v>
      </c>
      <c r="M826" t="s">
        <v>27</v>
      </c>
      <c r="N826" t="s">
        <v>27</v>
      </c>
      <c r="O826" t="s">
        <v>33</v>
      </c>
      <c r="P826" t="s">
        <v>31</v>
      </c>
      <c r="Q826">
        <v>23020</v>
      </c>
      <c r="R826">
        <v>-24.5</v>
      </c>
      <c r="S826">
        <v>-47.88</v>
      </c>
      <c r="T826" t="s">
        <v>3769</v>
      </c>
    </row>
    <row r="827" spans="1:20" hidden="1" x14ac:dyDescent="0.3">
      <c r="A827" t="s">
        <v>2301</v>
      </c>
      <c r="B827" t="s">
        <v>51</v>
      </c>
      <c r="C827" t="s">
        <v>37</v>
      </c>
      <c r="D827" t="s">
        <v>121</v>
      </c>
      <c r="E827">
        <v>2008</v>
      </c>
      <c r="F827" t="s">
        <v>31</v>
      </c>
      <c r="G827" t="s">
        <v>3770</v>
      </c>
      <c r="H827" t="s">
        <v>2658</v>
      </c>
      <c r="I827" t="s">
        <v>130</v>
      </c>
      <c r="J827" t="s">
        <v>3771</v>
      </c>
      <c r="K827" t="s">
        <v>2664</v>
      </c>
      <c r="L827" t="s">
        <v>31</v>
      </c>
      <c r="M827" t="s">
        <v>27</v>
      </c>
      <c r="N827" t="s">
        <v>27</v>
      </c>
      <c r="O827" t="s">
        <v>27</v>
      </c>
      <c r="P827" t="s">
        <v>31</v>
      </c>
      <c r="Q827">
        <v>88120</v>
      </c>
      <c r="R827">
        <v>-22.92</v>
      </c>
      <c r="S827">
        <v>-61.66</v>
      </c>
      <c r="T827" t="s">
        <v>3772</v>
      </c>
    </row>
    <row r="828" spans="1:20" hidden="1" x14ac:dyDescent="0.3">
      <c r="A828" t="s">
        <v>2302</v>
      </c>
      <c r="B828" t="s">
        <v>43</v>
      </c>
      <c r="C828" t="s">
        <v>2665</v>
      </c>
      <c r="D828" t="s">
        <v>114</v>
      </c>
      <c r="E828">
        <v>2008</v>
      </c>
      <c r="F828" t="s">
        <v>31</v>
      </c>
      <c r="G828" t="s">
        <v>3773</v>
      </c>
      <c r="H828" t="s">
        <v>2656</v>
      </c>
      <c r="I828" t="s">
        <v>119</v>
      </c>
      <c r="J828" t="s">
        <v>3774</v>
      </c>
      <c r="K828" t="s">
        <v>31</v>
      </c>
      <c r="L828" t="s">
        <v>31</v>
      </c>
      <c r="M828" t="s">
        <v>27</v>
      </c>
      <c r="N828" t="s">
        <v>27</v>
      </c>
      <c r="O828" t="s">
        <v>27</v>
      </c>
      <c r="P828" t="s">
        <v>31</v>
      </c>
      <c r="Q828" t="s">
        <v>31</v>
      </c>
      <c r="R828" t="s">
        <v>31</v>
      </c>
      <c r="S828" t="s">
        <v>31</v>
      </c>
      <c r="T828" t="s">
        <v>31</v>
      </c>
    </row>
    <row r="829" spans="1:20" hidden="1" x14ac:dyDescent="0.3">
      <c r="A829" t="s">
        <v>2303</v>
      </c>
      <c r="B829" t="s">
        <v>43</v>
      </c>
      <c r="C829" t="s">
        <v>2665</v>
      </c>
      <c r="D829" t="s">
        <v>114</v>
      </c>
      <c r="E829">
        <v>2008</v>
      </c>
      <c r="F829" t="s">
        <v>31</v>
      </c>
      <c r="G829" t="s">
        <v>3773</v>
      </c>
      <c r="H829" t="s">
        <v>2769</v>
      </c>
      <c r="I829" t="s">
        <v>117</v>
      </c>
      <c r="J829" t="s">
        <v>3775</v>
      </c>
      <c r="K829" t="s">
        <v>31</v>
      </c>
      <c r="L829" t="s">
        <v>31</v>
      </c>
      <c r="M829" t="s">
        <v>27</v>
      </c>
      <c r="N829" t="s">
        <v>27</v>
      </c>
      <c r="O829" t="s">
        <v>27</v>
      </c>
      <c r="P829" t="s">
        <v>31</v>
      </c>
      <c r="Q829" t="s">
        <v>31</v>
      </c>
      <c r="R829" t="s">
        <v>31</v>
      </c>
      <c r="S829" t="s">
        <v>31</v>
      </c>
      <c r="T829" t="s">
        <v>31</v>
      </c>
    </row>
    <row r="830" spans="1:20" hidden="1" x14ac:dyDescent="0.3">
      <c r="A830" t="s">
        <v>2304</v>
      </c>
      <c r="B830" t="s">
        <v>91</v>
      </c>
      <c r="C830" t="s">
        <v>92</v>
      </c>
      <c r="D830" t="s">
        <v>93</v>
      </c>
      <c r="E830">
        <v>2008</v>
      </c>
      <c r="F830" t="s">
        <v>31</v>
      </c>
      <c r="G830" t="s">
        <v>3776</v>
      </c>
      <c r="H830" t="s">
        <v>2645</v>
      </c>
      <c r="I830" t="s">
        <v>34</v>
      </c>
      <c r="J830" t="s">
        <v>3777</v>
      </c>
      <c r="K830" t="s">
        <v>31</v>
      </c>
      <c r="L830" t="s">
        <v>31</v>
      </c>
      <c r="M830" t="s">
        <v>27</v>
      </c>
      <c r="N830" t="s">
        <v>27</v>
      </c>
      <c r="O830" t="s">
        <v>27</v>
      </c>
      <c r="P830" t="s">
        <v>31</v>
      </c>
      <c r="Q830">
        <v>5.9</v>
      </c>
      <c r="R830">
        <v>41.144399999999997</v>
      </c>
      <c r="S830">
        <v>-114.8721</v>
      </c>
      <c r="T830" t="s">
        <v>31</v>
      </c>
    </row>
    <row r="831" spans="1:20" hidden="1" x14ac:dyDescent="0.3">
      <c r="A831" t="s">
        <v>2305</v>
      </c>
      <c r="B831" t="s">
        <v>51</v>
      </c>
      <c r="C831" t="s">
        <v>2655</v>
      </c>
      <c r="D831" t="s">
        <v>134</v>
      </c>
      <c r="E831">
        <v>2008</v>
      </c>
      <c r="F831" t="s">
        <v>31</v>
      </c>
      <c r="G831" t="s">
        <v>3778</v>
      </c>
      <c r="H831" t="s">
        <v>2719</v>
      </c>
      <c r="I831" t="s">
        <v>90</v>
      </c>
      <c r="J831" t="s">
        <v>3287</v>
      </c>
      <c r="K831" t="s">
        <v>2664</v>
      </c>
      <c r="L831" t="s">
        <v>31</v>
      </c>
      <c r="M831" t="s">
        <v>27</v>
      </c>
      <c r="N831" t="s">
        <v>27</v>
      </c>
      <c r="O831" t="s">
        <v>27</v>
      </c>
      <c r="P831" t="s">
        <v>31</v>
      </c>
      <c r="Q831" t="s">
        <v>31</v>
      </c>
      <c r="R831" t="s">
        <v>31</v>
      </c>
      <c r="S831" t="s">
        <v>31</v>
      </c>
      <c r="T831" t="s">
        <v>31</v>
      </c>
    </row>
    <row r="832" spans="1:20" hidden="1" x14ac:dyDescent="0.3">
      <c r="A832" t="s">
        <v>2306</v>
      </c>
      <c r="B832" t="s">
        <v>51</v>
      </c>
      <c r="C832" t="s">
        <v>37</v>
      </c>
      <c r="D832" t="s">
        <v>121</v>
      </c>
      <c r="E832">
        <v>2008</v>
      </c>
      <c r="F832">
        <v>2000</v>
      </c>
      <c r="G832" t="s">
        <v>31</v>
      </c>
      <c r="H832" t="s">
        <v>2645</v>
      </c>
      <c r="I832" t="s">
        <v>34</v>
      </c>
      <c r="J832" t="s">
        <v>3779</v>
      </c>
      <c r="K832" t="s">
        <v>3161</v>
      </c>
      <c r="L832" t="s">
        <v>402</v>
      </c>
      <c r="M832" t="s">
        <v>27</v>
      </c>
      <c r="N832" t="s">
        <v>27</v>
      </c>
      <c r="O832" t="s">
        <v>33</v>
      </c>
      <c r="P832" t="s">
        <v>31</v>
      </c>
      <c r="Q832">
        <v>565200</v>
      </c>
      <c r="R832">
        <v>36.229999999999997</v>
      </c>
      <c r="S832">
        <v>-89.15</v>
      </c>
      <c r="T832" t="s">
        <v>3780</v>
      </c>
    </row>
    <row r="833" spans="1:20" hidden="1" x14ac:dyDescent="0.3">
      <c r="A833" t="s">
        <v>2307</v>
      </c>
      <c r="B833" t="s">
        <v>51</v>
      </c>
      <c r="C833" t="s">
        <v>37</v>
      </c>
      <c r="D833" t="s">
        <v>121</v>
      </c>
      <c r="E833">
        <v>2008</v>
      </c>
      <c r="F833" t="s">
        <v>31</v>
      </c>
      <c r="G833" t="s">
        <v>31</v>
      </c>
      <c r="H833" t="s">
        <v>2739</v>
      </c>
      <c r="I833" t="s">
        <v>77</v>
      </c>
      <c r="J833" t="s">
        <v>3781</v>
      </c>
      <c r="K833" t="s">
        <v>2839</v>
      </c>
      <c r="L833" t="s">
        <v>31</v>
      </c>
      <c r="M833" t="s">
        <v>27</v>
      </c>
      <c r="N833" t="s">
        <v>27</v>
      </c>
      <c r="O833" t="s">
        <v>27</v>
      </c>
      <c r="P833" t="s">
        <v>31</v>
      </c>
      <c r="Q833">
        <v>22900</v>
      </c>
      <c r="R833">
        <v>44.46</v>
      </c>
      <c r="S833">
        <v>-77.47</v>
      </c>
      <c r="T833" t="s">
        <v>3782</v>
      </c>
    </row>
    <row r="834" spans="1:20" hidden="1" x14ac:dyDescent="0.3">
      <c r="A834" t="s">
        <v>2308</v>
      </c>
      <c r="B834" t="s">
        <v>91</v>
      </c>
      <c r="C834" t="s">
        <v>2712</v>
      </c>
      <c r="D834" t="s">
        <v>105</v>
      </c>
      <c r="E834">
        <v>2008</v>
      </c>
      <c r="F834" t="s">
        <v>31</v>
      </c>
      <c r="G834" t="s">
        <v>3665</v>
      </c>
      <c r="H834" t="s">
        <v>2701</v>
      </c>
      <c r="I834" t="s">
        <v>60</v>
      </c>
      <c r="J834" t="s">
        <v>3783</v>
      </c>
      <c r="K834" t="s">
        <v>31</v>
      </c>
      <c r="L834" t="s">
        <v>31</v>
      </c>
      <c r="M834" t="s">
        <v>27</v>
      </c>
      <c r="N834" t="s">
        <v>27</v>
      </c>
      <c r="O834" t="s">
        <v>33</v>
      </c>
      <c r="P834" t="s">
        <v>31</v>
      </c>
      <c r="Q834" t="s">
        <v>31</v>
      </c>
      <c r="R834">
        <v>-42.832999999999998</v>
      </c>
      <c r="S834">
        <v>-72.650000000000006</v>
      </c>
      <c r="T834" t="s">
        <v>31</v>
      </c>
    </row>
    <row r="835" spans="1:20" hidden="1" x14ac:dyDescent="0.3">
      <c r="A835" t="s">
        <v>2309</v>
      </c>
      <c r="B835" t="s">
        <v>28</v>
      </c>
      <c r="C835" t="s">
        <v>29</v>
      </c>
      <c r="D835" t="s">
        <v>97</v>
      </c>
      <c r="E835">
        <v>2008</v>
      </c>
      <c r="F835">
        <v>700000</v>
      </c>
      <c r="G835" t="s">
        <v>3784</v>
      </c>
      <c r="H835" t="s">
        <v>2645</v>
      </c>
      <c r="I835" t="s">
        <v>34</v>
      </c>
      <c r="J835" t="s">
        <v>3785</v>
      </c>
      <c r="K835" t="s">
        <v>3786</v>
      </c>
      <c r="L835" t="s">
        <v>100</v>
      </c>
      <c r="M835" t="s">
        <v>27</v>
      </c>
      <c r="N835" t="s">
        <v>27</v>
      </c>
      <c r="O835" t="s">
        <v>33</v>
      </c>
      <c r="P835" t="s">
        <v>31</v>
      </c>
      <c r="Q835">
        <v>280</v>
      </c>
      <c r="R835" t="s">
        <v>31</v>
      </c>
      <c r="S835" t="s">
        <v>31</v>
      </c>
      <c r="T835" t="s">
        <v>31</v>
      </c>
    </row>
    <row r="836" spans="1:20" hidden="1" x14ac:dyDescent="0.3">
      <c r="A836" t="s">
        <v>2310</v>
      </c>
      <c r="B836" t="s">
        <v>51</v>
      </c>
      <c r="C836" t="s">
        <v>37</v>
      </c>
      <c r="D836" t="s">
        <v>121</v>
      </c>
      <c r="E836">
        <v>2008</v>
      </c>
      <c r="F836" t="s">
        <v>31</v>
      </c>
      <c r="G836" t="s">
        <v>3787</v>
      </c>
      <c r="H836" t="s">
        <v>3482</v>
      </c>
      <c r="I836" t="s">
        <v>1925</v>
      </c>
      <c r="J836" t="s">
        <v>3788</v>
      </c>
      <c r="K836" t="s">
        <v>2649</v>
      </c>
      <c r="L836" t="s">
        <v>31</v>
      </c>
      <c r="M836" t="s">
        <v>27</v>
      </c>
      <c r="N836" t="s">
        <v>27</v>
      </c>
      <c r="O836" t="s">
        <v>27</v>
      </c>
      <c r="P836" t="s">
        <v>31</v>
      </c>
      <c r="Q836">
        <v>30310</v>
      </c>
      <c r="R836">
        <v>8.25</v>
      </c>
      <c r="S836">
        <v>-64.88</v>
      </c>
      <c r="T836" t="s">
        <v>3789</v>
      </c>
    </row>
    <row r="837" spans="1:20" hidden="1" x14ac:dyDescent="0.3">
      <c r="A837" t="s">
        <v>2313</v>
      </c>
      <c r="B837" t="s">
        <v>28</v>
      </c>
      <c r="C837" t="s">
        <v>29</v>
      </c>
      <c r="D837" t="s">
        <v>30</v>
      </c>
      <c r="E837">
        <v>2008</v>
      </c>
      <c r="F837" t="s">
        <v>31</v>
      </c>
      <c r="G837" t="s">
        <v>3679</v>
      </c>
      <c r="H837" t="s">
        <v>2749</v>
      </c>
      <c r="I837" t="s">
        <v>45</v>
      </c>
      <c r="J837" t="s">
        <v>2891</v>
      </c>
      <c r="K837" t="s">
        <v>31</v>
      </c>
      <c r="L837" t="s">
        <v>290</v>
      </c>
      <c r="M837" t="s">
        <v>27</v>
      </c>
      <c r="N837" t="s">
        <v>27</v>
      </c>
      <c r="O837" t="s">
        <v>27</v>
      </c>
      <c r="P837" t="s">
        <v>31</v>
      </c>
      <c r="Q837" t="s">
        <v>31</v>
      </c>
      <c r="R837" t="s">
        <v>31</v>
      </c>
      <c r="S837" t="s">
        <v>31</v>
      </c>
      <c r="T837" t="s">
        <v>31</v>
      </c>
    </row>
    <row r="838" spans="1:20" hidden="1" x14ac:dyDescent="0.3">
      <c r="A838" t="s">
        <v>2314</v>
      </c>
      <c r="B838" t="s">
        <v>28</v>
      </c>
      <c r="C838" t="s">
        <v>29</v>
      </c>
      <c r="D838" t="s">
        <v>1028</v>
      </c>
      <c r="E838">
        <v>2008</v>
      </c>
      <c r="F838" t="s">
        <v>31</v>
      </c>
      <c r="G838" t="s">
        <v>3790</v>
      </c>
      <c r="H838" t="s">
        <v>2656</v>
      </c>
      <c r="I838" t="s">
        <v>119</v>
      </c>
      <c r="J838" t="s">
        <v>3791</v>
      </c>
      <c r="K838" t="s">
        <v>31</v>
      </c>
      <c r="L838" t="s">
        <v>31</v>
      </c>
      <c r="M838" t="s">
        <v>27</v>
      </c>
      <c r="N838" t="s">
        <v>27</v>
      </c>
      <c r="O838" t="s">
        <v>33</v>
      </c>
      <c r="P838" t="s">
        <v>31</v>
      </c>
      <c r="Q838" t="s">
        <v>31</v>
      </c>
      <c r="R838" t="s">
        <v>31</v>
      </c>
      <c r="S838" t="s">
        <v>31</v>
      </c>
      <c r="T838" t="s">
        <v>31</v>
      </c>
    </row>
    <row r="839" spans="1:20" hidden="1" x14ac:dyDescent="0.3">
      <c r="A839" t="s">
        <v>2315</v>
      </c>
      <c r="B839" t="s">
        <v>28</v>
      </c>
      <c r="C839" t="s">
        <v>29</v>
      </c>
      <c r="D839" t="s">
        <v>30</v>
      </c>
      <c r="E839">
        <v>2008</v>
      </c>
      <c r="F839">
        <v>160000</v>
      </c>
      <c r="G839" t="s">
        <v>31</v>
      </c>
      <c r="H839" t="s">
        <v>2645</v>
      </c>
      <c r="I839" t="s">
        <v>34</v>
      </c>
      <c r="J839" t="s">
        <v>3792</v>
      </c>
      <c r="K839" t="s">
        <v>31</v>
      </c>
      <c r="L839" t="s">
        <v>31</v>
      </c>
      <c r="M839" t="s">
        <v>27</v>
      </c>
      <c r="N839" t="s">
        <v>27</v>
      </c>
      <c r="O839" t="s">
        <v>33</v>
      </c>
      <c r="P839" t="s">
        <v>31</v>
      </c>
      <c r="Q839" t="s">
        <v>31</v>
      </c>
      <c r="R839" t="s">
        <v>31</v>
      </c>
      <c r="S839" t="s">
        <v>31</v>
      </c>
      <c r="T839" t="s">
        <v>31</v>
      </c>
    </row>
    <row r="840" spans="1:20" hidden="1" x14ac:dyDescent="0.3">
      <c r="A840" t="s">
        <v>2316</v>
      </c>
      <c r="B840" t="s">
        <v>28</v>
      </c>
      <c r="C840" t="s">
        <v>29</v>
      </c>
      <c r="D840" t="s">
        <v>30</v>
      </c>
      <c r="E840">
        <v>2008</v>
      </c>
      <c r="F840">
        <v>30000000</v>
      </c>
      <c r="G840" t="s">
        <v>3686</v>
      </c>
      <c r="H840" t="s">
        <v>2645</v>
      </c>
      <c r="I840" t="s">
        <v>34</v>
      </c>
      <c r="J840" t="s">
        <v>3793</v>
      </c>
      <c r="K840" t="s">
        <v>31</v>
      </c>
      <c r="L840" t="s">
        <v>37</v>
      </c>
      <c r="M840" t="s">
        <v>27</v>
      </c>
      <c r="N840" t="s">
        <v>27</v>
      </c>
      <c r="O840" t="s">
        <v>27</v>
      </c>
      <c r="P840" t="s">
        <v>31</v>
      </c>
      <c r="Q840">
        <v>200</v>
      </c>
      <c r="R840">
        <v>35.049999999999997</v>
      </c>
      <c r="S840">
        <v>-90.45</v>
      </c>
      <c r="T840" t="s">
        <v>31</v>
      </c>
    </row>
    <row r="841" spans="1:20" hidden="1" x14ac:dyDescent="0.3">
      <c r="A841" t="s">
        <v>2317</v>
      </c>
      <c r="B841" t="s">
        <v>51</v>
      </c>
      <c r="C841" t="s">
        <v>37</v>
      </c>
      <c r="D841" t="s">
        <v>56</v>
      </c>
      <c r="E841">
        <v>2008</v>
      </c>
      <c r="F841" t="s">
        <v>31</v>
      </c>
      <c r="G841" t="s">
        <v>3794</v>
      </c>
      <c r="H841" t="s">
        <v>2774</v>
      </c>
      <c r="I841" t="s">
        <v>166</v>
      </c>
      <c r="J841" t="s">
        <v>3795</v>
      </c>
      <c r="K841" t="s">
        <v>3796</v>
      </c>
      <c r="L841" t="s">
        <v>31</v>
      </c>
      <c r="M841" t="s">
        <v>27</v>
      </c>
      <c r="N841" t="s">
        <v>27</v>
      </c>
      <c r="O841" t="s">
        <v>27</v>
      </c>
      <c r="P841" t="s">
        <v>31</v>
      </c>
      <c r="Q841" t="s">
        <v>31</v>
      </c>
      <c r="R841" t="s">
        <v>31</v>
      </c>
      <c r="S841" t="s">
        <v>31</v>
      </c>
      <c r="T841" t="s">
        <v>3797</v>
      </c>
    </row>
    <row r="842" spans="1:20" hidden="1" x14ac:dyDescent="0.3">
      <c r="A842" t="s">
        <v>2318</v>
      </c>
      <c r="B842" t="s">
        <v>51</v>
      </c>
      <c r="C842" t="s">
        <v>37</v>
      </c>
      <c r="D842" t="s">
        <v>121</v>
      </c>
      <c r="E842">
        <v>2008</v>
      </c>
      <c r="F842" t="s">
        <v>31</v>
      </c>
      <c r="G842" t="s">
        <v>3692</v>
      </c>
      <c r="H842" t="s">
        <v>2695</v>
      </c>
      <c r="I842" t="s">
        <v>161</v>
      </c>
      <c r="J842" t="s">
        <v>3798</v>
      </c>
      <c r="K842" t="s">
        <v>3799</v>
      </c>
      <c r="L842" t="s">
        <v>54</v>
      </c>
      <c r="M842" t="s">
        <v>33</v>
      </c>
      <c r="N842" t="s">
        <v>27</v>
      </c>
      <c r="O842" t="s">
        <v>27</v>
      </c>
      <c r="P842" t="s">
        <v>31</v>
      </c>
      <c r="Q842" t="s">
        <v>31</v>
      </c>
      <c r="R842" t="s">
        <v>31</v>
      </c>
      <c r="S842" t="s">
        <v>31</v>
      </c>
      <c r="T842" t="s">
        <v>31</v>
      </c>
    </row>
    <row r="843" spans="1:20" hidden="1" x14ac:dyDescent="0.3">
      <c r="A843" t="s">
        <v>2319</v>
      </c>
      <c r="B843" t="s">
        <v>51</v>
      </c>
      <c r="C843" t="s">
        <v>37</v>
      </c>
      <c r="D843" t="s">
        <v>121</v>
      </c>
      <c r="E843">
        <v>2008</v>
      </c>
      <c r="F843" t="s">
        <v>31</v>
      </c>
      <c r="G843" t="s">
        <v>3692</v>
      </c>
      <c r="H843" t="s">
        <v>2719</v>
      </c>
      <c r="I843" t="s">
        <v>90</v>
      </c>
      <c r="J843" t="s">
        <v>3800</v>
      </c>
      <c r="K843" t="s">
        <v>3696</v>
      </c>
      <c r="L843" t="s">
        <v>54</v>
      </c>
      <c r="M843" t="s">
        <v>33</v>
      </c>
      <c r="N843" t="s">
        <v>33</v>
      </c>
      <c r="O843" t="s">
        <v>33</v>
      </c>
      <c r="P843" t="s">
        <v>31</v>
      </c>
      <c r="Q843" t="s">
        <v>31</v>
      </c>
      <c r="R843" t="s">
        <v>31</v>
      </c>
      <c r="S843" t="s">
        <v>31</v>
      </c>
      <c r="T843" t="s">
        <v>31</v>
      </c>
    </row>
    <row r="844" spans="1:20" hidden="1" x14ac:dyDescent="0.3">
      <c r="A844" t="s">
        <v>2320</v>
      </c>
      <c r="B844" t="s">
        <v>51</v>
      </c>
      <c r="C844" t="s">
        <v>37</v>
      </c>
      <c r="D844" t="s">
        <v>121</v>
      </c>
      <c r="E844">
        <v>2008</v>
      </c>
      <c r="F844" t="s">
        <v>31</v>
      </c>
      <c r="G844" t="s">
        <v>3692</v>
      </c>
      <c r="H844" t="s">
        <v>2680</v>
      </c>
      <c r="I844" t="s">
        <v>115</v>
      </c>
      <c r="J844" t="s">
        <v>3801</v>
      </c>
      <c r="K844" t="s">
        <v>3696</v>
      </c>
      <c r="L844" t="s">
        <v>31</v>
      </c>
      <c r="M844" t="s">
        <v>27</v>
      </c>
      <c r="N844" t="s">
        <v>27</v>
      </c>
      <c r="O844" t="s">
        <v>27</v>
      </c>
      <c r="P844" t="s">
        <v>31</v>
      </c>
      <c r="Q844" t="s">
        <v>31</v>
      </c>
      <c r="R844" t="s">
        <v>31</v>
      </c>
      <c r="S844" t="s">
        <v>31</v>
      </c>
      <c r="T844" t="s">
        <v>31</v>
      </c>
    </row>
    <row r="845" spans="1:20" hidden="1" x14ac:dyDescent="0.3">
      <c r="A845" t="s">
        <v>2321</v>
      </c>
      <c r="B845" t="s">
        <v>28</v>
      </c>
      <c r="C845" t="s">
        <v>29</v>
      </c>
      <c r="D845" t="s">
        <v>30</v>
      </c>
      <c r="E845">
        <v>2008</v>
      </c>
      <c r="F845" t="s">
        <v>31</v>
      </c>
      <c r="G845" t="s">
        <v>3757</v>
      </c>
      <c r="H845" t="s">
        <v>2860</v>
      </c>
      <c r="I845" t="s">
        <v>670</v>
      </c>
      <c r="J845" t="s">
        <v>3802</v>
      </c>
      <c r="K845" t="s">
        <v>31</v>
      </c>
      <c r="L845" t="s">
        <v>85</v>
      </c>
      <c r="M845" t="s">
        <v>27</v>
      </c>
      <c r="N845" t="s">
        <v>27</v>
      </c>
      <c r="O845" t="s">
        <v>27</v>
      </c>
      <c r="P845" t="s">
        <v>31</v>
      </c>
      <c r="Q845">
        <v>220</v>
      </c>
      <c r="R845" t="s">
        <v>31</v>
      </c>
      <c r="S845" t="s">
        <v>31</v>
      </c>
      <c r="T845" t="s">
        <v>31</v>
      </c>
    </row>
    <row r="846" spans="1:20" hidden="1" x14ac:dyDescent="0.3">
      <c r="A846" t="s">
        <v>2323</v>
      </c>
      <c r="B846" t="s">
        <v>51</v>
      </c>
      <c r="C846" t="s">
        <v>37</v>
      </c>
      <c r="D846" t="s">
        <v>121</v>
      </c>
      <c r="E846">
        <v>2008</v>
      </c>
      <c r="F846" t="s">
        <v>31</v>
      </c>
      <c r="G846" t="s">
        <v>3803</v>
      </c>
      <c r="H846" t="s">
        <v>2716</v>
      </c>
      <c r="I846" t="s">
        <v>242</v>
      </c>
      <c r="J846" t="s">
        <v>3804</v>
      </c>
      <c r="K846" t="s">
        <v>3805</v>
      </c>
      <c r="L846" t="s">
        <v>31</v>
      </c>
      <c r="M846" t="s">
        <v>27</v>
      </c>
      <c r="N846" t="s">
        <v>27</v>
      </c>
      <c r="O846" t="s">
        <v>27</v>
      </c>
      <c r="P846" t="s">
        <v>31</v>
      </c>
      <c r="Q846">
        <v>35290</v>
      </c>
      <c r="R846">
        <v>20.61</v>
      </c>
      <c r="S846">
        <v>-76.17</v>
      </c>
      <c r="T846" t="s">
        <v>3806</v>
      </c>
    </row>
    <row r="847" spans="1:20" hidden="1" x14ac:dyDescent="0.3">
      <c r="A847" t="s">
        <v>2324</v>
      </c>
      <c r="B847" t="s">
        <v>28</v>
      </c>
      <c r="C847" t="s">
        <v>29</v>
      </c>
      <c r="D847" t="s">
        <v>64</v>
      </c>
      <c r="E847">
        <v>2008</v>
      </c>
      <c r="F847" t="s">
        <v>31</v>
      </c>
      <c r="G847" t="s">
        <v>3807</v>
      </c>
      <c r="H847" t="s">
        <v>2669</v>
      </c>
      <c r="I847" t="s">
        <v>111</v>
      </c>
      <c r="J847" t="s">
        <v>3808</v>
      </c>
      <c r="K847" t="s">
        <v>31</v>
      </c>
      <c r="L847" t="s">
        <v>65</v>
      </c>
      <c r="M847" t="s">
        <v>27</v>
      </c>
      <c r="N847" t="s">
        <v>27</v>
      </c>
      <c r="O847" t="s">
        <v>33</v>
      </c>
      <c r="P847">
        <v>124</v>
      </c>
      <c r="Q847" t="s">
        <v>31</v>
      </c>
      <c r="R847" t="s">
        <v>31</v>
      </c>
      <c r="S847" t="s">
        <v>31</v>
      </c>
      <c r="T847" t="s">
        <v>31</v>
      </c>
    </row>
    <row r="848" spans="1:20" hidden="1" x14ac:dyDescent="0.3">
      <c r="A848" t="s">
        <v>2325</v>
      </c>
      <c r="B848" t="s">
        <v>91</v>
      </c>
      <c r="C848" t="s">
        <v>2712</v>
      </c>
      <c r="D848" t="s">
        <v>105</v>
      </c>
      <c r="E848">
        <v>2008</v>
      </c>
      <c r="F848" t="s">
        <v>31</v>
      </c>
      <c r="G848" t="s">
        <v>3710</v>
      </c>
      <c r="H848" t="s">
        <v>2647</v>
      </c>
      <c r="I848" t="s">
        <v>47</v>
      </c>
      <c r="J848" t="s">
        <v>3809</v>
      </c>
      <c r="K848" t="s">
        <v>31</v>
      </c>
      <c r="L848" t="s">
        <v>54</v>
      </c>
      <c r="M848" t="s">
        <v>27</v>
      </c>
      <c r="N848" t="s">
        <v>27</v>
      </c>
      <c r="O848" t="s">
        <v>27</v>
      </c>
      <c r="P848" t="s">
        <v>31</v>
      </c>
      <c r="Q848" t="s">
        <v>31</v>
      </c>
      <c r="R848">
        <v>2.93</v>
      </c>
      <c r="S848">
        <v>-76.03</v>
      </c>
      <c r="T848" t="s">
        <v>31</v>
      </c>
    </row>
    <row r="849" spans="1:20" hidden="1" x14ac:dyDescent="0.3">
      <c r="A849" t="s">
        <v>2326</v>
      </c>
      <c r="B849" t="s">
        <v>51</v>
      </c>
      <c r="C849" t="s">
        <v>37</v>
      </c>
      <c r="D849" t="s">
        <v>121</v>
      </c>
      <c r="E849">
        <v>2008</v>
      </c>
      <c r="F849">
        <v>10000</v>
      </c>
      <c r="G849" t="s">
        <v>3759</v>
      </c>
      <c r="H849" t="s">
        <v>2774</v>
      </c>
      <c r="I849" t="s">
        <v>166</v>
      </c>
      <c r="J849" t="s">
        <v>3810</v>
      </c>
      <c r="K849" t="s">
        <v>2649</v>
      </c>
      <c r="L849" t="s">
        <v>54</v>
      </c>
      <c r="M849" t="s">
        <v>33</v>
      </c>
      <c r="N849" t="s">
        <v>33</v>
      </c>
      <c r="O849" t="s">
        <v>33</v>
      </c>
      <c r="P849">
        <v>229</v>
      </c>
      <c r="Q849" t="s">
        <v>31</v>
      </c>
      <c r="R849" t="s">
        <v>31</v>
      </c>
      <c r="S849" t="s">
        <v>31</v>
      </c>
      <c r="T849" t="s">
        <v>3811</v>
      </c>
    </row>
    <row r="850" spans="1:20" hidden="1" x14ac:dyDescent="0.3">
      <c r="A850" t="s">
        <v>2327</v>
      </c>
      <c r="B850" t="s">
        <v>28</v>
      </c>
      <c r="C850" t="s">
        <v>29</v>
      </c>
      <c r="D850" t="s">
        <v>30</v>
      </c>
      <c r="E850">
        <v>2008</v>
      </c>
      <c r="F850" t="s">
        <v>31</v>
      </c>
      <c r="G850" t="s">
        <v>3812</v>
      </c>
      <c r="H850" t="s">
        <v>3813</v>
      </c>
      <c r="I850" t="s">
        <v>2120</v>
      </c>
      <c r="J850" t="s">
        <v>31</v>
      </c>
      <c r="K850" t="s">
        <v>31</v>
      </c>
      <c r="L850" t="s">
        <v>31</v>
      </c>
      <c r="M850" t="s">
        <v>27</v>
      </c>
      <c r="N850" t="s">
        <v>27</v>
      </c>
      <c r="O850" t="s">
        <v>27</v>
      </c>
      <c r="P850" t="s">
        <v>31</v>
      </c>
      <c r="Q850" t="s">
        <v>31</v>
      </c>
      <c r="R850" t="s">
        <v>31</v>
      </c>
      <c r="S850" t="s">
        <v>31</v>
      </c>
      <c r="T850" t="s">
        <v>31</v>
      </c>
    </row>
    <row r="851" spans="1:20" hidden="1" x14ac:dyDescent="0.3">
      <c r="A851" t="s">
        <v>2328</v>
      </c>
      <c r="B851" t="s">
        <v>28</v>
      </c>
      <c r="C851" t="s">
        <v>2685</v>
      </c>
      <c r="D851" t="s">
        <v>278</v>
      </c>
      <c r="E851">
        <v>2008</v>
      </c>
      <c r="F851" t="s">
        <v>31</v>
      </c>
      <c r="G851" t="s">
        <v>31</v>
      </c>
      <c r="H851" t="s">
        <v>2645</v>
      </c>
      <c r="I851" t="s">
        <v>34</v>
      </c>
      <c r="J851" t="s">
        <v>3814</v>
      </c>
      <c r="K851" t="s">
        <v>31</v>
      </c>
      <c r="L851" t="s">
        <v>31</v>
      </c>
      <c r="M851" t="s">
        <v>27</v>
      </c>
      <c r="N851" t="s">
        <v>27</v>
      </c>
      <c r="O851" t="s">
        <v>33</v>
      </c>
      <c r="P851" t="s">
        <v>31</v>
      </c>
      <c r="Q851" t="s">
        <v>31</v>
      </c>
      <c r="R851" t="s">
        <v>31</v>
      </c>
      <c r="S851" t="s">
        <v>31</v>
      </c>
      <c r="T851" t="s">
        <v>31</v>
      </c>
    </row>
    <row r="852" spans="1:20" hidden="1" x14ac:dyDescent="0.3">
      <c r="A852" t="s">
        <v>2329</v>
      </c>
      <c r="B852" t="s">
        <v>28</v>
      </c>
      <c r="C852" t="s">
        <v>29</v>
      </c>
      <c r="D852" t="s">
        <v>30</v>
      </c>
      <c r="E852">
        <v>2008</v>
      </c>
      <c r="F852" t="s">
        <v>31</v>
      </c>
      <c r="G852" t="s">
        <v>3812</v>
      </c>
      <c r="H852" t="s">
        <v>3815</v>
      </c>
      <c r="I852" t="s">
        <v>219</v>
      </c>
      <c r="J852" t="s">
        <v>3816</v>
      </c>
      <c r="K852" t="s">
        <v>31</v>
      </c>
      <c r="L852" t="s">
        <v>37</v>
      </c>
      <c r="M852" t="s">
        <v>27</v>
      </c>
      <c r="N852" t="s">
        <v>27</v>
      </c>
      <c r="O852" t="s">
        <v>27</v>
      </c>
      <c r="P852" t="s">
        <v>31</v>
      </c>
      <c r="Q852" t="s">
        <v>31</v>
      </c>
      <c r="R852" t="s">
        <v>31</v>
      </c>
      <c r="S852" t="s">
        <v>31</v>
      </c>
      <c r="T852" t="s">
        <v>31</v>
      </c>
    </row>
    <row r="853" spans="1:20" hidden="1" x14ac:dyDescent="0.3">
      <c r="A853" t="s">
        <v>2330</v>
      </c>
      <c r="B853" t="s">
        <v>51</v>
      </c>
      <c r="C853" t="s">
        <v>37</v>
      </c>
      <c r="D853" t="s">
        <v>121</v>
      </c>
      <c r="E853">
        <v>2008</v>
      </c>
      <c r="F853">
        <v>10000000</v>
      </c>
      <c r="G853" t="s">
        <v>3817</v>
      </c>
      <c r="H853" t="s">
        <v>2645</v>
      </c>
      <c r="I853" t="s">
        <v>34</v>
      </c>
      <c r="J853" t="s">
        <v>3818</v>
      </c>
      <c r="K853" t="s">
        <v>31</v>
      </c>
      <c r="L853" t="s">
        <v>402</v>
      </c>
      <c r="M853" t="s">
        <v>27</v>
      </c>
      <c r="N853" t="s">
        <v>27</v>
      </c>
      <c r="O853" t="s">
        <v>27</v>
      </c>
      <c r="P853" t="s">
        <v>31</v>
      </c>
      <c r="Q853" t="s">
        <v>31</v>
      </c>
      <c r="R853" t="s">
        <v>31</v>
      </c>
      <c r="S853" t="s">
        <v>31</v>
      </c>
      <c r="T853" t="s">
        <v>3819</v>
      </c>
    </row>
    <row r="854" spans="1:20" hidden="1" x14ac:dyDescent="0.3">
      <c r="A854" t="s">
        <v>2331</v>
      </c>
      <c r="B854" t="s">
        <v>51</v>
      </c>
      <c r="C854" t="s">
        <v>37</v>
      </c>
      <c r="D854" t="s">
        <v>121</v>
      </c>
      <c r="E854">
        <v>2008</v>
      </c>
      <c r="F854" t="s">
        <v>31</v>
      </c>
      <c r="G854" t="s">
        <v>31</v>
      </c>
      <c r="H854" t="s">
        <v>2645</v>
      </c>
      <c r="I854" t="s">
        <v>34</v>
      </c>
      <c r="J854" t="s">
        <v>3820</v>
      </c>
      <c r="K854" t="s">
        <v>2649</v>
      </c>
      <c r="L854" t="s">
        <v>31</v>
      </c>
      <c r="M854" t="s">
        <v>27</v>
      </c>
      <c r="N854" t="s">
        <v>27</v>
      </c>
      <c r="O854" t="s">
        <v>27</v>
      </c>
      <c r="P854" t="s">
        <v>31</v>
      </c>
      <c r="Q854">
        <v>35110</v>
      </c>
      <c r="R854">
        <v>42.84</v>
      </c>
      <c r="S854">
        <v>-123.77</v>
      </c>
      <c r="T854" t="s">
        <v>3821</v>
      </c>
    </row>
    <row r="855" spans="1:20" hidden="1" x14ac:dyDescent="0.3">
      <c r="A855" t="s">
        <v>2332</v>
      </c>
      <c r="B855" t="s">
        <v>91</v>
      </c>
      <c r="C855" t="s">
        <v>92</v>
      </c>
      <c r="D855" t="s">
        <v>93</v>
      </c>
      <c r="E855">
        <v>2008</v>
      </c>
      <c r="F855">
        <v>10000</v>
      </c>
      <c r="G855" t="s">
        <v>3822</v>
      </c>
      <c r="H855" t="s">
        <v>2647</v>
      </c>
      <c r="I855" t="s">
        <v>47</v>
      </c>
      <c r="J855" t="s">
        <v>3823</v>
      </c>
      <c r="K855" t="s">
        <v>31</v>
      </c>
      <c r="L855" t="s">
        <v>54</v>
      </c>
      <c r="M855" t="s">
        <v>27</v>
      </c>
      <c r="N855" t="s">
        <v>27</v>
      </c>
      <c r="O855" t="s">
        <v>27</v>
      </c>
      <c r="P855" t="s">
        <v>31</v>
      </c>
      <c r="Q855">
        <v>5.9</v>
      </c>
      <c r="R855">
        <v>4.33</v>
      </c>
      <c r="S855">
        <v>-73.763999999999996</v>
      </c>
      <c r="T855" t="s">
        <v>31</v>
      </c>
    </row>
    <row r="856" spans="1:20" hidden="1" x14ac:dyDescent="0.3">
      <c r="A856" t="s">
        <v>2333</v>
      </c>
      <c r="B856" t="s">
        <v>43</v>
      </c>
      <c r="C856" t="s">
        <v>2665</v>
      </c>
      <c r="D856" t="s">
        <v>114</v>
      </c>
      <c r="E856">
        <v>2008</v>
      </c>
      <c r="F856" t="s">
        <v>31</v>
      </c>
      <c r="G856" t="s">
        <v>3824</v>
      </c>
      <c r="H856" t="s">
        <v>2769</v>
      </c>
      <c r="I856" t="s">
        <v>117</v>
      </c>
      <c r="J856" t="s">
        <v>3825</v>
      </c>
      <c r="K856" t="s">
        <v>31</v>
      </c>
      <c r="L856" t="s">
        <v>31</v>
      </c>
      <c r="M856" t="s">
        <v>27</v>
      </c>
      <c r="N856" t="s">
        <v>27</v>
      </c>
      <c r="O856" t="s">
        <v>27</v>
      </c>
      <c r="P856" t="s">
        <v>31</v>
      </c>
      <c r="Q856" t="s">
        <v>31</v>
      </c>
      <c r="R856" t="s">
        <v>31</v>
      </c>
      <c r="S856" t="s">
        <v>31</v>
      </c>
      <c r="T856" t="s">
        <v>31</v>
      </c>
    </row>
    <row r="857" spans="1:20" hidden="1" x14ac:dyDescent="0.3">
      <c r="A857" t="s">
        <v>2335</v>
      </c>
      <c r="B857" t="s">
        <v>39</v>
      </c>
      <c r="C857" t="s">
        <v>157</v>
      </c>
      <c r="D857" t="s">
        <v>157</v>
      </c>
      <c r="E857">
        <v>2008</v>
      </c>
      <c r="F857" t="s">
        <v>31</v>
      </c>
      <c r="G857" t="s">
        <v>31</v>
      </c>
      <c r="H857" t="s">
        <v>2669</v>
      </c>
      <c r="I857" t="s">
        <v>111</v>
      </c>
      <c r="J857" t="s">
        <v>3826</v>
      </c>
      <c r="K857" t="s">
        <v>3827</v>
      </c>
      <c r="L857" t="s">
        <v>31</v>
      </c>
      <c r="M857" t="s">
        <v>27</v>
      </c>
      <c r="N857" t="s">
        <v>27</v>
      </c>
      <c r="O857" t="s">
        <v>33</v>
      </c>
      <c r="P857" t="s">
        <v>31</v>
      </c>
      <c r="Q857" t="s">
        <v>31</v>
      </c>
      <c r="R857" t="s">
        <v>31</v>
      </c>
      <c r="S857" t="s">
        <v>31</v>
      </c>
      <c r="T857" t="s">
        <v>31</v>
      </c>
    </row>
    <row r="858" spans="1:20" hidden="1" x14ac:dyDescent="0.3">
      <c r="A858" t="s">
        <v>685</v>
      </c>
      <c r="B858" t="s">
        <v>91</v>
      </c>
      <c r="C858" t="s">
        <v>92</v>
      </c>
      <c r="D858" t="s">
        <v>93</v>
      </c>
      <c r="E858">
        <v>2009</v>
      </c>
      <c r="F858">
        <v>200000</v>
      </c>
      <c r="G858" t="s">
        <v>3828</v>
      </c>
      <c r="H858" t="s">
        <v>2695</v>
      </c>
      <c r="I858" t="s">
        <v>161</v>
      </c>
      <c r="J858" t="s">
        <v>3829</v>
      </c>
      <c r="K858" t="s">
        <v>31</v>
      </c>
      <c r="L858" t="s">
        <v>54</v>
      </c>
      <c r="M858" t="s">
        <v>33</v>
      </c>
      <c r="N858" t="s">
        <v>33</v>
      </c>
      <c r="O858" t="s">
        <v>33</v>
      </c>
      <c r="P858">
        <v>413</v>
      </c>
      <c r="Q858">
        <v>6.1</v>
      </c>
      <c r="R858">
        <v>10.164999999999999</v>
      </c>
      <c r="S858">
        <v>-84.197000000000003</v>
      </c>
      <c r="T858" t="s">
        <v>31</v>
      </c>
    </row>
    <row r="859" spans="1:20" hidden="1" x14ac:dyDescent="0.3">
      <c r="A859" t="s">
        <v>686</v>
      </c>
      <c r="B859" t="s">
        <v>91</v>
      </c>
      <c r="C859" t="s">
        <v>2927</v>
      </c>
      <c r="D859" t="s">
        <v>687</v>
      </c>
      <c r="E859">
        <v>2009</v>
      </c>
      <c r="F859" t="s">
        <v>31</v>
      </c>
      <c r="G859" t="s">
        <v>3830</v>
      </c>
      <c r="H859" t="s">
        <v>2719</v>
      </c>
      <c r="I859" t="s">
        <v>90</v>
      </c>
      <c r="J859" t="s">
        <v>3831</v>
      </c>
      <c r="K859" t="s">
        <v>31</v>
      </c>
      <c r="L859" t="s">
        <v>31</v>
      </c>
      <c r="M859" t="s">
        <v>27</v>
      </c>
      <c r="N859" t="s">
        <v>27</v>
      </c>
      <c r="O859" t="s">
        <v>27</v>
      </c>
      <c r="P859" t="s">
        <v>31</v>
      </c>
      <c r="Q859" t="s">
        <v>31</v>
      </c>
      <c r="R859" t="s">
        <v>31</v>
      </c>
      <c r="S859" t="s">
        <v>31</v>
      </c>
      <c r="T859" t="s">
        <v>31</v>
      </c>
    </row>
    <row r="860" spans="1:20" hidden="1" x14ac:dyDescent="0.3">
      <c r="A860" t="s">
        <v>688</v>
      </c>
      <c r="B860" t="s">
        <v>51</v>
      </c>
      <c r="C860" t="s">
        <v>2655</v>
      </c>
      <c r="D860" t="s">
        <v>134</v>
      </c>
      <c r="E860">
        <v>2009</v>
      </c>
      <c r="F860">
        <v>15000</v>
      </c>
      <c r="G860" t="s">
        <v>3832</v>
      </c>
      <c r="H860" t="s">
        <v>2658</v>
      </c>
      <c r="I860" t="s">
        <v>130</v>
      </c>
      <c r="J860" t="s">
        <v>3833</v>
      </c>
      <c r="K860" t="s">
        <v>2652</v>
      </c>
      <c r="L860" t="s">
        <v>31</v>
      </c>
      <c r="M860" t="s">
        <v>27</v>
      </c>
      <c r="N860" t="s">
        <v>27</v>
      </c>
      <c r="O860" t="s">
        <v>27</v>
      </c>
      <c r="P860" t="s">
        <v>31</v>
      </c>
      <c r="Q860" t="s">
        <v>31</v>
      </c>
      <c r="R860">
        <v>-24.15</v>
      </c>
      <c r="S860">
        <v>-64.290000000000006</v>
      </c>
      <c r="T860" t="s">
        <v>31</v>
      </c>
    </row>
    <row r="861" spans="1:20" hidden="1" x14ac:dyDescent="0.3">
      <c r="A861" t="s">
        <v>689</v>
      </c>
      <c r="B861" t="s">
        <v>51</v>
      </c>
      <c r="C861" t="s">
        <v>37</v>
      </c>
      <c r="D861" t="s">
        <v>121</v>
      </c>
      <c r="E861">
        <v>2009</v>
      </c>
      <c r="F861" t="s">
        <v>31</v>
      </c>
      <c r="G861" t="s">
        <v>3834</v>
      </c>
      <c r="H861" t="s">
        <v>2669</v>
      </c>
      <c r="I861" t="s">
        <v>111</v>
      </c>
      <c r="J861" t="s">
        <v>3835</v>
      </c>
      <c r="K861" t="s">
        <v>3836</v>
      </c>
      <c r="L861" t="s">
        <v>31</v>
      </c>
      <c r="M861" t="s">
        <v>27</v>
      </c>
      <c r="N861" t="s">
        <v>27</v>
      </c>
      <c r="O861" t="s">
        <v>27</v>
      </c>
      <c r="P861" t="s">
        <v>31</v>
      </c>
      <c r="Q861">
        <v>167900</v>
      </c>
      <c r="R861">
        <v>-18.760000000000002</v>
      </c>
      <c r="S861">
        <v>-62.62</v>
      </c>
      <c r="T861" t="s">
        <v>31</v>
      </c>
    </row>
    <row r="862" spans="1:20" hidden="1" x14ac:dyDescent="0.3">
      <c r="A862" t="s">
        <v>690</v>
      </c>
      <c r="B862" t="s">
        <v>28</v>
      </c>
      <c r="C862" t="s">
        <v>29</v>
      </c>
      <c r="D862" t="s">
        <v>97</v>
      </c>
      <c r="E862">
        <v>2009</v>
      </c>
      <c r="F862">
        <v>1700000</v>
      </c>
      <c r="G862" t="s">
        <v>3837</v>
      </c>
      <c r="H862" t="s">
        <v>2645</v>
      </c>
      <c r="I862" t="s">
        <v>34</v>
      </c>
      <c r="J862" t="s">
        <v>3838</v>
      </c>
      <c r="K862" t="s">
        <v>31</v>
      </c>
      <c r="L862" t="s">
        <v>388</v>
      </c>
      <c r="M862" t="s">
        <v>27</v>
      </c>
      <c r="N862" t="s">
        <v>27</v>
      </c>
      <c r="O862" t="s">
        <v>33</v>
      </c>
      <c r="P862" t="s">
        <v>31</v>
      </c>
      <c r="Q862" t="s">
        <v>31</v>
      </c>
      <c r="R862" t="s">
        <v>31</v>
      </c>
      <c r="S862" t="s">
        <v>31</v>
      </c>
      <c r="T862" t="s">
        <v>31</v>
      </c>
    </row>
    <row r="863" spans="1:20" hidden="1" x14ac:dyDescent="0.3">
      <c r="A863" t="s">
        <v>691</v>
      </c>
      <c r="B863" t="s">
        <v>51</v>
      </c>
      <c r="C863" t="s">
        <v>37</v>
      </c>
      <c r="D863" t="s">
        <v>121</v>
      </c>
      <c r="E863">
        <v>2009</v>
      </c>
      <c r="F863" t="s">
        <v>31</v>
      </c>
      <c r="G863" t="s">
        <v>31</v>
      </c>
      <c r="H863" t="s">
        <v>2645</v>
      </c>
      <c r="I863" t="s">
        <v>34</v>
      </c>
      <c r="J863" t="s">
        <v>2820</v>
      </c>
      <c r="K863" t="s">
        <v>2664</v>
      </c>
      <c r="L863" t="s">
        <v>31</v>
      </c>
      <c r="M863" t="s">
        <v>27</v>
      </c>
      <c r="N863" t="s">
        <v>27</v>
      </c>
      <c r="O863" t="s">
        <v>33</v>
      </c>
      <c r="P863" t="s">
        <v>31</v>
      </c>
      <c r="Q863">
        <v>82060</v>
      </c>
      <c r="R863">
        <v>30.84</v>
      </c>
      <c r="S863">
        <v>-85.23</v>
      </c>
      <c r="T863" t="s">
        <v>31</v>
      </c>
    </row>
    <row r="864" spans="1:20" hidden="1" x14ac:dyDescent="0.3">
      <c r="A864" t="s">
        <v>693</v>
      </c>
      <c r="B864" t="s">
        <v>51</v>
      </c>
      <c r="C864" t="s">
        <v>37</v>
      </c>
      <c r="D864" t="s">
        <v>121</v>
      </c>
      <c r="E864">
        <v>2009</v>
      </c>
      <c r="F864" t="s">
        <v>31</v>
      </c>
      <c r="G864" t="s">
        <v>3839</v>
      </c>
      <c r="H864" t="s">
        <v>2719</v>
      </c>
      <c r="I864" t="s">
        <v>90</v>
      </c>
      <c r="J864" t="s">
        <v>3840</v>
      </c>
      <c r="K864" t="s">
        <v>2649</v>
      </c>
      <c r="L864" t="s">
        <v>31</v>
      </c>
      <c r="M864" t="s">
        <v>27</v>
      </c>
      <c r="N864" t="s">
        <v>27</v>
      </c>
      <c r="O864" t="s">
        <v>27</v>
      </c>
      <c r="P864" t="s">
        <v>31</v>
      </c>
      <c r="Q864" t="s">
        <v>31</v>
      </c>
      <c r="R864">
        <v>13.42</v>
      </c>
      <c r="S864">
        <v>-88.64</v>
      </c>
      <c r="T864" t="s">
        <v>31</v>
      </c>
    </row>
    <row r="865" spans="1:20" hidden="1" x14ac:dyDescent="0.3">
      <c r="A865" t="s">
        <v>694</v>
      </c>
      <c r="B865" t="s">
        <v>28</v>
      </c>
      <c r="C865" t="s">
        <v>29</v>
      </c>
      <c r="D865" t="s">
        <v>64</v>
      </c>
      <c r="E865">
        <v>2009</v>
      </c>
      <c r="F865">
        <v>240000</v>
      </c>
      <c r="G865" t="s">
        <v>31</v>
      </c>
      <c r="H865" t="s">
        <v>2645</v>
      </c>
      <c r="I865" t="s">
        <v>34</v>
      </c>
      <c r="J865" t="s">
        <v>3841</v>
      </c>
      <c r="K865" t="s">
        <v>31</v>
      </c>
      <c r="L865" t="s">
        <v>100</v>
      </c>
      <c r="M865" t="s">
        <v>27</v>
      </c>
      <c r="N865" t="s">
        <v>27</v>
      </c>
      <c r="O865" t="s">
        <v>27</v>
      </c>
      <c r="P865" t="s">
        <v>31</v>
      </c>
      <c r="Q865" t="s">
        <v>31</v>
      </c>
      <c r="R865" t="s">
        <v>31</v>
      </c>
      <c r="S865" t="s">
        <v>31</v>
      </c>
      <c r="T865" t="s">
        <v>31</v>
      </c>
    </row>
    <row r="866" spans="1:20" hidden="1" x14ac:dyDescent="0.3">
      <c r="A866" t="s">
        <v>695</v>
      </c>
      <c r="B866" t="s">
        <v>28</v>
      </c>
      <c r="C866" t="s">
        <v>29</v>
      </c>
      <c r="D866" t="s">
        <v>97</v>
      </c>
      <c r="E866">
        <v>2009</v>
      </c>
      <c r="F866">
        <v>2500000</v>
      </c>
      <c r="G866" t="s">
        <v>3842</v>
      </c>
      <c r="H866" t="s">
        <v>2645</v>
      </c>
      <c r="I866" t="s">
        <v>34</v>
      </c>
      <c r="J866" t="s">
        <v>3843</v>
      </c>
      <c r="K866" t="s">
        <v>31</v>
      </c>
      <c r="L866" t="s">
        <v>181</v>
      </c>
      <c r="M866" t="s">
        <v>27</v>
      </c>
      <c r="N866" t="s">
        <v>27</v>
      </c>
      <c r="O866" t="s">
        <v>27</v>
      </c>
      <c r="P866" t="s">
        <v>31</v>
      </c>
      <c r="Q866">
        <v>146</v>
      </c>
      <c r="R866" t="s">
        <v>31</v>
      </c>
      <c r="S866" t="s">
        <v>31</v>
      </c>
      <c r="T866" t="s">
        <v>31</v>
      </c>
    </row>
    <row r="867" spans="1:20" hidden="1" x14ac:dyDescent="0.3">
      <c r="A867" t="s">
        <v>696</v>
      </c>
      <c r="B867" t="s">
        <v>28</v>
      </c>
      <c r="C867" t="s">
        <v>29</v>
      </c>
      <c r="D867" t="s">
        <v>30</v>
      </c>
      <c r="E867">
        <v>2009</v>
      </c>
      <c r="F867" t="s">
        <v>31</v>
      </c>
      <c r="G867" t="s">
        <v>31</v>
      </c>
      <c r="H867" t="s">
        <v>2739</v>
      </c>
      <c r="I867" t="s">
        <v>77</v>
      </c>
      <c r="J867" t="s">
        <v>3844</v>
      </c>
      <c r="K867" t="s">
        <v>31</v>
      </c>
      <c r="L867" t="s">
        <v>31</v>
      </c>
      <c r="M867" t="s">
        <v>27</v>
      </c>
      <c r="N867" t="s">
        <v>27</v>
      </c>
      <c r="O867" t="s">
        <v>27</v>
      </c>
      <c r="P867" t="s">
        <v>31</v>
      </c>
      <c r="Q867" t="s">
        <v>31</v>
      </c>
      <c r="R867" t="s">
        <v>31</v>
      </c>
      <c r="S867" t="s">
        <v>31</v>
      </c>
      <c r="T867" t="s">
        <v>31</v>
      </c>
    </row>
    <row r="868" spans="1:20" hidden="1" x14ac:dyDescent="0.3">
      <c r="A868" t="s">
        <v>697</v>
      </c>
      <c r="B868" t="s">
        <v>28</v>
      </c>
      <c r="C868" t="s">
        <v>29</v>
      </c>
      <c r="D868" t="s">
        <v>30</v>
      </c>
      <c r="E868">
        <v>2009</v>
      </c>
      <c r="F868" t="s">
        <v>31</v>
      </c>
      <c r="G868" t="s">
        <v>31</v>
      </c>
      <c r="H868" t="s">
        <v>2645</v>
      </c>
      <c r="I868" t="s">
        <v>34</v>
      </c>
      <c r="J868" t="s">
        <v>3845</v>
      </c>
      <c r="K868" t="s">
        <v>31</v>
      </c>
      <c r="L868" t="s">
        <v>87</v>
      </c>
      <c r="M868" t="s">
        <v>27</v>
      </c>
      <c r="N868" t="s">
        <v>27</v>
      </c>
      <c r="O868" t="s">
        <v>27</v>
      </c>
      <c r="P868" t="s">
        <v>31</v>
      </c>
      <c r="Q868" t="s">
        <v>31</v>
      </c>
      <c r="R868" t="s">
        <v>31</v>
      </c>
      <c r="S868" t="s">
        <v>31</v>
      </c>
      <c r="T868" t="s">
        <v>31</v>
      </c>
    </row>
    <row r="869" spans="1:20" hidden="1" x14ac:dyDescent="0.3">
      <c r="A869" t="s">
        <v>698</v>
      </c>
      <c r="B869" t="s">
        <v>28</v>
      </c>
      <c r="C869" t="s">
        <v>29</v>
      </c>
      <c r="D869" t="s">
        <v>64</v>
      </c>
      <c r="E869">
        <v>2009</v>
      </c>
      <c r="F869" t="s">
        <v>31</v>
      </c>
      <c r="G869" t="s">
        <v>3846</v>
      </c>
      <c r="H869" t="s">
        <v>2769</v>
      </c>
      <c r="I869" t="s">
        <v>117</v>
      </c>
      <c r="J869" t="s">
        <v>3847</v>
      </c>
      <c r="K869" t="s">
        <v>31</v>
      </c>
      <c r="L869" t="s">
        <v>31</v>
      </c>
      <c r="M869" t="s">
        <v>27</v>
      </c>
      <c r="N869" t="s">
        <v>27</v>
      </c>
      <c r="O869" t="s">
        <v>27</v>
      </c>
      <c r="P869" t="s">
        <v>31</v>
      </c>
      <c r="Q869" t="s">
        <v>31</v>
      </c>
      <c r="R869" t="s">
        <v>31</v>
      </c>
      <c r="S869" t="s">
        <v>31</v>
      </c>
      <c r="T869" t="s">
        <v>31</v>
      </c>
    </row>
    <row r="870" spans="1:20" hidden="1" x14ac:dyDescent="0.3">
      <c r="A870" t="s">
        <v>699</v>
      </c>
      <c r="B870" t="s">
        <v>28</v>
      </c>
      <c r="C870" t="s">
        <v>29</v>
      </c>
      <c r="D870" t="s">
        <v>30</v>
      </c>
      <c r="E870">
        <v>2009</v>
      </c>
      <c r="F870">
        <v>40000</v>
      </c>
      <c r="G870" t="s">
        <v>3848</v>
      </c>
      <c r="H870" t="s">
        <v>2672</v>
      </c>
      <c r="I870" t="s">
        <v>73</v>
      </c>
      <c r="J870" t="s">
        <v>3849</v>
      </c>
      <c r="K870" t="s">
        <v>31</v>
      </c>
      <c r="L870" t="s">
        <v>82</v>
      </c>
      <c r="M870" t="s">
        <v>33</v>
      </c>
      <c r="N870" t="s">
        <v>27</v>
      </c>
      <c r="O870" t="s">
        <v>33</v>
      </c>
      <c r="P870" t="s">
        <v>31</v>
      </c>
      <c r="Q870">
        <v>206</v>
      </c>
      <c r="R870" t="s">
        <v>31</v>
      </c>
      <c r="S870" t="s">
        <v>31</v>
      </c>
      <c r="T870" t="s">
        <v>31</v>
      </c>
    </row>
    <row r="871" spans="1:20" hidden="1" x14ac:dyDescent="0.3">
      <c r="A871" t="s">
        <v>700</v>
      </c>
      <c r="B871" t="s">
        <v>51</v>
      </c>
      <c r="C871" t="s">
        <v>37</v>
      </c>
      <c r="D871" t="s">
        <v>121</v>
      </c>
      <c r="E871">
        <v>2009</v>
      </c>
      <c r="F871">
        <v>500000</v>
      </c>
      <c r="G871" t="s">
        <v>3850</v>
      </c>
      <c r="H871" t="s">
        <v>2645</v>
      </c>
      <c r="I871" t="s">
        <v>34</v>
      </c>
      <c r="J871" t="s">
        <v>3851</v>
      </c>
      <c r="K871" t="s">
        <v>2649</v>
      </c>
      <c r="L871" t="s">
        <v>31</v>
      </c>
      <c r="M871" t="s">
        <v>27</v>
      </c>
      <c r="N871" t="s">
        <v>27</v>
      </c>
      <c r="O871" t="s">
        <v>33</v>
      </c>
      <c r="P871" t="s">
        <v>31</v>
      </c>
      <c r="Q871" t="s">
        <v>31</v>
      </c>
      <c r="R871" t="s">
        <v>31</v>
      </c>
      <c r="S871" t="s">
        <v>31</v>
      </c>
      <c r="T871" t="s">
        <v>31</v>
      </c>
    </row>
    <row r="872" spans="1:20" hidden="1" x14ac:dyDescent="0.3">
      <c r="A872" t="s">
        <v>701</v>
      </c>
      <c r="B872" t="s">
        <v>28</v>
      </c>
      <c r="C872" t="s">
        <v>29</v>
      </c>
      <c r="D872" t="s">
        <v>30</v>
      </c>
      <c r="E872">
        <v>2009</v>
      </c>
      <c r="F872" t="s">
        <v>31</v>
      </c>
      <c r="G872" t="s">
        <v>3852</v>
      </c>
      <c r="H872" t="s">
        <v>2675</v>
      </c>
      <c r="I872" t="s">
        <v>81</v>
      </c>
      <c r="J872" t="s">
        <v>3853</v>
      </c>
      <c r="K872" t="s">
        <v>31</v>
      </c>
      <c r="L872" t="s">
        <v>37</v>
      </c>
      <c r="M872" t="s">
        <v>27</v>
      </c>
      <c r="N872" t="s">
        <v>27</v>
      </c>
      <c r="O872" t="s">
        <v>27</v>
      </c>
      <c r="P872" t="s">
        <v>31</v>
      </c>
      <c r="Q872">
        <v>140</v>
      </c>
      <c r="R872" t="s">
        <v>31</v>
      </c>
      <c r="S872" t="s">
        <v>31</v>
      </c>
      <c r="T872" t="s">
        <v>31</v>
      </c>
    </row>
    <row r="873" spans="1:20" hidden="1" x14ac:dyDescent="0.3">
      <c r="A873" t="s">
        <v>702</v>
      </c>
      <c r="B873" t="s">
        <v>28</v>
      </c>
      <c r="C873" t="s">
        <v>29</v>
      </c>
      <c r="D873" t="s">
        <v>30</v>
      </c>
      <c r="E873">
        <v>2009</v>
      </c>
      <c r="F873">
        <v>939000</v>
      </c>
      <c r="G873" t="s">
        <v>3852</v>
      </c>
      <c r="H873" t="s">
        <v>2680</v>
      </c>
      <c r="I873" t="s">
        <v>115</v>
      </c>
      <c r="J873" t="s">
        <v>3854</v>
      </c>
      <c r="K873" t="s">
        <v>31</v>
      </c>
      <c r="L873" t="s">
        <v>82</v>
      </c>
      <c r="M873" t="s">
        <v>33</v>
      </c>
      <c r="N873" t="s">
        <v>33</v>
      </c>
      <c r="O873" t="s">
        <v>33</v>
      </c>
      <c r="P873">
        <v>16597</v>
      </c>
      <c r="Q873" t="s">
        <v>31</v>
      </c>
      <c r="R873">
        <v>13.77</v>
      </c>
      <c r="S873">
        <v>-89</v>
      </c>
      <c r="T873" t="s">
        <v>31</v>
      </c>
    </row>
    <row r="874" spans="1:20" hidden="1" x14ac:dyDescent="0.3">
      <c r="A874" t="s">
        <v>703</v>
      </c>
      <c r="B874" t="s">
        <v>43</v>
      </c>
      <c r="C874" t="s">
        <v>2665</v>
      </c>
      <c r="D874" t="s">
        <v>114</v>
      </c>
      <c r="E874">
        <v>2009</v>
      </c>
      <c r="F874" t="s">
        <v>31</v>
      </c>
      <c r="G874" t="s">
        <v>31</v>
      </c>
      <c r="H874" t="s">
        <v>2680</v>
      </c>
      <c r="I874" t="s">
        <v>115</v>
      </c>
      <c r="J874" t="s">
        <v>31</v>
      </c>
      <c r="K874" t="s">
        <v>31</v>
      </c>
      <c r="L874" t="s">
        <v>31</v>
      </c>
      <c r="M874" t="s">
        <v>27</v>
      </c>
      <c r="N874" t="s">
        <v>27</v>
      </c>
      <c r="O874" t="s">
        <v>27</v>
      </c>
      <c r="P874" t="s">
        <v>31</v>
      </c>
      <c r="Q874" t="s">
        <v>31</v>
      </c>
      <c r="R874" t="s">
        <v>31</v>
      </c>
      <c r="S874" t="s">
        <v>31</v>
      </c>
      <c r="T874" t="s">
        <v>31</v>
      </c>
    </row>
    <row r="875" spans="1:20" hidden="1" x14ac:dyDescent="0.3">
      <c r="A875" t="s">
        <v>704</v>
      </c>
      <c r="B875" t="s">
        <v>39</v>
      </c>
      <c r="C875" t="s">
        <v>157</v>
      </c>
      <c r="D875" t="s">
        <v>157</v>
      </c>
      <c r="E875">
        <v>2009</v>
      </c>
      <c r="F875">
        <v>1700</v>
      </c>
      <c r="G875" t="s">
        <v>3855</v>
      </c>
      <c r="H875" t="s">
        <v>2666</v>
      </c>
      <c r="I875" t="s">
        <v>109</v>
      </c>
      <c r="J875" t="s">
        <v>3856</v>
      </c>
      <c r="K875" t="s">
        <v>3857</v>
      </c>
      <c r="L875" t="s">
        <v>31</v>
      </c>
      <c r="M875" t="s">
        <v>27</v>
      </c>
      <c r="N875" t="s">
        <v>27</v>
      </c>
      <c r="O875" t="s">
        <v>33</v>
      </c>
      <c r="P875" t="s">
        <v>31</v>
      </c>
      <c r="Q875" t="s">
        <v>31</v>
      </c>
      <c r="R875" t="s">
        <v>31</v>
      </c>
      <c r="S875" t="s">
        <v>31</v>
      </c>
      <c r="T875" t="s">
        <v>31</v>
      </c>
    </row>
    <row r="876" spans="1:20" hidden="1" x14ac:dyDescent="0.3">
      <c r="A876" t="s">
        <v>705</v>
      </c>
      <c r="B876" t="s">
        <v>39</v>
      </c>
      <c r="C876" t="s">
        <v>157</v>
      </c>
      <c r="D876" t="s">
        <v>157</v>
      </c>
      <c r="E876">
        <v>2009</v>
      </c>
      <c r="F876">
        <v>27000</v>
      </c>
      <c r="G876" t="s">
        <v>3855</v>
      </c>
      <c r="H876" t="s">
        <v>2680</v>
      </c>
      <c r="I876" t="s">
        <v>115</v>
      </c>
      <c r="J876" t="s">
        <v>2681</v>
      </c>
      <c r="K876" t="s">
        <v>3206</v>
      </c>
      <c r="L876" t="s">
        <v>31</v>
      </c>
      <c r="M876" t="s">
        <v>27</v>
      </c>
      <c r="N876" t="s">
        <v>27</v>
      </c>
      <c r="O876" t="s">
        <v>27</v>
      </c>
      <c r="P876" t="s">
        <v>31</v>
      </c>
      <c r="Q876" t="s">
        <v>31</v>
      </c>
      <c r="R876" t="s">
        <v>31</v>
      </c>
      <c r="S876" t="s">
        <v>31</v>
      </c>
      <c r="T876" t="s">
        <v>31</v>
      </c>
    </row>
    <row r="877" spans="1:20" hidden="1" x14ac:dyDescent="0.3">
      <c r="A877" t="s">
        <v>1030</v>
      </c>
      <c r="B877" t="s">
        <v>51</v>
      </c>
      <c r="C877" t="s">
        <v>2655</v>
      </c>
      <c r="D877" t="s">
        <v>134</v>
      </c>
      <c r="E877">
        <v>2009</v>
      </c>
      <c r="F877" t="s">
        <v>31</v>
      </c>
      <c r="G877" t="s">
        <v>31</v>
      </c>
      <c r="H877" t="s">
        <v>2678</v>
      </c>
      <c r="I877" t="s">
        <v>53</v>
      </c>
      <c r="J877" t="s">
        <v>3858</v>
      </c>
      <c r="K877" t="s">
        <v>2649</v>
      </c>
      <c r="L877" t="s">
        <v>31</v>
      </c>
      <c r="M877" t="s">
        <v>27</v>
      </c>
      <c r="N877" t="s">
        <v>27</v>
      </c>
      <c r="O877" t="s">
        <v>27</v>
      </c>
      <c r="P877" t="s">
        <v>31</v>
      </c>
      <c r="Q877" t="s">
        <v>31</v>
      </c>
      <c r="R877" t="s">
        <v>31</v>
      </c>
      <c r="S877" t="s">
        <v>31</v>
      </c>
      <c r="T877" t="s">
        <v>31</v>
      </c>
    </row>
    <row r="878" spans="1:20" hidden="1" x14ac:dyDescent="0.3">
      <c r="A878" t="s">
        <v>1031</v>
      </c>
      <c r="B878" t="s">
        <v>43</v>
      </c>
      <c r="C878" t="s">
        <v>2665</v>
      </c>
      <c r="D878" t="s">
        <v>114</v>
      </c>
      <c r="E878">
        <v>2009</v>
      </c>
      <c r="F878" t="s">
        <v>31</v>
      </c>
      <c r="G878" t="s">
        <v>3859</v>
      </c>
      <c r="H878" t="s">
        <v>2658</v>
      </c>
      <c r="I878" t="s">
        <v>130</v>
      </c>
      <c r="J878" t="s">
        <v>3860</v>
      </c>
      <c r="K878" t="s">
        <v>31</v>
      </c>
      <c r="L878" t="s">
        <v>31</v>
      </c>
      <c r="M878" t="s">
        <v>27</v>
      </c>
      <c r="N878" t="s">
        <v>27</v>
      </c>
      <c r="O878" t="s">
        <v>27</v>
      </c>
      <c r="P878" t="s">
        <v>31</v>
      </c>
      <c r="Q878" t="s">
        <v>31</v>
      </c>
      <c r="R878" t="s">
        <v>31</v>
      </c>
      <c r="S878" t="s">
        <v>31</v>
      </c>
      <c r="T878" t="s">
        <v>31</v>
      </c>
    </row>
    <row r="879" spans="1:20" hidden="1" x14ac:dyDescent="0.3">
      <c r="A879" t="s">
        <v>1032</v>
      </c>
      <c r="B879" t="s">
        <v>51</v>
      </c>
      <c r="C879" t="s">
        <v>37</v>
      </c>
      <c r="D879" t="s">
        <v>121</v>
      </c>
      <c r="E879">
        <v>2009</v>
      </c>
      <c r="F879" t="s">
        <v>31</v>
      </c>
      <c r="G879" t="s">
        <v>31</v>
      </c>
      <c r="H879" t="s">
        <v>2749</v>
      </c>
      <c r="I879" t="s">
        <v>45</v>
      </c>
      <c r="J879" t="s">
        <v>3861</v>
      </c>
      <c r="K879" t="s">
        <v>2664</v>
      </c>
      <c r="L879" t="s">
        <v>31</v>
      </c>
      <c r="M879" t="s">
        <v>27</v>
      </c>
      <c r="N879" t="s">
        <v>27</v>
      </c>
      <c r="O879" t="s">
        <v>27</v>
      </c>
      <c r="P879" t="s">
        <v>31</v>
      </c>
      <c r="Q879">
        <v>5754</v>
      </c>
      <c r="R879">
        <v>19.559999999999999</v>
      </c>
      <c r="S879">
        <v>-72.33</v>
      </c>
      <c r="T879" t="s">
        <v>31</v>
      </c>
    </row>
    <row r="880" spans="1:20" hidden="1" x14ac:dyDescent="0.3">
      <c r="A880" t="s">
        <v>1033</v>
      </c>
      <c r="B880" t="s">
        <v>91</v>
      </c>
      <c r="C880" t="s">
        <v>92</v>
      </c>
      <c r="D880" t="s">
        <v>93</v>
      </c>
      <c r="E880">
        <v>2009</v>
      </c>
      <c r="F880">
        <v>100000</v>
      </c>
      <c r="G880" t="s">
        <v>3862</v>
      </c>
      <c r="H880" t="s">
        <v>2753</v>
      </c>
      <c r="I880" t="s">
        <v>49</v>
      </c>
      <c r="J880" t="s">
        <v>3863</v>
      </c>
      <c r="K880" t="s">
        <v>31</v>
      </c>
      <c r="L880" t="s">
        <v>54</v>
      </c>
      <c r="M880" t="s">
        <v>27</v>
      </c>
      <c r="N880" t="s">
        <v>27</v>
      </c>
      <c r="O880" t="s">
        <v>27</v>
      </c>
      <c r="P880" t="s">
        <v>31</v>
      </c>
      <c r="Q880">
        <v>7.3</v>
      </c>
      <c r="R880">
        <v>16.731000000000002</v>
      </c>
      <c r="S880">
        <v>-86.216999999999999</v>
      </c>
      <c r="T880" t="s">
        <v>31</v>
      </c>
    </row>
    <row r="881" spans="1:20" hidden="1" x14ac:dyDescent="0.3">
      <c r="A881" t="s">
        <v>1034</v>
      </c>
      <c r="B881" t="s">
        <v>51</v>
      </c>
      <c r="C881" t="s">
        <v>37</v>
      </c>
      <c r="D881" t="s">
        <v>121</v>
      </c>
      <c r="E881">
        <v>2009</v>
      </c>
      <c r="F881" t="s">
        <v>31</v>
      </c>
      <c r="G881" t="s">
        <v>31</v>
      </c>
      <c r="H881" t="s">
        <v>2656</v>
      </c>
      <c r="I881" t="s">
        <v>119</v>
      </c>
      <c r="J881" t="s">
        <v>3864</v>
      </c>
      <c r="K881" t="s">
        <v>2664</v>
      </c>
      <c r="L881" t="s">
        <v>402</v>
      </c>
      <c r="M881" t="s">
        <v>27</v>
      </c>
      <c r="N881" t="s">
        <v>27</v>
      </c>
      <c r="O881" t="s">
        <v>27</v>
      </c>
      <c r="P881" t="s">
        <v>31</v>
      </c>
      <c r="Q881" t="s">
        <v>31</v>
      </c>
      <c r="R881" t="s">
        <v>31</v>
      </c>
      <c r="S881" t="s">
        <v>31</v>
      </c>
      <c r="T881" t="s">
        <v>31</v>
      </c>
    </row>
    <row r="882" spans="1:20" hidden="1" x14ac:dyDescent="0.3">
      <c r="A882" t="s">
        <v>1035</v>
      </c>
      <c r="B882" t="s">
        <v>51</v>
      </c>
      <c r="C882" t="s">
        <v>37</v>
      </c>
      <c r="D882" t="s">
        <v>121</v>
      </c>
      <c r="E882">
        <v>2009</v>
      </c>
      <c r="F882" t="s">
        <v>31</v>
      </c>
      <c r="G882" t="s">
        <v>3839</v>
      </c>
      <c r="H882" t="s">
        <v>2675</v>
      </c>
      <c r="I882" t="s">
        <v>81</v>
      </c>
      <c r="J882" t="s">
        <v>3865</v>
      </c>
      <c r="K882" t="s">
        <v>2649</v>
      </c>
      <c r="L882" t="s">
        <v>54</v>
      </c>
      <c r="M882" t="s">
        <v>27</v>
      </c>
      <c r="N882" t="s">
        <v>27</v>
      </c>
      <c r="O882" t="s">
        <v>27</v>
      </c>
      <c r="P882" t="s">
        <v>31</v>
      </c>
      <c r="Q882" t="s">
        <v>31</v>
      </c>
      <c r="R882">
        <v>13.42</v>
      </c>
      <c r="S882">
        <v>-88.64</v>
      </c>
      <c r="T882" t="s">
        <v>31</v>
      </c>
    </row>
    <row r="883" spans="1:20" x14ac:dyDescent="0.3">
      <c r="A883" t="s">
        <v>1036</v>
      </c>
      <c r="B883" t="s">
        <v>51</v>
      </c>
      <c r="C883" t="s">
        <v>37</v>
      </c>
      <c r="D883" t="s">
        <v>121</v>
      </c>
      <c r="E883">
        <v>2009</v>
      </c>
      <c r="F883">
        <v>50000</v>
      </c>
      <c r="G883" t="s">
        <v>3866</v>
      </c>
      <c r="H883" t="s">
        <v>2656</v>
      </c>
      <c r="I883" t="s">
        <v>119</v>
      </c>
      <c r="J883" t="s">
        <v>2602</v>
      </c>
      <c r="K883" t="s">
        <v>2725</v>
      </c>
      <c r="L883" t="s">
        <v>31</v>
      </c>
      <c r="M883" t="s">
        <v>27</v>
      </c>
      <c r="N883" t="s">
        <v>27</v>
      </c>
      <c r="O883" t="s">
        <v>27</v>
      </c>
      <c r="P883" t="s">
        <v>31</v>
      </c>
      <c r="Q883" t="s">
        <v>31</v>
      </c>
      <c r="R883">
        <v>56.477800000000002</v>
      </c>
      <c r="S883">
        <v>31.26</v>
      </c>
      <c r="T883" t="s">
        <v>31</v>
      </c>
    </row>
    <row r="884" spans="1:20" hidden="1" x14ac:dyDescent="0.3">
      <c r="A884" t="s">
        <v>1037</v>
      </c>
      <c r="B884" t="s">
        <v>28</v>
      </c>
      <c r="C884" t="s">
        <v>2685</v>
      </c>
      <c r="D884" t="s">
        <v>68</v>
      </c>
      <c r="E884">
        <v>2009</v>
      </c>
      <c r="F884" t="s">
        <v>31</v>
      </c>
      <c r="G884" t="s">
        <v>3867</v>
      </c>
      <c r="H884" t="s">
        <v>2678</v>
      </c>
      <c r="I884" t="s">
        <v>53</v>
      </c>
      <c r="J884" t="s">
        <v>3868</v>
      </c>
      <c r="K884" t="s">
        <v>31</v>
      </c>
      <c r="L884" t="s">
        <v>31</v>
      </c>
      <c r="M884" t="s">
        <v>27</v>
      </c>
      <c r="N884" t="s">
        <v>27</v>
      </c>
      <c r="O884" t="s">
        <v>27</v>
      </c>
      <c r="P884" t="s">
        <v>31</v>
      </c>
      <c r="Q884">
        <v>0</v>
      </c>
      <c r="R884" t="s">
        <v>31</v>
      </c>
      <c r="S884" t="s">
        <v>31</v>
      </c>
      <c r="T884" t="s">
        <v>31</v>
      </c>
    </row>
    <row r="885" spans="1:20" hidden="1" x14ac:dyDescent="0.3">
      <c r="A885" t="s">
        <v>1038</v>
      </c>
      <c r="B885" t="s">
        <v>28</v>
      </c>
      <c r="C885" t="s">
        <v>29</v>
      </c>
      <c r="D885" t="s">
        <v>64</v>
      </c>
      <c r="E885">
        <v>2009</v>
      </c>
      <c r="F885" t="s">
        <v>31</v>
      </c>
      <c r="G885" t="s">
        <v>3846</v>
      </c>
      <c r="H885" t="s">
        <v>2658</v>
      </c>
      <c r="I885" t="s">
        <v>130</v>
      </c>
      <c r="J885" t="s">
        <v>3869</v>
      </c>
      <c r="K885" t="s">
        <v>31</v>
      </c>
      <c r="L885" t="s">
        <v>31</v>
      </c>
      <c r="M885" t="s">
        <v>27</v>
      </c>
      <c r="N885" t="s">
        <v>27</v>
      </c>
      <c r="O885" t="s">
        <v>27</v>
      </c>
      <c r="P885" t="s">
        <v>31</v>
      </c>
      <c r="Q885" t="s">
        <v>31</v>
      </c>
      <c r="R885" t="s">
        <v>31</v>
      </c>
      <c r="S885" t="s">
        <v>31</v>
      </c>
      <c r="T885" t="s">
        <v>31</v>
      </c>
    </row>
    <row r="886" spans="1:20" hidden="1" x14ac:dyDescent="0.3">
      <c r="A886" t="s">
        <v>1039</v>
      </c>
      <c r="B886" t="s">
        <v>51</v>
      </c>
      <c r="C886" t="s">
        <v>37</v>
      </c>
      <c r="D886" t="s">
        <v>121</v>
      </c>
      <c r="E886">
        <v>2009</v>
      </c>
      <c r="F886" t="s">
        <v>31</v>
      </c>
      <c r="G886" t="s">
        <v>3870</v>
      </c>
      <c r="H886" t="s">
        <v>2672</v>
      </c>
      <c r="I886" t="s">
        <v>73</v>
      </c>
      <c r="J886" t="s">
        <v>3871</v>
      </c>
      <c r="K886" t="s">
        <v>3054</v>
      </c>
      <c r="L886" t="s">
        <v>31</v>
      </c>
      <c r="M886" t="s">
        <v>27</v>
      </c>
      <c r="N886" t="s">
        <v>27</v>
      </c>
      <c r="O886" t="s">
        <v>33</v>
      </c>
      <c r="P886" t="s">
        <v>31</v>
      </c>
      <c r="Q886">
        <v>34560</v>
      </c>
      <c r="R886">
        <v>19.5</v>
      </c>
      <c r="S886">
        <v>-99.25</v>
      </c>
      <c r="T886" t="s">
        <v>31</v>
      </c>
    </row>
    <row r="887" spans="1:20" hidden="1" x14ac:dyDescent="0.3">
      <c r="A887" t="s">
        <v>1040</v>
      </c>
      <c r="B887" t="s">
        <v>28</v>
      </c>
      <c r="C887" t="s">
        <v>29</v>
      </c>
      <c r="D887" t="s">
        <v>97</v>
      </c>
      <c r="E887">
        <v>2009</v>
      </c>
      <c r="F887">
        <v>850000</v>
      </c>
      <c r="G887" t="s">
        <v>31</v>
      </c>
      <c r="H887" t="s">
        <v>2645</v>
      </c>
      <c r="I887" t="s">
        <v>34</v>
      </c>
      <c r="J887" t="s">
        <v>3872</v>
      </c>
      <c r="K887" t="s">
        <v>31</v>
      </c>
      <c r="L887" t="s">
        <v>31</v>
      </c>
      <c r="M887" t="s">
        <v>27</v>
      </c>
      <c r="N887" t="s">
        <v>27</v>
      </c>
      <c r="O887" t="s">
        <v>27</v>
      </c>
      <c r="P887" t="s">
        <v>31</v>
      </c>
      <c r="Q887" t="s">
        <v>31</v>
      </c>
      <c r="R887" t="s">
        <v>31</v>
      </c>
      <c r="S887" t="s">
        <v>31</v>
      </c>
      <c r="T887" t="s">
        <v>31</v>
      </c>
    </row>
    <row r="888" spans="1:20" hidden="1" x14ac:dyDescent="0.3">
      <c r="A888" t="s">
        <v>1042</v>
      </c>
      <c r="B888" t="s">
        <v>51</v>
      </c>
      <c r="C888" t="s">
        <v>37</v>
      </c>
      <c r="D888" t="s">
        <v>121</v>
      </c>
      <c r="E888">
        <v>2009</v>
      </c>
      <c r="F888" t="s">
        <v>31</v>
      </c>
      <c r="G888" t="s">
        <v>3873</v>
      </c>
      <c r="H888" t="s">
        <v>2658</v>
      </c>
      <c r="I888" t="s">
        <v>130</v>
      </c>
      <c r="J888" t="s">
        <v>3874</v>
      </c>
      <c r="K888" t="s">
        <v>2649</v>
      </c>
      <c r="L888" t="s">
        <v>31</v>
      </c>
      <c r="M888" t="s">
        <v>27</v>
      </c>
      <c r="N888" t="s">
        <v>27</v>
      </c>
      <c r="O888" t="s">
        <v>33</v>
      </c>
      <c r="P888" t="s">
        <v>31</v>
      </c>
      <c r="Q888">
        <v>415000</v>
      </c>
      <c r="R888">
        <v>-32.99</v>
      </c>
      <c r="S888">
        <v>-59.05</v>
      </c>
      <c r="T888" t="s">
        <v>31</v>
      </c>
    </row>
    <row r="889" spans="1:20" hidden="1" x14ac:dyDescent="0.3">
      <c r="A889" t="s">
        <v>1043</v>
      </c>
      <c r="B889" t="s">
        <v>43</v>
      </c>
      <c r="C889" t="s">
        <v>2665</v>
      </c>
      <c r="D889" t="s">
        <v>114</v>
      </c>
      <c r="E889">
        <v>2009</v>
      </c>
      <c r="F889" t="s">
        <v>31</v>
      </c>
      <c r="G889" t="s">
        <v>31</v>
      </c>
      <c r="H889" t="s">
        <v>2753</v>
      </c>
      <c r="I889" t="s">
        <v>49</v>
      </c>
      <c r="J889" t="s">
        <v>3875</v>
      </c>
      <c r="K889" t="s">
        <v>31</v>
      </c>
      <c r="L889" t="s">
        <v>31</v>
      </c>
      <c r="M889" t="s">
        <v>27</v>
      </c>
      <c r="N889" t="s">
        <v>27</v>
      </c>
      <c r="O889" t="s">
        <v>27</v>
      </c>
      <c r="P889" t="s">
        <v>31</v>
      </c>
      <c r="Q889" t="s">
        <v>31</v>
      </c>
      <c r="R889" t="s">
        <v>31</v>
      </c>
      <c r="S889" t="s">
        <v>31</v>
      </c>
      <c r="T889" t="s">
        <v>31</v>
      </c>
    </row>
    <row r="890" spans="1:20" hidden="1" x14ac:dyDescent="0.3">
      <c r="A890" t="s">
        <v>1044</v>
      </c>
      <c r="B890" t="s">
        <v>51</v>
      </c>
      <c r="C890" t="s">
        <v>37</v>
      </c>
      <c r="D890" t="s">
        <v>121</v>
      </c>
      <c r="E890">
        <v>2009</v>
      </c>
      <c r="F890" t="s">
        <v>31</v>
      </c>
      <c r="G890" t="s">
        <v>31</v>
      </c>
      <c r="H890" t="s">
        <v>2656</v>
      </c>
      <c r="I890" t="s">
        <v>119</v>
      </c>
      <c r="J890" t="s">
        <v>3876</v>
      </c>
      <c r="K890" t="s">
        <v>3252</v>
      </c>
      <c r="L890" t="s">
        <v>31</v>
      </c>
      <c r="M890" t="s">
        <v>27</v>
      </c>
      <c r="N890" t="s">
        <v>27</v>
      </c>
      <c r="O890" t="s">
        <v>27</v>
      </c>
      <c r="P890" t="s">
        <v>31</v>
      </c>
      <c r="Q890" t="s">
        <v>31</v>
      </c>
      <c r="R890" t="s">
        <v>31</v>
      </c>
      <c r="S890" t="s">
        <v>31</v>
      </c>
      <c r="T890" t="s">
        <v>31</v>
      </c>
    </row>
    <row r="891" spans="1:20" hidden="1" x14ac:dyDescent="0.3">
      <c r="A891" t="s">
        <v>1045</v>
      </c>
      <c r="B891" t="s">
        <v>51</v>
      </c>
      <c r="C891" t="s">
        <v>37</v>
      </c>
      <c r="D891" t="s">
        <v>121</v>
      </c>
      <c r="E891">
        <v>2009</v>
      </c>
      <c r="F891" t="s">
        <v>31</v>
      </c>
      <c r="G891" t="s">
        <v>31</v>
      </c>
      <c r="H891" t="s">
        <v>2672</v>
      </c>
      <c r="I891" t="s">
        <v>73</v>
      </c>
      <c r="J891" t="s">
        <v>3877</v>
      </c>
      <c r="K891" t="s">
        <v>31</v>
      </c>
      <c r="L891" t="s">
        <v>31</v>
      </c>
      <c r="M891" t="s">
        <v>27</v>
      </c>
      <c r="N891" t="s">
        <v>27</v>
      </c>
      <c r="O891" t="s">
        <v>27</v>
      </c>
      <c r="P891" t="s">
        <v>31</v>
      </c>
      <c r="Q891" t="s">
        <v>31</v>
      </c>
      <c r="R891" t="s">
        <v>31</v>
      </c>
      <c r="S891" t="s">
        <v>31</v>
      </c>
      <c r="T891" t="s">
        <v>31</v>
      </c>
    </row>
    <row r="892" spans="1:20" hidden="1" x14ac:dyDescent="0.3">
      <c r="A892" t="s">
        <v>1046</v>
      </c>
      <c r="B892" t="s">
        <v>43</v>
      </c>
      <c r="C892" t="s">
        <v>2665</v>
      </c>
      <c r="D892" t="s">
        <v>114</v>
      </c>
      <c r="E892">
        <v>2009</v>
      </c>
      <c r="F892" t="s">
        <v>31</v>
      </c>
      <c r="G892" t="s">
        <v>31</v>
      </c>
      <c r="H892" t="s">
        <v>2675</v>
      </c>
      <c r="I892" t="s">
        <v>81</v>
      </c>
      <c r="J892" t="s">
        <v>31</v>
      </c>
      <c r="K892" t="s">
        <v>31</v>
      </c>
      <c r="L892" t="s">
        <v>31</v>
      </c>
      <c r="M892" t="s">
        <v>27</v>
      </c>
      <c r="N892" t="s">
        <v>27</v>
      </c>
      <c r="O892" t="s">
        <v>27</v>
      </c>
      <c r="P892" t="s">
        <v>31</v>
      </c>
      <c r="Q892" t="s">
        <v>31</v>
      </c>
      <c r="R892" t="s">
        <v>31</v>
      </c>
      <c r="S892" t="s">
        <v>31</v>
      </c>
      <c r="T892" t="s">
        <v>31</v>
      </c>
    </row>
    <row r="893" spans="1:20" hidden="1" x14ac:dyDescent="0.3">
      <c r="A893" t="s">
        <v>1047</v>
      </c>
      <c r="B893" t="s">
        <v>43</v>
      </c>
      <c r="C893" t="s">
        <v>2665</v>
      </c>
      <c r="D893" t="s">
        <v>114</v>
      </c>
      <c r="E893">
        <v>2009</v>
      </c>
      <c r="F893" t="s">
        <v>31</v>
      </c>
      <c r="G893" t="s">
        <v>31</v>
      </c>
      <c r="H893" t="s">
        <v>2678</v>
      </c>
      <c r="I893" t="s">
        <v>53</v>
      </c>
      <c r="J893" t="s">
        <v>31</v>
      </c>
      <c r="K893" t="s">
        <v>31</v>
      </c>
      <c r="L893" t="s">
        <v>31</v>
      </c>
      <c r="M893" t="s">
        <v>27</v>
      </c>
      <c r="N893" t="s">
        <v>27</v>
      </c>
      <c r="O893" t="s">
        <v>27</v>
      </c>
      <c r="P893" t="s">
        <v>31</v>
      </c>
      <c r="Q893" t="s">
        <v>31</v>
      </c>
      <c r="R893" t="s">
        <v>31</v>
      </c>
      <c r="S893" t="s">
        <v>31</v>
      </c>
      <c r="T893" t="s">
        <v>31</v>
      </c>
    </row>
    <row r="894" spans="1:20" hidden="1" x14ac:dyDescent="0.3">
      <c r="A894" t="s">
        <v>1048</v>
      </c>
      <c r="B894" t="s">
        <v>51</v>
      </c>
      <c r="C894" t="s">
        <v>2655</v>
      </c>
      <c r="D894" t="s">
        <v>134</v>
      </c>
      <c r="E894">
        <v>2009</v>
      </c>
      <c r="F894" t="s">
        <v>31</v>
      </c>
      <c r="G894" t="s">
        <v>31</v>
      </c>
      <c r="H894" t="s">
        <v>2678</v>
      </c>
      <c r="I894" t="s">
        <v>53</v>
      </c>
      <c r="J894" t="s">
        <v>3878</v>
      </c>
      <c r="K894" t="s">
        <v>2664</v>
      </c>
      <c r="L894" t="s">
        <v>31</v>
      </c>
      <c r="M894" t="s">
        <v>27</v>
      </c>
      <c r="N894" t="s">
        <v>27</v>
      </c>
      <c r="O894" t="s">
        <v>33</v>
      </c>
      <c r="P894" t="s">
        <v>31</v>
      </c>
      <c r="Q894" t="s">
        <v>31</v>
      </c>
      <c r="R894" t="s">
        <v>31</v>
      </c>
      <c r="S894" t="s">
        <v>31</v>
      </c>
      <c r="T894" t="s">
        <v>31</v>
      </c>
    </row>
    <row r="895" spans="1:20" hidden="1" x14ac:dyDescent="0.3">
      <c r="A895" t="s">
        <v>1049</v>
      </c>
      <c r="B895" t="s">
        <v>28</v>
      </c>
      <c r="C895" t="s">
        <v>29</v>
      </c>
      <c r="D895" t="s">
        <v>67</v>
      </c>
      <c r="E895">
        <v>2009</v>
      </c>
      <c r="F895" t="s">
        <v>31</v>
      </c>
      <c r="G895" t="s">
        <v>31</v>
      </c>
      <c r="H895" t="s">
        <v>2645</v>
      </c>
      <c r="I895" t="s">
        <v>34</v>
      </c>
      <c r="J895" t="s">
        <v>3879</v>
      </c>
      <c r="K895" t="s">
        <v>31</v>
      </c>
      <c r="L895" t="s">
        <v>31</v>
      </c>
      <c r="M895" t="s">
        <v>27</v>
      </c>
      <c r="N895" t="s">
        <v>27</v>
      </c>
      <c r="O895" t="s">
        <v>33</v>
      </c>
      <c r="P895" t="s">
        <v>31</v>
      </c>
      <c r="Q895" t="s">
        <v>31</v>
      </c>
      <c r="R895" t="s">
        <v>31</v>
      </c>
      <c r="S895" t="s">
        <v>31</v>
      </c>
      <c r="T895" t="s">
        <v>31</v>
      </c>
    </row>
    <row r="896" spans="1:20" hidden="1" x14ac:dyDescent="0.3">
      <c r="A896" t="s">
        <v>1050</v>
      </c>
      <c r="B896" t="s">
        <v>28</v>
      </c>
      <c r="C896" t="s">
        <v>29</v>
      </c>
      <c r="D896" t="s">
        <v>97</v>
      </c>
      <c r="E896">
        <v>2009</v>
      </c>
      <c r="F896">
        <v>2000000</v>
      </c>
      <c r="G896" t="s">
        <v>3880</v>
      </c>
      <c r="H896" t="s">
        <v>2645</v>
      </c>
      <c r="I896" t="s">
        <v>34</v>
      </c>
      <c r="J896" t="s">
        <v>3881</v>
      </c>
      <c r="K896" t="s">
        <v>31</v>
      </c>
      <c r="L896" t="s">
        <v>100</v>
      </c>
      <c r="M896" t="s">
        <v>27</v>
      </c>
      <c r="N896" t="s">
        <v>27</v>
      </c>
      <c r="O896" t="s">
        <v>27</v>
      </c>
      <c r="P896" t="s">
        <v>31</v>
      </c>
      <c r="Q896">
        <v>128</v>
      </c>
      <c r="R896" t="s">
        <v>31</v>
      </c>
      <c r="S896" t="s">
        <v>31</v>
      </c>
      <c r="T896" t="s">
        <v>31</v>
      </c>
    </row>
    <row r="897" spans="1:20" hidden="1" x14ac:dyDescent="0.3">
      <c r="A897" t="s">
        <v>1051</v>
      </c>
      <c r="B897" t="s">
        <v>51</v>
      </c>
      <c r="C897" t="s">
        <v>37</v>
      </c>
      <c r="D897" t="s">
        <v>121</v>
      </c>
      <c r="E897">
        <v>2009</v>
      </c>
      <c r="F897" t="s">
        <v>31</v>
      </c>
      <c r="G897" t="s">
        <v>3882</v>
      </c>
      <c r="H897" t="s">
        <v>2672</v>
      </c>
      <c r="I897" t="s">
        <v>73</v>
      </c>
      <c r="J897" t="s">
        <v>3883</v>
      </c>
      <c r="K897" t="s">
        <v>2664</v>
      </c>
      <c r="L897" t="s">
        <v>31</v>
      </c>
      <c r="M897" t="s">
        <v>27</v>
      </c>
      <c r="N897" t="s">
        <v>27</v>
      </c>
      <c r="O897" t="s">
        <v>33</v>
      </c>
      <c r="P897" t="s">
        <v>31</v>
      </c>
      <c r="Q897">
        <v>51610</v>
      </c>
      <c r="R897">
        <v>16.45</v>
      </c>
      <c r="S897">
        <v>-96.97</v>
      </c>
      <c r="T897" t="s">
        <v>31</v>
      </c>
    </row>
    <row r="898" spans="1:20" hidden="1" x14ac:dyDescent="0.3">
      <c r="A898" t="s">
        <v>1610</v>
      </c>
      <c r="B898" t="s">
        <v>51</v>
      </c>
      <c r="C898" t="s">
        <v>37</v>
      </c>
      <c r="D898" t="s">
        <v>121</v>
      </c>
      <c r="E898">
        <v>2009</v>
      </c>
      <c r="F898" t="s">
        <v>31</v>
      </c>
      <c r="G898" t="s">
        <v>3884</v>
      </c>
      <c r="H898" t="s">
        <v>2666</v>
      </c>
      <c r="I898" t="s">
        <v>109</v>
      </c>
      <c r="J898" t="s">
        <v>3885</v>
      </c>
      <c r="K898" t="s">
        <v>2649</v>
      </c>
      <c r="L898" t="s">
        <v>31</v>
      </c>
      <c r="M898" t="s">
        <v>27</v>
      </c>
      <c r="N898" t="s">
        <v>27</v>
      </c>
      <c r="O898" t="s">
        <v>33</v>
      </c>
      <c r="P898" t="s">
        <v>31</v>
      </c>
      <c r="Q898" t="s">
        <v>31</v>
      </c>
      <c r="R898" t="s">
        <v>31</v>
      </c>
      <c r="S898" t="s">
        <v>31</v>
      </c>
      <c r="T898" t="s">
        <v>31</v>
      </c>
    </row>
    <row r="899" spans="1:20" hidden="1" x14ac:dyDescent="0.3">
      <c r="A899" t="s">
        <v>1616</v>
      </c>
      <c r="B899" t="s">
        <v>51</v>
      </c>
      <c r="C899" t="s">
        <v>2655</v>
      </c>
      <c r="D899" t="s">
        <v>134</v>
      </c>
      <c r="E899">
        <v>2009</v>
      </c>
      <c r="F899" t="s">
        <v>31</v>
      </c>
      <c r="G899" t="s">
        <v>31</v>
      </c>
      <c r="H899" t="s">
        <v>2678</v>
      </c>
      <c r="I899" t="s">
        <v>53</v>
      </c>
      <c r="J899" t="s">
        <v>3886</v>
      </c>
      <c r="K899" t="s">
        <v>31</v>
      </c>
      <c r="L899" t="s">
        <v>31</v>
      </c>
      <c r="M899" t="s">
        <v>27</v>
      </c>
      <c r="N899" t="s">
        <v>27</v>
      </c>
      <c r="O899" t="s">
        <v>27</v>
      </c>
      <c r="P899" t="s">
        <v>31</v>
      </c>
      <c r="Q899" t="s">
        <v>31</v>
      </c>
      <c r="R899" t="s">
        <v>31</v>
      </c>
      <c r="S899" t="s">
        <v>31</v>
      </c>
      <c r="T899" t="s">
        <v>31</v>
      </c>
    </row>
    <row r="900" spans="1:20" x14ac:dyDescent="0.3">
      <c r="A900" t="s">
        <v>1617</v>
      </c>
      <c r="B900" t="s">
        <v>51</v>
      </c>
      <c r="C900" t="s">
        <v>37</v>
      </c>
      <c r="D900" t="s">
        <v>121</v>
      </c>
      <c r="E900">
        <v>2009</v>
      </c>
      <c r="F900">
        <v>550000</v>
      </c>
      <c r="G900" t="s">
        <v>3887</v>
      </c>
      <c r="H900" t="s">
        <v>2656</v>
      </c>
      <c r="I900" t="s">
        <v>119</v>
      </c>
      <c r="J900" t="s">
        <v>2616</v>
      </c>
      <c r="K900" t="s">
        <v>2664</v>
      </c>
      <c r="L900" t="s">
        <v>473</v>
      </c>
      <c r="M900" t="s">
        <v>33</v>
      </c>
      <c r="N900" t="s">
        <v>27</v>
      </c>
      <c r="O900" t="s">
        <v>33</v>
      </c>
      <c r="P900">
        <v>768</v>
      </c>
      <c r="Q900">
        <v>524400</v>
      </c>
      <c r="R900">
        <v>-3.19</v>
      </c>
      <c r="S900">
        <v>-45.43</v>
      </c>
      <c r="T900" t="s">
        <v>31</v>
      </c>
    </row>
    <row r="901" spans="1:20" hidden="1" x14ac:dyDescent="0.3">
      <c r="A901" t="s">
        <v>1618</v>
      </c>
      <c r="B901" t="s">
        <v>39</v>
      </c>
      <c r="C901" t="s">
        <v>40</v>
      </c>
      <c r="D901" t="s">
        <v>59</v>
      </c>
      <c r="E901">
        <v>2009</v>
      </c>
      <c r="F901">
        <v>100000</v>
      </c>
      <c r="G901" t="s">
        <v>31</v>
      </c>
      <c r="H901" t="s">
        <v>2645</v>
      </c>
      <c r="I901" t="s">
        <v>34</v>
      </c>
      <c r="J901" t="s">
        <v>3888</v>
      </c>
      <c r="K901" t="s">
        <v>3889</v>
      </c>
      <c r="L901" t="s">
        <v>31</v>
      </c>
      <c r="M901" t="s">
        <v>27</v>
      </c>
      <c r="N901" t="s">
        <v>27</v>
      </c>
      <c r="O901" t="s">
        <v>27</v>
      </c>
      <c r="P901" t="s">
        <v>31</v>
      </c>
      <c r="Q901" t="s">
        <v>31</v>
      </c>
      <c r="R901" t="s">
        <v>31</v>
      </c>
      <c r="S901" t="s">
        <v>31</v>
      </c>
      <c r="T901" t="s">
        <v>31</v>
      </c>
    </row>
    <row r="902" spans="1:20" hidden="1" x14ac:dyDescent="0.3">
      <c r="A902" t="s">
        <v>1619</v>
      </c>
      <c r="B902" t="s">
        <v>51</v>
      </c>
      <c r="C902" t="s">
        <v>37</v>
      </c>
      <c r="D902" t="s">
        <v>121</v>
      </c>
      <c r="E902">
        <v>2009</v>
      </c>
      <c r="F902" t="s">
        <v>31</v>
      </c>
      <c r="G902" t="s">
        <v>31</v>
      </c>
      <c r="H902" t="s">
        <v>2645</v>
      </c>
      <c r="I902" t="s">
        <v>34</v>
      </c>
      <c r="J902" t="s">
        <v>3890</v>
      </c>
      <c r="K902" t="s">
        <v>2664</v>
      </c>
      <c r="L902" t="s">
        <v>54</v>
      </c>
      <c r="M902" t="s">
        <v>27</v>
      </c>
      <c r="N902" t="s">
        <v>27</v>
      </c>
      <c r="O902" t="s">
        <v>33</v>
      </c>
      <c r="P902" t="s">
        <v>31</v>
      </c>
      <c r="Q902">
        <v>16460</v>
      </c>
      <c r="R902">
        <v>37.659999999999997</v>
      </c>
      <c r="S902">
        <v>-81.28</v>
      </c>
      <c r="T902" t="s">
        <v>31</v>
      </c>
    </row>
    <row r="903" spans="1:20" hidden="1" x14ac:dyDescent="0.3">
      <c r="A903" t="s">
        <v>1620</v>
      </c>
      <c r="B903" t="s">
        <v>51</v>
      </c>
      <c r="C903" t="s">
        <v>37</v>
      </c>
      <c r="D903" t="s">
        <v>121</v>
      </c>
      <c r="E903">
        <v>2009</v>
      </c>
      <c r="F903" t="s">
        <v>31</v>
      </c>
      <c r="G903" t="s">
        <v>31</v>
      </c>
      <c r="H903" t="s">
        <v>2739</v>
      </c>
      <c r="I903" t="s">
        <v>77</v>
      </c>
      <c r="J903" t="s">
        <v>3891</v>
      </c>
      <c r="K903" t="s">
        <v>3892</v>
      </c>
      <c r="L903" t="s">
        <v>31</v>
      </c>
      <c r="M903" t="s">
        <v>27</v>
      </c>
      <c r="N903" t="s">
        <v>27</v>
      </c>
      <c r="O903" t="s">
        <v>27</v>
      </c>
      <c r="P903" t="s">
        <v>31</v>
      </c>
      <c r="Q903">
        <v>20490</v>
      </c>
      <c r="R903">
        <v>47.16</v>
      </c>
      <c r="S903">
        <v>-67.63</v>
      </c>
      <c r="T903" t="s">
        <v>31</v>
      </c>
    </row>
    <row r="904" spans="1:20" hidden="1" x14ac:dyDescent="0.3">
      <c r="A904" t="s">
        <v>1621</v>
      </c>
      <c r="B904" t="s">
        <v>51</v>
      </c>
      <c r="C904" t="s">
        <v>37</v>
      </c>
      <c r="D904" t="s">
        <v>121</v>
      </c>
      <c r="E904">
        <v>2009</v>
      </c>
      <c r="F904" t="s">
        <v>31</v>
      </c>
      <c r="G904" t="s">
        <v>31</v>
      </c>
      <c r="H904" t="s">
        <v>2656</v>
      </c>
      <c r="I904" t="s">
        <v>119</v>
      </c>
      <c r="J904" t="s">
        <v>3893</v>
      </c>
      <c r="K904" t="s">
        <v>3054</v>
      </c>
      <c r="L904" t="s">
        <v>31</v>
      </c>
      <c r="M904" t="s">
        <v>27</v>
      </c>
      <c r="N904" t="s">
        <v>27</v>
      </c>
      <c r="O904" t="s">
        <v>27</v>
      </c>
      <c r="P904" t="s">
        <v>31</v>
      </c>
      <c r="Q904" t="s">
        <v>31</v>
      </c>
      <c r="R904" t="s">
        <v>31</v>
      </c>
      <c r="S904" t="s">
        <v>31</v>
      </c>
      <c r="T904" t="s">
        <v>3894</v>
      </c>
    </row>
    <row r="905" spans="1:20" hidden="1" x14ac:dyDescent="0.3">
      <c r="A905" t="s">
        <v>1622</v>
      </c>
      <c r="B905" t="s">
        <v>51</v>
      </c>
      <c r="C905" t="s">
        <v>37</v>
      </c>
      <c r="D905" t="s">
        <v>121</v>
      </c>
      <c r="E905">
        <v>2009</v>
      </c>
      <c r="F905" t="s">
        <v>31</v>
      </c>
      <c r="G905" t="s">
        <v>31</v>
      </c>
      <c r="H905" t="s">
        <v>2672</v>
      </c>
      <c r="I905" t="s">
        <v>73</v>
      </c>
      <c r="J905" t="s">
        <v>3895</v>
      </c>
      <c r="K905" t="s">
        <v>3896</v>
      </c>
      <c r="L905" t="s">
        <v>31</v>
      </c>
      <c r="M905" t="s">
        <v>27</v>
      </c>
      <c r="N905" t="s">
        <v>27</v>
      </c>
      <c r="O905" t="s">
        <v>33</v>
      </c>
      <c r="P905" t="s">
        <v>31</v>
      </c>
      <c r="Q905">
        <v>44320</v>
      </c>
      <c r="R905">
        <v>18.48</v>
      </c>
      <c r="S905">
        <v>-91.05</v>
      </c>
      <c r="T905" t="s">
        <v>31</v>
      </c>
    </row>
    <row r="906" spans="1:20" hidden="1" x14ac:dyDescent="0.3">
      <c r="A906" t="s">
        <v>1623</v>
      </c>
      <c r="B906" t="s">
        <v>51</v>
      </c>
      <c r="C906" t="s">
        <v>37</v>
      </c>
      <c r="D906" t="s">
        <v>121</v>
      </c>
      <c r="E906">
        <v>2009</v>
      </c>
      <c r="F906" t="s">
        <v>31</v>
      </c>
      <c r="G906" t="s">
        <v>31</v>
      </c>
      <c r="H906" t="s">
        <v>2672</v>
      </c>
      <c r="I906" t="s">
        <v>73</v>
      </c>
      <c r="J906" t="s">
        <v>3897</v>
      </c>
      <c r="K906" t="s">
        <v>2664</v>
      </c>
      <c r="L906" t="s">
        <v>54</v>
      </c>
      <c r="M906" t="s">
        <v>27</v>
      </c>
      <c r="N906" t="s">
        <v>27</v>
      </c>
      <c r="O906" t="s">
        <v>27</v>
      </c>
      <c r="P906" t="s">
        <v>31</v>
      </c>
      <c r="Q906" t="s">
        <v>31</v>
      </c>
      <c r="R906" t="s">
        <v>31</v>
      </c>
      <c r="S906" t="s">
        <v>31</v>
      </c>
      <c r="T906" t="s">
        <v>31</v>
      </c>
    </row>
    <row r="907" spans="1:20" hidden="1" x14ac:dyDescent="0.3">
      <c r="A907" t="s">
        <v>1624</v>
      </c>
      <c r="B907" t="s">
        <v>51</v>
      </c>
      <c r="C907" t="s">
        <v>37</v>
      </c>
      <c r="D907" t="s">
        <v>121</v>
      </c>
      <c r="E907">
        <v>2009</v>
      </c>
      <c r="F907" t="s">
        <v>31</v>
      </c>
      <c r="G907" t="s">
        <v>3898</v>
      </c>
      <c r="H907" t="s">
        <v>2749</v>
      </c>
      <c r="I907" t="s">
        <v>45</v>
      </c>
      <c r="J907" t="s">
        <v>3899</v>
      </c>
      <c r="K907" t="s">
        <v>2649</v>
      </c>
      <c r="L907" t="s">
        <v>54</v>
      </c>
      <c r="M907" t="s">
        <v>27</v>
      </c>
      <c r="N907" t="s">
        <v>27</v>
      </c>
      <c r="O907" t="s">
        <v>27</v>
      </c>
      <c r="P907" t="s">
        <v>31</v>
      </c>
      <c r="Q907" t="s">
        <v>31</v>
      </c>
      <c r="R907" t="s">
        <v>31</v>
      </c>
      <c r="S907" t="s">
        <v>31</v>
      </c>
      <c r="T907" t="s">
        <v>31</v>
      </c>
    </row>
    <row r="908" spans="1:20" hidden="1" x14ac:dyDescent="0.3">
      <c r="A908" t="s">
        <v>1625</v>
      </c>
      <c r="B908" t="s">
        <v>28</v>
      </c>
      <c r="C908" t="s">
        <v>29</v>
      </c>
      <c r="D908" t="s">
        <v>30</v>
      </c>
      <c r="E908">
        <v>2009</v>
      </c>
      <c r="F908">
        <v>600000</v>
      </c>
      <c r="G908" t="s">
        <v>3852</v>
      </c>
      <c r="H908" t="s">
        <v>2645</v>
      </c>
      <c r="I908" t="s">
        <v>34</v>
      </c>
      <c r="J908" t="s">
        <v>3900</v>
      </c>
      <c r="K908" t="s">
        <v>31</v>
      </c>
      <c r="L908" t="s">
        <v>37</v>
      </c>
      <c r="M908" t="s">
        <v>27</v>
      </c>
      <c r="N908" t="s">
        <v>27</v>
      </c>
      <c r="O908" t="s">
        <v>33</v>
      </c>
      <c r="P908" t="s">
        <v>31</v>
      </c>
      <c r="Q908" t="s">
        <v>31</v>
      </c>
      <c r="R908" t="s">
        <v>31</v>
      </c>
      <c r="S908" t="s">
        <v>31</v>
      </c>
      <c r="T908" t="s">
        <v>31</v>
      </c>
    </row>
    <row r="909" spans="1:20" hidden="1" x14ac:dyDescent="0.3">
      <c r="A909" t="s">
        <v>1627</v>
      </c>
      <c r="B909" t="s">
        <v>51</v>
      </c>
      <c r="C909" t="s">
        <v>37</v>
      </c>
      <c r="D909" t="s">
        <v>121</v>
      </c>
      <c r="E909">
        <v>2009</v>
      </c>
      <c r="F909" t="s">
        <v>31</v>
      </c>
      <c r="G909" t="s">
        <v>31</v>
      </c>
      <c r="H909" t="s">
        <v>2656</v>
      </c>
      <c r="I909" t="s">
        <v>119</v>
      </c>
      <c r="J909" t="s">
        <v>3901</v>
      </c>
      <c r="K909" t="s">
        <v>2725</v>
      </c>
      <c r="L909" t="s">
        <v>54</v>
      </c>
      <c r="M909" t="s">
        <v>27</v>
      </c>
      <c r="N909" t="s">
        <v>27</v>
      </c>
      <c r="O909" t="s">
        <v>33</v>
      </c>
      <c r="P909" t="s">
        <v>31</v>
      </c>
      <c r="Q909">
        <v>47900</v>
      </c>
      <c r="R909">
        <v>-22.54</v>
      </c>
      <c r="S909">
        <v>-43.12</v>
      </c>
      <c r="T909" t="s">
        <v>31</v>
      </c>
    </row>
    <row r="910" spans="1:20" hidden="1" x14ac:dyDescent="0.3">
      <c r="A910" t="s">
        <v>1628</v>
      </c>
      <c r="B910" t="s">
        <v>51</v>
      </c>
      <c r="C910" t="s">
        <v>37</v>
      </c>
      <c r="D910" t="s">
        <v>121</v>
      </c>
      <c r="E910">
        <v>2009</v>
      </c>
      <c r="F910" t="s">
        <v>31</v>
      </c>
      <c r="G910" t="s">
        <v>3902</v>
      </c>
      <c r="H910" t="s">
        <v>2774</v>
      </c>
      <c r="I910" t="s">
        <v>166</v>
      </c>
      <c r="J910" t="s">
        <v>3903</v>
      </c>
      <c r="K910" t="s">
        <v>2664</v>
      </c>
      <c r="L910" t="s">
        <v>54</v>
      </c>
      <c r="M910" t="s">
        <v>27</v>
      </c>
      <c r="N910" t="s">
        <v>27</v>
      </c>
      <c r="O910" t="s">
        <v>27</v>
      </c>
      <c r="P910" t="s">
        <v>31</v>
      </c>
      <c r="Q910" t="s">
        <v>31</v>
      </c>
      <c r="R910" t="s">
        <v>31</v>
      </c>
      <c r="S910" t="s">
        <v>31</v>
      </c>
      <c r="T910" t="s">
        <v>3904</v>
      </c>
    </row>
    <row r="911" spans="1:20" hidden="1" x14ac:dyDescent="0.3">
      <c r="A911" t="s">
        <v>1629</v>
      </c>
      <c r="B911" t="s">
        <v>51</v>
      </c>
      <c r="C911" t="s">
        <v>37</v>
      </c>
      <c r="D911" t="s">
        <v>121</v>
      </c>
      <c r="E911">
        <v>2009</v>
      </c>
      <c r="F911" t="s">
        <v>31</v>
      </c>
      <c r="G911" t="s">
        <v>31</v>
      </c>
      <c r="H911" t="s">
        <v>2658</v>
      </c>
      <c r="I911" t="s">
        <v>130</v>
      </c>
      <c r="J911" t="s">
        <v>3905</v>
      </c>
      <c r="K911" t="s">
        <v>2649</v>
      </c>
      <c r="L911" t="s">
        <v>31</v>
      </c>
      <c r="M911" t="s">
        <v>27</v>
      </c>
      <c r="N911" t="s">
        <v>27</v>
      </c>
      <c r="O911" t="s">
        <v>27</v>
      </c>
      <c r="P911" t="s">
        <v>31</v>
      </c>
      <c r="Q911" t="s">
        <v>31</v>
      </c>
      <c r="R911" t="s">
        <v>31</v>
      </c>
      <c r="S911" t="s">
        <v>31</v>
      </c>
      <c r="T911" t="s">
        <v>31</v>
      </c>
    </row>
    <row r="912" spans="1:20" hidden="1" x14ac:dyDescent="0.3">
      <c r="A912" t="s">
        <v>1630</v>
      </c>
      <c r="B912" t="s">
        <v>28</v>
      </c>
      <c r="C912" t="s">
        <v>29</v>
      </c>
      <c r="D912" t="s">
        <v>64</v>
      </c>
      <c r="E912">
        <v>2009</v>
      </c>
      <c r="F912">
        <v>1000000</v>
      </c>
      <c r="G912" t="s">
        <v>31</v>
      </c>
      <c r="H912" t="s">
        <v>2645</v>
      </c>
      <c r="I912" t="s">
        <v>34</v>
      </c>
      <c r="J912" t="s">
        <v>3906</v>
      </c>
      <c r="K912" t="s">
        <v>31</v>
      </c>
      <c r="L912" t="s">
        <v>65</v>
      </c>
      <c r="M912" t="s">
        <v>27</v>
      </c>
      <c r="N912" t="s">
        <v>27</v>
      </c>
      <c r="O912" t="s">
        <v>27</v>
      </c>
      <c r="P912" t="s">
        <v>31</v>
      </c>
      <c r="Q912" t="s">
        <v>31</v>
      </c>
      <c r="R912" t="s">
        <v>31</v>
      </c>
      <c r="S912" t="s">
        <v>31</v>
      </c>
      <c r="T912" t="s">
        <v>31</v>
      </c>
    </row>
    <row r="913" spans="1:20" hidden="1" x14ac:dyDescent="0.3">
      <c r="A913" t="s">
        <v>1631</v>
      </c>
      <c r="B913" t="s">
        <v>51</v>
      </c>
      <c r="C913" t="s">
        <v>2655</v>
      </c>
      <c r="D913" t="s">
        <v>134</v>
      </c>
      <c r="E913">
        <v>2009</v>
      </c>
      <c r="F913" t="s">
        <v>31</v>
      </c>
      <c r="G913" t="s">
        <v>31</v>
      </c>
      <c r="H913" t="s">
        <v>2647</v>
      </c>
      <c r="I913" t="s">
        <v>47</v>
      </c>
      <c r="J913" t="s">
        <v>3907</v>
      </c>
      <c r="K913" t="s">
        <v>2649</v>
      </c>
      <c r="L913" t="s">
        <v>31</v>
      </c>
      <c r="M913" t="s">
        <v>27</v>
      </c>
      <c r="N913" t="s">
        <v>27</v>
      </c>
      <c r="O913" t="s">
        <v>27</v>
      </c>
      <c r="P913" t="s">
        <v>31</v>
      </c>
      <c r="Q913" t="s">
        <v>31</v>
      </c>
      <c r="R913" t="s">
        <v>31</v>
      </c>
      <c r="S913" t="s">
        <v>31</v>
      </c>
      <c r="T913" t="s">
        <v>31</v>
      </c>
    </row>
    <row r="914" spans="1:20" hidden="1" x14ac:dyDescent="0.3">
      <c r="A914" t="s">
        <v>1632</v>
      </c>
      <c r="B914" t="s">
        <v>28</v>
      </c>
      <c r="C914" t="s">
        <v>29</v>
      </c>
      <c r="D914" t="s">
        <v>99</v>
      </c>
      <c r="E914">
        <v>2009</v>
      </c>
      <c r="F914">
        <v>1500000</v>
      </c>
      <c r="G914" t="s">
        <v>31</v>
      </c>
      <c r="H914" t="s">
        <v>2645</v>
      </c>
      <c r="I914" t="s">
        <v>34</v>
      </c>
      <c r="J914" t="s">
        <v>3908</v>
      </c>
      <c r="K914" t="s">
        <v>31</v>
      </c>
      <c r="L914" t="s">
        <v>65</v>
      </c>
      <c r="M914" t="s">
        <v>27</v>
      </c>
      <c r="N914" t="s">
        <v>27</v>
      </c>
      <c r="O914" t="s">
        <v>27</v>
      </c>
      <c r="P914" t="s">
        <v>31</v>
      </c>
      <c r="Q914" t="s">
        <v>31</v>
      </c>
      <c r="R914" t="s">
        <v>31</v>
      </c>
      <c r="S914" t="s">
        <v>31</v>
      </c>
      <c r="T914" t="s">
        <v>31</v>
      </c>
    </row>
    <row r="915" spans="1:20" hidden="1" x14ac:dyDescent="0.3">
      <c r="A915" t="s">
        <v>1635</v>
      </c>
      <c r="B915" t="s">
        <v>39</v>
      </c>
      <c r="C915" t="s">
        <v>157</v>
      </c>
      <c r="D915" t="s">
        <v>157</v>
      </c>
      <c r="E915">
        <v>2009</v>
      </c>
      <c r="F915" t="s">
        <v>31</v>
      </c>
      <c r="G915" t="s">
        <v>3855</v>
      </c>
      <c r="H915" t="s">
        <v>2719</v>
      </c>
      <c r="I915" t="s">
        <v>90</v>
      </c>
      <c r="J915" t="s">
        <v>3909</v>
      </c>
      <c r="K915" t="s">
        <v>3910</v>
      </c>
      <c r="L915" t="s">
        <v>196</v>
      </c>
      <c r="M915" t="s">
        <v>27</v>
      </c>
      <c r="N915" t="s">
        <v>27</v>
      </c>
      <c r="O915" t="s">
        <v>33</v>
      </c>
      <c r="P915">
        <v>777</v>
      </c>
      <c r="Q915" t="s">
        <v>31</v>
      </c>
      <c r="R915" t="s">
        <v>31</v>
      </c>
      <c r="S915" t="s">
        <v>31</v>
      </c>
      <c r="T915" t="s">
        <v>31</v>
      </c>
    </row>
    <row r="916" spans="1:20" hidden="1" x14ac:dyDescent="0.3">
      <c r="A916" t="s">
        <v>1636</v>
      </c>
      <c r="B916" t="s">
        <v>39</v>
      </c>
      <c r="C916" t="s">
        <v>157</v>
      </c>
      <c r="D916" t="s">
        <v>157</v>
      </c>
      <c r="E916">
        <v>2009</v>
      </c>
      <c r="F916" t="s">
        <v>31</v>
      </c>
      <c r="G916" t="s">
        <v>3855</v>
      </c>
      <c r="H916" t="s">
        <v>2709</v>
      </c>
      <c r="I916" t="s">
        <v>70</v>
      </c>
      <c r="J916" t="s">
        <v>3275</v>
      </c>
      <c r="K916" t="s">
        <v>31</v>
      </c>
      <c r="L916" t="s">
        <v>31</v>
      </c>
      <c r="M916" t="s">
        <v>27</v>
      </c>
      <c r="N916" t="s">
        <v>27</v>
      </c>
      <c r="O916" t="s">
        <v>33</v>
      </c>
      <c r="P916" t="s">
        <v>31</v>
      </c>
      <c r="Q916" t="s">
        <v>31</v>
      </c>
      <c r="R916" t="s">
        <v>31</v>
      </c>
      <c r="S916" t="s">
        <v>31</v>
      </c>
      <c r="T916" t="s">
        <v>31</v>
      </c>
    </row>
    <row r="917" spans="1:20" hidden="1" x14ac:dyDescent="0.3">
      <c r="A917" t="s">
        <v>1637</v>
      </c>
      <c r="B917" t="s">
        <v>39</v>
      </c>
      <c r="C917" t="s">
        <v>157</v>
      </c>
      <c r="D917" t="s">
        <v>157</v>
      </c>
      <c r="E917">
        <v>2009</v>
      </c>
      <c r="F917" t="s">
        <v>31</v>
      </c>
      <c r="G917" t="s">
        <v>31</v>
      </c>
      <c r="H917" t="s">
        <v>2753</v>
      </c>
      <c r="I917" t="s">
        <v>49</v>
      </c>
      <c r="J917" t="s">
        <v>3911</v>
      </c>
      <c r="K917" t="s">
        <v>3912</v>
      </c>
      <c r="L917" t="s">
        <v>196</v>
      </c>
      <c r="M917" t="s">
        <v>27</v>
      </c>
      <c r="N917" t="s">
        <v>27</v>
      </c>
      <c r="O917" t="s">
        <v>33</v>
      </c>
      <c r="P917" t="s">
        <v>31</v>
      </c>
      <c r="Q917" t="s">
        <v>31</v>
      </c>
      <c r="R917" t="s">
        <v>31</v>
      </c>
      <c r="S917" t="s">
        <v>31</v>
      </c>
      <c r="T917" t="s">
        <v>31</v>
      </c>
    </row>
    <row r="918" spans="1:20" hidden="1" x14ac:dyDescent="0.3">
      <c r="A918" t="s">
        <v>2311</v>
      </c>
      <c r="B918" t="s">
        <v>51</v>
      </c>
      <c r="C918" t="s">
        <v>2655</v>
      </c>
      <c r="D918" t="s">
        <v>2312</v>
      </c>
      <c r="E918">
        <v>2009</v>
      </c>
      <c r="F918" t="s">
        <v>31</v>
      </c>
      <c r="G918" t="s">
        <v>3913</v>
      </c>
      <c r="H918" t="s">
        <v>2678</v>
      </c>
      <c r="I918" t="s">
        <v>53</v>
      </c>
      <c r="J918" t="s">
        <v>3914</v>
      </c>
      <c r="K918" t="s">
        <v>2649</v>
      </c>
      <c r="L918" t="s">
        <v>31</v>
      </c>
      <c r="M918" t="s">
        <v>27</v>
      </c>
      <c r="N918" t="s">
        <v>27</v>
      </c>
      <c r="O918" t="s">
        <v>27</v>
      </c>
      <c r="P918" t="s">
        <v>31</v>
      </c>
      <c r="Q918" t="s">
        <v>31</v>
      </c>
      <c r="R918" t="s">
        <v>31</v>
      </c>
      <c r="S918" t="s">
        <v>31</v>
      </c>
      <c r="T918" t="s">
        <v>31</v>
      </c>
    </row>
    <row r="919" spans="1:20" hidden="1" x14ac:dyDescent="0.3">
      <c r="A919" t="s">
        <v>2322</v>
      </c>
      <c r="B919" t="s">
        <v>51</v>
      </c>
      <c r="C919" t="s">
        <v>2655</v>
      </c>
      <c r="D919" t="s">
        <v>134</v>
      </c>
      <c r="E919">
        <v>2009</v>
      </c>
      <c r="F919" t="s">
        <v>31</v>
      </c>
      <c r="G919" t="s">
        <v>31</v>
      </c>
      <c r="H919" t="s">
        <v>2647</v>
      </c>
      <c r="I919" t="s">
        <v>47</v>
      </c>
      <c r="J919" t="s">
        <v>3915</v>
      </c>
      <c r="K919" t="s">
        <v>31</v>
      </c>
      <c r="L919" t="s">
        <v>31</v>
      </c>
      <c r="M919" t="s">
        <v>27</v>
      </c>
      <c r="N919" t="s">
        <v>27</v>
      </c>
      <c r="O919" t="s">
        <v>27</v>
      </c>
      <c r="P919" t="s">
        <v>31</v>
      </c>
      <c r="Q919" t="s">
        <v>31</v>
      </c>
      <c r="R919" t="s">
        <v>31</v>
      </c>
      <c r="S919" t="s">
        <v>31</v>
      </c>
      <c r="T919" t="s">
        <v>31</v>
      </c>
    </row>
    <row r="920" spans="1:20" hidden="1" x14ac:dyDescent="0.3">
      <c r="A920" t="s">
        <v>2334</v>
      </c>
      <c r="B920" t="s">
        <v>43</v>
      </c>
      <c r="C920" t="s">
        <v>2665</v>
      </c>
      <c r="D920" t="s">
        <v>114</v>
      </c>
      <c r="E920">
        <v>2009</v>
      </c>
      <c r="F920" t="s">
        <v>31</v>
      </c>
      <c r="G920" t="s">
        <v>3859</v>
      </c>
      <c r="H920" t="s">
        <v>2656</v>
      </c>
      <c r="I920" t="s">
        <v>119</v>
      </c>
      <c r="J920" t="s">
        <v>3916</v>
      </c>
      <c r="K920" t="s">
        <v>31</v>
      </c>
      <c r="L920" t="s">
        <v>31</v>
      </c>
      <c r="M920" t="s">
        <v>27</v>
      </c>
      <c r="N920" t="s">
        <v>27</v>
      </c>
      <c r="O920" t="s">
        <v>27</v>
      </c>
      <c r="P920" t="s">
        <v>31</v>
      </c>
      <c r="Q920" t="s">
        <v>31</v>
      </c>
      <c r="R920" t="s">
        <v>31</v>
      </c>
      <c r="S920" t="s">
        <v>31</v>
      </c>
      <c r="T920" t="s">
        <v>31</v>
      </c>
    </row>
    <row r="921" spans="1:20" hidden="1" x14ac:dyDescent="0.3">
      <c r="A921" t="s">
        <v>2336</v>
      </c>
      <c r="B921" t="s">
        <v>51</v>
      </c>
      <c r="C921" t="s">
        <v>37</v>
      </c>
      <c r="D921" t="s">
        <v>121</v>
      </c>
      <c r="E921">
        <v>2009</v>
      </c>
      <c r="F921">
        <v>44000</v>
      </c>
      <c r="G921" t="s">
        <v>3917</v>
      </c>
      <c r="H921" t="s">
        <v>2888</v>
      </c>
      <c r="I921" t="s">
        <v>75</v>
      </c>
      <c r="J921" t="s">
        <v>3918</v>
      </c>
      <c r="K921" t="s">
        <v>2649</v>
      </c>
      <c r="L921" t="s">
        <v>31</v>
      </c>
      <c r="M921" t="s">
        <v>27</v>
      </c>
      <c r="N921" t="s">
        <v>27</v>
      </c>
      <c r="O921" t="s">
        <v>27</v>
      </c>
      <c r="P921" t="s">
        <v>31</v>
      </c>
      <c r="Q921">
        <v>14540</v>
      </c>
      <c r="R921">
        <v>19.32</v>
      </c>
      <c r="S921">
        <v>-70.14</v>
      </c>
      <c r="T921" t="s">
        <v>31</v>
      </c>
    </row>
    <row r="922" spans="1:20" hidden="1" x14ac:dyDescent="0.3">
      <c r="A922" t="s">
        <v>2337</v>
      </c>
      <c r="B922" t="s">
        <v>51</v>
      </c>
      <c r="C922" t="s">
        <v>37</v>
      </c>
      <c r="D922" t="s">
        <v>121</v>
      </c>
      <c r="E922">
        <v>2009</v>
      </c>
      <c r="F922" t="s">
        <v>31</v>
      </c>
      <c r="G922" t="s">
        <v>31</v>
      </c>
      <c r="H922" t="s">
        <v>2656</v>
      </c>
      <c r="I922" t="s">
        <v>119</v>
      </c>
      <c r="J922" t="s">
        <v>3919</v>
      </c>
      <c r="K922" t="s">
        <v>2649</v>
      </c>
      <c r="L922" t="s">
        <v>54</v>
      </c>
      <c r="M922" t="s">
        <v>27</v>
      </c>
      <c r="N922" t="s">
        <v>27</v>
      </c>
      <c r="O922" t="s">
        <v>27</v>
      </c>
      <c r="P922" t="s">
        <v>31</v>
      </c>
      <c r="Q922">
        <v>1186000</v>
      </c>
      <c r="R922">
        <v>-16.59</v>
      </c>
      <c r="S922">
        <v>-44.89</v>
      </c>
      <c r="T922" t="s">
        <v>31</v>
      </c>
    </row>
    <row r="923" spans="1:20" hidden="1" x14ac:dyDescent="0.3">
      <c r="A923" t="s">
        <v>2338</v>
      </c>
      <c r="B923" t="s">
        <v>51</v>
      </c>
      <c r="C923" t="s">
        <v>37</v>
      </c>
      <c r="D923" t="s">
        <v>121</v>
      </c>
      <c r="E923">
        <v>2009</v>
      </c>
      <c r="F923" t="s">
        <v>31</v>
      </c>
      <c r="G923" t="s">
        <v>3920</v>
      </c>
      <c r="H923" t="s">
        <v>2647</v>
      </c>
      <c r="I923" t="s">
        <v>47</v>
      </c>
      <c r="J923" t="s">
        <v>3921</v>
      </c>
      <c r="K923" t="s">
        <v>2649</v>
      </c>
      <c r="L923" t="s">
        <v>54</v>
      </c>
      <c r="M923" t="s">
        <v>33</v>
      </c>
      <c r="N923" t="s">
        <v>27</v>
      </c>
      <c r="O923" t="s">
        <v>33</v>
      </c>
      <c r="P923" t="s">
        <v>31</v>
      </c>
      <c r="Q923">
        <v>72650</v>
      </c>
      <c r="R923">
        <v>4.3600000000000003</v>
      </c>
      <c r="S923">
        <v>-76.510000000000005</v>
      </c>
      <c r="T923" t="s">
        <v>3922</v>
      </c>
    </row>
    <row r="924" spans="1:20" hidden="1" x14ac:dyDescent="0.3">
      <c r="A924" t="s">
        <v>2339</v>
      </c>
      <c r="B924" t="s">
        <v>43</v>
      </c>
      <c r="C924" t="s">
        <v>2665</v>
      </c>
      <c r="D924" t="s">
        <v>114</v>
      </c>
      <c r="E924">
        <v>2009</v>
      </c>
      <c r="F924" t="s">
        <v>31</v>
      </c>
      <c r="G924" t="s">
        <v>31</v>
      </c>
      <c r="H924" t="s">
        <v>2888</v>
      </c>
      <c r="I924" t="s">
        <v>75</v>
      </c>
      <c r="J924" t="s">
        <v>31</v>
      </c>
      <c r="K924" t="s">
        <v>31</v>
      </c>
      <c r="L924" t="s">
        <v>31</v>
      </c>
      <c r="M924" t="s">
        <v>27</v>
      </c>
      <c r="N924" t="s">
        <v>27</v>
      </c>
      <c r="O924" t="s">
        <v>27</v>
      </c>
      <c r="P924" t="s">
        <v>31</v>
      </c>
      <c r="Q924" t="s">
        <v>31</v>
      </c>
      <c r="R924" t="s">
        <v>31</v>
      </c>
      <c r="S924" t="s">
        <v>31</v>
      </c>
      <c r="T924" t="s">
        <v>31</v>
      </c>
    </row>
    <row r="925" spans="1:20" hidden="1" x14ac:dyDescent="0.3">
      <c r="A925" t="s">
        <v>2340</v>
      </c>
      <c r="B925" t="s">
        <v>51</v>
      </c>
      <c r="C925" t="s">
        <v>37</v>
      </c>
      <c r="D925" t="s">
        <v>121</v>
      </c>
      <c r="E925">
        <v>2009</v>
      </c>
      <c r="F925">
        <v>8403</v>
      </c>
      <c r="G925" t="s">
        <v>31</v>
      </c>
      <c r="H925" t="s">
        <v>2888</v>
      </c>
      <c r="I925" t="s">
        <v>75</v>
      </c>
      <c r="J925" t="s">
        <v>3923</v>
      </c>
      <c r="K925" t="s">
        <v>2664</v>
      </c>
      <c r="L925" t="s">
        <v>31</v>
      </c>
      <c r="M925" t="s">
        <v>27</v>
      </c>
      <c r="N925" t="s">
        <v>27</v>
      </c>
      <c r="O925" t="s">
        <v>27</v>
      </c>
      <c r="P925" t="s">
        <v>31</v>
      </c>
      <c r="Q925">
        <v>15150</v>
      </c>
      <c r="R925">
        <v>19.28</v>
      </c>
      <c r="S925">
        <v>-70.08</v>
      </c>
      <c r="T925" t="s">
        <v>31</v>
      </c>
    </row>
    <row r="926" spans="1:20" hidden="1" x14ac:dyDescent="0.3">
      <c r="A926" t="s">
        <v>2341</v>
      </c>
      <c r="B926" t="s">
        <v>28</v>
      </c>
      <c r="C926" t="s">
        <v>2685</v>
      </c>
      <c r="D926" t="s">
        <v>68</v>
      </c>
      <c r="E926">
        <v>2009</v>
      </c>
      <c r="F926">
        <v>1100000</v>
      </c>
      <c r="G926" t="s">
        <v>31</v>
      </c>
      <c r="H926" t="s">
        <v>2645</v>
      </c>
      <c r="I926" t="s">
        <v>34</v>
      </c>
      <c r="J926" t="s">
        <v>3924</v>
      </c>
      <c r="K926" t="s">
        <v>31</v>
      </c>
      <c r="L926" t="s">
        <v>31</v>
      </c>
      <c r="M926" t="s">
        <v>27</v>
      </c>
      <c r="N926" t="s">
        <v>27</v>
      </c>
      <c r="O926" t="s">
        <v>27</v>
      </c>
      <c r="P926" t="s">
        <v>31</v>
      </c>
      <c r="Q926" t="s">
        <v>31</v>
      </c>
      <c r="R926" t="s">
        <v>31</v>
      </c>
      <c r="S926" t="s">
        <v>31</v>
      </c>
      <c r="T926" t="s">
        <v>31</v>
      </c>
    </row>
    <row r="927" spans="1:20" hidden="1" x14ac:dyDescent="0.3">
      <c r="A927" t="s">
        <v>2342</v>
      </c>
      <c r="B927" t="s">
        <v>51</v>
      </c>
      <c r="C927" t="s">
        <v>37</v>
      </c>
      <c r="D927" t="s">
        <v>121</v>
      </c>
      <c r="E927">
        <v>2009</v>
      </c>
      <c r="F927">
        <v>166000</v>
      </c>
      <c r="G927" t="s">
        <v>31</v>
      </c>
      <c r="H927" t="s">
        <v>2645</v>
      </c>
      <c r="I927" t="s">
        <v>34</v>
      </c>
      <c r="J927" t="s">
        <v>3925</v>
      </c>
      <c r="K927" t="s">
        <v>3926</v>
      </c>
      <c r="L927" t="s">
        <v>31</v>
      </c>
      <c r="M927" t="s">
        <v>27</v>
      </c>
      <c r="N927" t="s">
        <v>27</v>
      </c>
      <c r="O927" t="s">
        <v>33</v>
      </c>
      <c r="P927" t="s">
        <v>31</v>
      </c>
      <c r="Q927">
        <v>39740</v>
      </c>
      <c r="R927">
        <v>48.25</v>
      </c>
      <c r="S927">
        <v>-97.03</v>
      </c>
      <c r="T927" t="s">
        <v>3927</v>
      </c>
    </row>
    <row r="928" spans="1:20" hidden="1" x14ac:dyDescent="0.3">
      <c r="A928" t="s">
        <v>2343</v>
      </c>
      <c r="B928" t="s">
        <v>51</v>
      </c>
      <c r="C928" t="s">
        <v>37</v>
      </c>
      <c r="D928" t="s">
        <v>121</v>
      </c>
      <c r="E928">
        <v>2009</v>
      </c>
      <c r="F928" t="s">
        <v>31</v>
      </c>
      <c r="G928" t="s">
        <v>3928</v>
      </c>
      <c r="H928" t="s">
        <v>2675</v>
      </c>
      <c r="I928" t="s">
        <v>81</v>
      </c>
      <c r="J928" t="s">
        <v>3929</v>
      </c>
      <c r="K928" t="s">
        <v>31</v>
      </c>
      <c r="L928" t="s">
        <v>31</v>
      </c>
      <c r="M928" t="s">
        <v>27</v>
      </c>
      <c r="N928" t="s">
        <v>27</v>
      </c>
      <c r="O928" t="s">
        <v>27</v>
      </c>
      <c r="P928" t="s">
        <v>31</v>
      </c>
      <c r="Q928" t="s">
        <v>31</v>
      </c>
      <c r="R928" t="s">
        <v>31</v>
      </c>
      <c r="S928" t="s">
        <v>31</v>
      </c>
      <c r="T928" t="s">
        <v>3930</v>
      </c>
    </row>
    <row r="929" spans="1:20" hidden="1" x14ac:dyDescent="0.3">
      <c r="A929" t="s">
        <v>2344</v>
      </c>
      <c r="B929" t="s">
        <v>39</v>
      </c>
      <c r="C929" t="s">
        <v>40</v>
      </c>
      <c r="D929" t="s">
        <v>59</v>
      </c>
      <c r="E929">
        <v>2009</v>
      </c>
      <c r="F929" t="s">
        <v>31</v>
      </c>
      <c r="G929" t="s">
        <v>31</v>
      </c>
      <c r="H929" t="s">
        <v>2645</v>
      </c>
      <c r="I929" t="s">
        <v>34</v>
      </c>
      <c r="J929" t="s">
        <v>3931</v>
      </c>
      <c r="K929" t="s">
        <v>31</v>
      </c>
      <c r="L929" t="s">
        <v>31</v>
      </c>
      <c r="M929" t="s">
        <v>27</v>
      </c>
      <c r="N929" t="s">
        <v>27</v>
      </c>
      <c r="O929" t="s">
        <v>33</v>
      </c>
      <c r="P929" t="s">
        <v>31</v>
      </c>
      <c r="Q929" t="s">
        <v>31</v>
      </c>
      <c r="R929" t="s">
        <v>31</v>
      </c>
      <c r="S929" t="s">
        <v>31</v>
      </c>
      <c r="T929" t="s">
        <v>31</v>
      </c>
    </row>
    <row r="930" spans="1:20" hidden="1" x14ac:dyDescent="0.3">
      <c r="A930" t="s">
        <v>2345</v>
      </c>
      <c r="B930" t="s">
        <v>28</v>
      </c>
      <c r="C930" t="s">
        <v>29</v>
      </c>
      <c r="D930" t="s">
        <v>64</v>
      </c>
      <c r="E930">
        <v>2009</v>
      </c>
      <c r="F930" t="s">
        <v>31</v>
      </c>
      <c r="G930" t="s">
        <v>3846</v>
      </c>
      <c r="H930" t="s">
        <v>2656</v>
      </c>
      <c r="I930" t="s">
        <v>119</v>
      </c>
      <c r="J930" t="s">
        <v>3932</v>
      </c>
      <c r="K930" t="s">
        <v>31</v>
      </c>
      <c r="L930" t="s">
        <v>54</v>
      </c>
      <c r="M930" t="s">
        <v>27</v>
      </c>
      <c r="N930" t="s">
        <v>27</v>
      </c>
      <c r="O930" t="s">
        <v>27</v>
      </c>
      <c r="P930" t="s">
        <v>31</v>
      </c>
      <c r="Q930" t="s">
        <v>31</v>
      </c>
      <c r="R930" t="s">
        <v>31</v>
      </c>
      <c r="S930" t="s">
        <v>31</v>
      </c>
      <c r="T930" t="s">
        <v>31</v>
      </c>
    </row>
    <row r="931" spans="1:20" hidden="1" x14ac:dyDescent="0.3">
      <c r="A931" t="s">
        <v>2346</v>
      </c>
      <c r="B931" t="s">
        <v>51</v>
      </c>
      <c r="C931" t="s">
        <v>37</v>
      </c>
      <c r="D931" t="s">
        <v>56</v>
      </c>
      <c r="E931">
        <v>2009</v>
      </c>
      <c r="F931" t="s">
        <v>31</v>
      </c>
      <c r="G931" t="s">
        <v>3933</v>
      </c>
      <c r="H931" t="s">
        <v>2749</v>
      </c>
      <c r="I931" t="s">
        <v>45</v>
      </c>
      <c r="J931" t="s">
        <v>3934</v>
      </c>
      <c r="K931" t="s">
        <v>2649</v>
      </c>
      <c r="L931" t="s">
        <v>54</v>
      </c>
      <c r="M931" t="s">
        <v>27</v>
      </c>
      <c r="N931" t="s">
        <v>27</v>
      </c>
      <c r="O931" t="s">
        <v>27</v>
      </c>
      <c r="P931" t="s">
        <v>31</v>
      </c>
      <c r="Q931" t="s">
        <v>31</v>
      </c>
      <c r="R931" t="s">
        <v>31</v>
      </c>
      <c r="S931" t="s">
        <v>31</v>
      </c>
      <c r="T931" t="s">
        <v>31</v>
      </c>
    </row>
    <row r="932" spans="1:20" hidden="1" x14ac:dyDescent="0.3">
      <c r="A932" t="s">
        <v>2347</v>
      </c>
      <c r="B932" t="s">
        <v>51</v>
      </c>
      <c r="C932" t="s">
        <v>37</v>
      </c>
      <c r="D932" t="s">
        <v>121</v>
      </c>
      <c r="E932">
        <v>2009</v>
      </c>
      <c r="F932">
        <v>820</v>
      </c>
      <c r="G932" t="s">
        <v>3935</v>
      </c>
      <c r="H932" t="s">
        <v>2769</v>
      </c>
      <c r="I932" t="s">
        <v>117</v>
      </c>
      <c r="J932" t="s">
        <v>3936</v>
      </c>
      <c r="K932" t="s">
        <v>3937</v>
      </c>
      <c r="L932" t="s">
        <v>31</v>
      </c>
      <c r="M932" t="s">
        <v>27</v>
      </c>
      <c r="N932" t="s">
        <v>27</v>
      </c>
      <c r="O932" t="s">
        <v>27</v>
      </c>
      <c r="P932" t="s">
        <v>31</v>
      </c>
      <c r="Q932">
        <v>163300</v>
      </c>
      <c r="R932">
        <v>-25.1</v>
      </c>
      <c r="S932">
        <v>-56.27</v>
      </c>
      <c r="T932" t="s">
        <v>3938</v>
      </c>
    </row>
    <row r="933" spans="1:20" hidden="1" x14ac:dyDescent="0.3">
      <c r="A933" t="s">
        <v>2348</v>
      </c>
      <c r="B933" t="s">
        <v>28</v>
      </c>
      <c r="C933" t="s">
        <v>29</v>
      </c>
      <c r="D933" t="s">
        <v>30</v>
      </c>
      <c r="E933">
        <v>2009</v>
      </c>
      <c r="F933" t="s">
        <v>31</v>
      </c>
      <c r="G933" t="s">
        <v>3852</v>
      </c>
      <c r="H933" t="s">
        <v>2672</v>
      </c>
      <c r="I933" t="s">
        <v>73</v>
      </c>
      <c r="J933" t="s">
        <v>3895</v>
      </c>
      <c r="K933" t="s">
        <v>31</v>
      </c>
      <c r="L933" t="s">
        <v>31</v>
      </c>
      <c r="M933" t="s">
        <v>27</v>
      </c>
      <c r="N933" t="s">
        <v>27</v>
      </c>
      <c r="O933" t="s">
        <v>33</v>
      </c>
      <c r="P933" t="s">
        <v>31</v>
      </c>
      <c r="Q933" t="s">
        <v>31</v>
      </c>
      <c r="R933" t="s">
        <v>31</v>
      </c>
      <c r="S933" t="s">
        <v>31</v>
      </c>
      <c r="T933" t="s">
        <v>31</v>
      </c>
    </row>
    <row r="934" spans="1:20" hidden="1" x14ac:dyDescent="0.3">
      <c r="A934" t="s">
        <v>2350</v>
      </c>
      <c r="B934" t="s">
        <v>51</v>
      </c>
      <c r="C934" t="s">
        <v>37</v>
      </c>
      <c r="D934" t="s">
        <v>121</v>
      </c>
      <c r="E934">
        <v>2009</v>
      </c>
      <c r="F934" t="s">
        <v>31</v>
      </c>
      <c r="G934" t="s">
        <v>3866</v>
      </c>
      <c r="H934" t="s">
        <v>2730</v>
      </c>
      <c r="I934" t="s">
        <v>57</v>
      </c>
      <c r="J934" t="s">
        <v>3939</v>
      </c>
      <c r="K934" t="s">
        <v>2649</v>
      </c>
      <c r="L934" t="s">
        <v>31</v>
      </c>
      <c r="M934" t="s">
        <v>27</v>
      </c>
      <c r="N934" t="s">
        <v>27</v>
      </c>
      <c r="O934" t="s">
        <v>27</v>
      </c>
      <c r="P934" t="s">
        <v>31</v>
      </c>
      <c r="Q934">
        <v>43490</v>
      </c>
      <c r="R934">
        <v>-31.26</v>
      </c>
      <c r="S934">
        <v>-56.48</v>
      </c>
      <c r="T934" t="s">
        <v>31</v>
      </c>
    </row>
    <row r="935" spans="1:20" hidden="1" x14ac:dyDescent="0.3">
      <c r="A935" t="s">
        <v>2351</v>
      </c>
      <c r="B935" t="s">
        <v>43</v>
      </c>
      <c r="C935" t="s">
        <v>2665</v>
      </c>
      <c r="D935" t="s">
        <v>114</v>
      </c>
      <c r="E935">
        <v>2009</v>
      </c>
      <c r="F935" t="s">
        <v>31</v>
      </c>
      <c r="G935" t="s">
        <v>31</v>
      </c>
      <c r="H935" t="s">
        <v>2769</v>
      </c>
      <c r="I935" t="s">
        <v>117</v>
      </c>
      <c r="J935" t="s">
        <v>31</v>
      </c>
      <c r="K935" t="s">
        <v>31</v>
      </c>
      <c r="L935" t="s">
        <v>31</v>
      </c>
      <c r="M935" t="s">
        <v>27</v>
      </c>
      <c r="N935" t="s">
        <v>27</v>
      </c>
      <c r="O935" t="s">
        <v>27</v>
      </c>
      <c r="P935" t="s">
        <v>31</v>
      </c>
      <c r="Q935">
        <v>1500000</v>
      </c>
      <c r="R935" t="s">
        <v>31</v>
      </c>
      <c r="S935" t="s">
        <v>31</v>
      </c>
      <c r="T935" t="s">
        <v>31</v>
      </c>
    </row>
    <row r="936" spans="1:20" hidden="1" x14ac:dyDescent="0.3">
      <c r="A936" t="s">
        <v>2352</v>
      </c>
      <c r="B936" t="s">
        <v>43</v>
      </c>
      <c r="C936" t="s">
        <v>2665</v>
      </c>
      <c r="D936" t="s">
        <v>114</v>
      </c>
      <c r="E936">
        <v>2009</v>
      </c>
      <c r="F936" t="s">
        <v>31</v>
      </c>
      <c r="G936" t="s">
        <v>3940</v>
      </c>
      <c r="H936" t="s">
        <v>2672</v>
      </c>
      <c r="I936" t="s">
        <v>73</v>
      </c>
      <c r="J936" t="s">
        <v>3941</v>
      </c>
      <c r="K936" t="s">
        <v>3942</v>
      </c>
      <c r="L936" t="s">
        <v>31</v>
      </c>
      <c r="M936" t="s">
        <v>27</v>
      </c>
      <c r="N936" t="s">
        <v>27</v>
      </c>
      <c r="O936" t="s">
        <v>27</v>
      </c>
      <c r="P936" t="s">
        <v>31</v>
      </c>
      <c r="Q936" t="s">
        <v>31</v>
      </c>
      <c r="R936" t="s">
        <v>31</v>
      </c>
      <c r="S936" t="s">
        <v>31</v>
      </c>
      <c r="T936" t="s">
        <v>31</v>
      </c>
    </row>
    <row r="937" spans="1:20" hidden="1" x14ac:dyDescent="0.3">
      <c r="A937" t="s">
        <v>2353</v>
      </c>
      <c r="B937" t="s">
        <v>51</v>
      </c>
      <c r="C937" t="s">
        <v>2655</v>
      </c>
      <c r="D937" t="s">
        <v>150</v>
      </c>
      <c r="E937">
        <v>2009</v>
      </c>
      <c r="F937">
        <v>145000</v>
      </c>
      <c r="G937" t="s">
        <v>31</v>
      </c>
      <c r="H937" t="s">
        <v>2656</v>
      </c>
      <c r="I937" t="s">
        <v>119</v>
      </c>
      <c r="J937" t="s">
        <v>3943</v>
      </c>
      <c r="K937" t="s">
        <v>2649</v>
      </c>
      <c r="L937" t="s">
        <v>382</v>
      </c>
      <c r="M937" t="s">
        <v>27</v>
      </c>
      <c r="N937" t="s">
        <v>27</v>
      </c>
      <c r="O937" t="s">
        <v>27</v>
      </c>
      <c r="P937" t="s">
        <v>31</v>
      </c>
      <c r="Q937" t="s">
        <v>31</v>
      </c>
      <c r="R937">
        <v>-22.98</v>
      </c>
      <c r="S937">
        <v>-44.07</v>
      </c>
      <c r="T937" t="s">
        <v>31</v>
      </c>
    </row>
    <row r="938" spans="1:20" hidden="1" x14ac:dyDescent="0.3">
      <c r="A938" t="s">
        <v>2354</v>
      </c>
      <c r="B938" t="s">
        <v>28</v>
      </c>
      <c r="C938" t="s">
        <v>29</v>
      </c>
      <c r="D938" t="s">
        <v>64</v>
      </c>
      <c r="E938">
        <v>2009</v>
      </c>
      <c r="F938">
        <v>500000</v>
      </c>
      <c r="G938" t="s">
        <v>31</v>
      </c>
      <c r="H938" t="s">
        <v>2739</v>
      </c>
      <c r="I938" t="s">
        <v>77</v>
      </c>
      <c r="J938" t="s">
        <v>3944</v>
      </c>
      <c r="K938" t="s">
        <v>31</v>
      </c>
      <c r="L938" t="s">
        <v>31</v>
      </c>
      <c r="M938" t="s">
        <v>27</v>
      </c>
      <c r="N938" t="s">
        <v>27</v>
      </c>
      <c r="O938" t="s">
        <v>27</v>
      </c>
      <c r="P938" t="s">
        <v>31</v>
      </c>
      <c r="Q938" t="s">
        <v>31</v>
      </c>
      <c r="R938" t="s">
        <v>31</v>
      </c>
      <c r="S938" t="s">
        <v>31</v>
      </c>
      <c r="T938" t="s">
        <v>31</v>
      </c>
    </row>
    <row r="939" spans="1:20" hidden="1" x14ac:dyDescent="0.3">
      <c r="A939" t="s">
        <v>2356</v>
      </c>
      <c r="B939" t="s">
        <v>51</v>
      </c>
      <c r="C939" t="s">
        <v>37</v>
      </c>
      <c r="D939" t="s">
        <v>121</v>
      </c>
      <c r="E939">
        <v>2009</v>
      </c>
      <c r="F939" t="s">
        <v>31</v>
      </c>
      <c r="G939" t="s">
        <v>3945</v>
      </c>
      <c r="H939" t="s">
        <v>2678</v>
      </c>
      <c r="I939" t="s">
        <v>53</v>
      </c>
      <c r="J939" t="s">
        <v>3946</v>
      </c>
      <c r="K939" t="s">
        <v>2725</v>
      </c>
      <c r="L939" t="s">
        <v>54</v>
      </c>
      <c r="M939" t="s">
        <v>27</v>
      </c>
      <c r="N939" t="s">
        <v>27</v>
      </c>
      <c r="O939" t="s">
        <v>33</v>
      </c>
      <c r="P939" t="s">
        <v>31</v>
      </c>
      <c r="Q939">
        <v>135300</v>
      </c>
      <c r="R939">
        <v>-12.99</v>
      </c>
      <c r="S939">
        <v>-72.94</v>
      </c>
      <c r="T939" t="s">
        <v>31</v>
      </c>
    </row>
    <row r="940" spans="1:20" hidden="1" x14ac:dyDescent="0.3">
      <c r="A940" t="s">
        <v>2357</v>
      </c>
      <c r="B940" t="s">
        <v>39</v>
      </c>
      <c r="C940" t="s">
        <v>157</v>
      </c>
      <c r="D940" t="s">
        <v>157</v>
      </c>
      <c r="E940">
        <v>2009</v>
      </c>
      <c r="F940" t="s">
        <v>31</v>
      </c>
      <c r="G940" t="s">
        <v>31</v>
      </c>
      <c r="H940" t="s">
        <v>2658</v>
      </c>
      <c r="I940" t="s">
        <v>130</v>
      </c>
      <c r="J940" t="s">
        <v>3947</v>
      </c>
      <c r="K940" t="s">
        <v>3206</v>
      </c>
      <c r="L940" t="s">
        <v>40</v>
      </c>
      <c r="M940" t="s">
        <v>27</v>
      </c>
      <c r="N940" t="s">
        <v>27</v>
      </c>
      <c r="O940" t="s">
        <v>33</v>
      </c>
      <c r="P940" t="s">
        <v>31</v>
      </c>
      <c r="Q940" t="s">
        <v>31</v>
      </c>
      <c r="R940" t="s">
        <v>31</v>
      </c>
      <c r="S940" t="s">
        <v>31</v>
      </c>
      <c r="T940" t="s">
        <v>31</v>
      </c>
    </row>
    <row r="941" spans="1:20" hidden="1" x14ac:dyDescent="0.3">
      <c r="A941" t="s">
        <v>2358</v>
      </c>
      <c r="B941" t="s">
        <v>39</v>
      </c>
      <c r="C941" t="s">
        <v>157</v>
      </c>
      <c r="D941" t="s">
        <v>157</v>
      </c>
      <c r="E941">
        <v>2009</v>
      </c>
      <c r="F941" t="s">
        <v>31</v>
      </c>
      <c r="G941" t="s">
        <v>3948</v>
      </c>
      <c r="H941" t="s">
        <v>2769</v>
      </c>
      <c r="I941" t="s">
        <v>117</v>
      </c>
      <c r="J941" t="s">
        <v>3949</v>
      </c>
      <c r="K941" t="s">
        <v>3950</v>
      </c>
      <c r="L941" t="s">
        <v>31</v>
      </c>
      <c r="M941" t="s">
        <v>27</v>
      </c>
      <c r="N941" t="s">
        <v>27</v>
      </c>
      <c r="O941" t="s">
        <v>33</v>
      </c>
      <c r="P941" t="s">
        <v>31</v>
      </c>
      <c r="Q941" t="s">
        <v>31</v>
      </c>
      <c r="R941" t="s">
        <v>31</v>
      </c>
      <c r="S941" t="s">
        <v>31</v>
      </c>
      <c r="T941" t="s">
        <v>31</v>
      </c>
    </row>
    <row r="942" spans="1:20" hidden="1" x14ac:dyDescent="0.3">
      <c r="A942" t="s">
        <v>706</v>
      </c>
      <c r="B942" t="s">
        <v>91</v>
      </c>
      <c r="C942" t="s">
        <v>92</v>
      </c>
      <c r="D942" t="s">
        <v>93</v>
      </c>
      <c r="E942">
        <v>2010</v>
      </c>
      <c r="F942">
        <v>12500</v>
      </c>
      <c r="G942" t="s">
        <v>3951</v>
      </c>
      <c r="H942" t="s">
        <v>2645</v>
      </c>
      <c r="I942" t="s">
        <v>34</v>
      </c>
      <c r="J942" t="s">
        <v>3952</v>
      </c>
      <c r="K942" t="s">
        <v>31</v>
      </c>
      <c r="L942" t="s">
        <v>31</v>
      </c>
      <c r="M942" t="s">
        <v>27</v>
      </c>
      <c r="N942" t="s">
        <v>27</v>
      </c>
      <c r="O942" t="s">
        <v>27</v>
      </c>
      <c r="P942" t="s">
        <v>31</v>
      </c>
      <c r="Q942">
        <v>6.5</v>
      </c>
      <c r="R942">
        <v>40.652000000000001</v>
      </c>
      <c r="S942">
        <v>-124.6925</v>
      </c>
      <c r="T942" t="s">
        <v>31</v>
      </c>
    </row>
    <row r="943" spans="1:20" hidden="1" x14ac:dyDescent="0.3">
      <c r="A943" t="s">
        <v>707</v>
      </c>
      <c r="B943" t="s">
        <v>51</v>
      </c>
      <c r="C943" t="s">
        <v>37</v>
      </c>
      <c r="D943" t="s">
        <v>121</v>
      </c>
      <c r="E943">
        <v>2010</v>
      </c>
      <c r="F943" t="s">
        <v>31</v>
      </c>
      <c r="G943" t="s">
        <v>3953</v>
      </c>
      <c r="H943" t="s">
        <v>2666</v>
      </c>
      <c r="I943" t="s">
        <v>109</v>
      </c>
      <c r="J943" t="s">
        <v>3954</v>
      </c>
      <c r="K943" t="s">
        <v>2649</v>
      </c>
      <c r="L943" t="s">
        <v>54</v>
      </c>
      <c r="M943" t="s">
        <v>27</v>
      </c>
      <c r="N943" t="s">
        <v>27</v>
      </c>
      <c r="O943" t="s">
        <v>27</v>
      </c>
      <c r="P943" t="s">
        <v>31</v>
      </c>
      <c r="Q943" t="s">
        <v>31</v>
      </c>
      <c r="R943" t="s">
        <v>31</v>
      </c>
      <c r="S943" t="s">
        <v>31</v>
      </c>
      <c r="T943" t="s">
        <v>31</v>
      </c>
    </row>
    <row r="944" spans="1:20" hidden="1" x14ac:dyDescent="0.3">
      <c r="A944" t="s">
        <v>708</v>
      </c>
      <c r="B944" t="s">
        <v>28</v>
      </c>
      <c r="C944" t="s">
        <v>2685</v>
      </c>
      <c r="D944" t="s">
        <v>95</v>
      </c>
      <c r="E944">
        <v>2010</v>
      </c>
      <c r="F944" t="s">
        <v>31</v>
      </c>
      <c r="G944" t="s">
        <v>31</v>
      </c>
      <c r="H944" t="s">
        <v>2656</v>
      </c>
      <c r="I944" t="s">
        <v>119</v>
      </c>
      <c r="J944" t="s">
        <v>3955</v>
      </c>
      <c r="K944" t="s">
        <v>31</v>
      </c>
      <c r="L944" t="s">
        <v>31</v>
      </c>
      <c r="M944" t="s">
        <v>27</v>
      </c>
      <c r="N944" t="s">
        <v>27</v>
      </c>
      <c r="O944" t="s">
        <v>27</v>
      </c>
      <c r="P944" t="s">
        <v>31</v>
      </c>
      <c r="Q944">
        <v>46.3</v>
      </c>
      <c r="R944" t="s">
        <v>31</v>
      </c>
      <c r="S944" t="s">
        <v>31</v>
      </c>
      <c r="T944" t="s">
        <v>31</v>
      </c>
    </row>
    <row r="945" spans="1:20" hidden="1" x14ac:dyDescent="0.3">
      <c r="A945" t="s">
        <v>709</v>
      </c>
      <c r="B945" t="s">
        <v>28</v>
      </c>
      <c r="C945" t="s">
        <v>29</v>
      </c>
      <c r="D945" t="s">
        <v>67</v>
      </c>
      <c r="E945">
        <v>2010</v>
      </c>
      <c r="F945">
        <v>500000</v>
      </c>
      <c r="G945" t="s">
        <v>31</v>
      </c>
      <c r="H945" t="s">
        <v>2645</v>
      </c>
      <c r="I945" t="s">
        <v>34</v>
      </c>
      <c r="J945" t="s">
        <v>3956</v>
      </c>
      <c r="K945" t="s">
        <v>31</v>
      </c>
      <c r="L945" t="s">
        <v>31</v>
      </c>
      <c r="M945" t="s">
        <v>27</v>
      </c>
      <c r="N945" t="s">
        <v>27</v>
      </c>
      <c r="O945" t="s">
        <v>33</v>
      </c>
      <c r="P945" t="s">
        <v>31</v>
      </c>
      <c r="Q945">
        <v>151</v>
      </c>
      <c r="R945" t="s">
        <v>31</v>
      </c>
      <c r="S945" t="s">
        <v>31</v>
      </c>
      <c r="T945" t="s">
        <v>31</v>
      </c>
    </row>
    <row r="946" spans="1:20" hidden="1" x14ac:dyDescent="0.3">
      <c r="A946" t="s">
        <v>710</v>
      </c>
      <c r="B946" t="s">
        <v>51</v>
      </c>
      <c r="C946" t="s">
        <v>2655</v>
      </c>
      <c r="D946" t="s">
        <v>134</v>
      </c>
      <c r="E946">
        <v>2010</v>
      </c>
      <c r="F946" t="s">
        <v>31</v>
      </c>
      <c r="G946" t="s">
        <v>3957</v>
      </c>
      <c r="H946" t="s">
        <v>2678</v>
      </c>
      <c r="I946" t="s">
        <v>53</v>
      </c>
      <c r="J946" t="s">
        <v>3958</v>
      </c>
      <c r="K946" t="s">
        <v>2649</v>
      </c>
      <c r="L946" t="s">
        <v>31</v>
      </c>
      <c r="M946" t="s">
        <v>27</v>
      </c>
      <c r="N946" t="s">
        <v>27</v>
      </c>
      <c r="O946" t="s">
        <v>27</v>
      </c>
      <c r="P946" t="s">
        <v>31</v>
      </c>
      <c r="Q946" t="s">
        <v>31</v>
      </c>
      <c r="R946" t="s">
        <v>31</v>
      </c>
      <c r="S946" t="s">
        <v>31</v>
      </c>
      <c r="T946" t="s">
        <v>31</v>
      </c>
    </row>
    <row r="947" spans="1:20" hidden="1" x14ac:dyDescent="0.3">
      <c r="A947" t="s">
        <v>711</v>
      </c>
      <c r="B947" t="s">
        <v>28</v>
      </c>
      <c r="C947" t="s">
        <v>29</v>
      </c>
      <c r="D947" t="s">
        <v>30</v>
      </c>
      <c r="E947">
        <v>2010</v>
      </c>
      <c r="F947">
        <v>650000</v>
      </c>
      <c r="G947" t="s">
        <v>3959</v>
      </c>
      <c r="H947" t="s">
        <v>2719</v>
      </c>
      <c r="I947" t="s">
        <v>90</v>
      </c>
      <c r="J947" t="s">
        <v>3960</v>
      </c>
      <c r="K947" t="s">
        <v>31</v>
      </c>
      <c r="L947" t="s">
        <v>54</v>
      </c>
      <c r="M947" t="s">
        <v>33</v>
      </c>
      <c r="N947" t="s">
        <v>27</v>
      </c>
      <c r="O947" t="s">
        <v>27</v>
      </c>
      <c r="P947" t="s">
        <v>31</v>
      </c>
      <c r="Q947" t="s">
        <v>31</v>
      </c>
      <c r="R947" t="s">
        <v>31</v>
      </c>
      <c r="S947" t="s">
        <v>31</v>
      </c>
      <c r="T947" t="s">
        <v>31</v>
      </c>
    </row>
    <row r="948" spans="1:20" hidden="1" x14ac:dyDescent="0.3">
      <c r="A948" t="s">
        <v>712</v>
      </c>
      <c r="B948" t="s">
        <v>28</v>
      </c>
      <c r="C948" t="s">
        <v>29</v>
      </c>
      <c r="D948" t="s">
        <v>30</v>
      </c>
      <c r="E948">
        <v>2010</v>
      </c>
      <c r="F948">
        <v>90000</v>
      </c>
      <c r="G948" t="s">
        <v>3959</v>
      </c>
      <c r="H948" t="s">
        <v>2753</v>
      </c>
      <c r="I948" t="s">
        <v>49</v>
      </c>
      <c r="J948" t="s">
        <v>3961</v>
      </c>
      <c r="K948" t="s">
        <v>31</v>
      </c>
      <c r="L948" t="s">
        <v>31</v>
      </c>
      <c r="M948" t="s">
        <v>33</v>
      </c>
      <c r="N948" t="s">
        <v>27</v>
      </c>
      <c r="O948" t="s">
        <v>33</v>
      </c>
      <c r="P948" t="s">
        <v>31</v>
      </c>
      <c r="Q948" t="s">
        <v>31</v>
      </c>
      <c r="R948" t="s">
        <v>31</v>
      </c>
      <c r="S948" t="s">
        <v>31</v>
      </c>
      <c r="T948" t="s">
        <v>31</v>
      </c>
    </row>
    <row r="949" spans="1:20" hidden="1" x14ac:dyDescent="0.3">
      <c r="A949" t="s">
        <v>713</v>
      </c>
      <c r="B949" t="s">
        <v>28</v>
      </c>
      <c r="C949" t="s">
        <v>29</v>
      </c>
      <c r="D949" t="s">
        <v>30</v>
      </c>
      <c r="E949">
        <v>2010</v>
      </c>
      <c r="F949" t="s">
        <v>31</v>
      </c>
      <c r="G949" t="s">
        <v>3962</v>
      </c>
      <c r="H949" t="s">
        <v>2719</v>
      </c>
      <c r="I949" t="s">
        <v>90</v>
      </c>
      <c r="J949" t="s">
        <v>3963</v>
      </c>
      <c r="K949" t="s">
        <v>31</v>
      </c>
      <c r="L949" t="s">
        <v>31</v>
      </c>
      <c r="M949" t="s">
        <v>27</v>
      </c>
      <c r="N949" t="s">
        <v>27</v>
      </c>
      <c r="O949" t="s">
        <v>27</v>
      </c>
      <c r="P949" t="s">
        <v>31</v>
      </c>
      <c r="Q949" t="s">
        <v>31</v>
      </c>
      <c r="R949" t="s">
        <v>31</v>
      </c>
      <c r="S949" t="s">
        <v>31</v>
      </c>
      <c r="T949" t="s">
        <v>31</v>
      </c>
    </row>
    <row r="950" spans="1:20" hidden="1" x14ac:dyDescent="0.3">
      <c r="A950" t="s">
        <v>714</v>
      </c>
      <c r="B950" t="s">
        <v>28</v>
      </c>
      <c r="C950" t="s">
        <v>29</v>
      </c>
      <c r="D950" t="s">
        <v>30</v>
      </c>
      <c r="E950">
        <v>2010</v>
      </c>
      <c r="F950">
        <v>2000000</v>
      </c>
      <c r="G950" t="s">
        <v>3962</v>
      </c>
      <c r="H950" t="s">
        <v>2672</v>
      </c>
      <c r="I950" t="s">
        <v>73</v>
      </c>
      <c r="J950" t="s">
        <v>3964</v>
      </c>
      <c r="K950" t="s">
        <v>31</v>
      </c>
      <c r="L950" t="s">
        <v>37</v>
      </c>
      <c r="M950" t="s">
        <v>33</v>
      </c>
      <c r="N950" t="s">
        <v>27</v>
      </c>
      <c r="O950" t="s">
        <v>33</v>
      </c>
      <c r="P950">
        <v>224</v>
      </c>
      <c r="Q950">
        <v>135</v>
      </c>
      <c r="R950" t="s">
        <v>31</v>
      </c>
      <c r="S950" t="s">
        <v>31</v>
      </c>
      <c r="T950" t="s">
        <v>31</v>
      </c>
    </row>
    <row r="951" spans="1:20" hidden="1" x14ac:dyDescent="0.3">
      <c r="A951" t="s">
        <v>715</v>
      </c>
      <c r="B951" t="s">
        <v>28</v>
      </c>
      <c r="C951" t="s">
        <v>29</v>
      </c>
      <c r="D951" t="s">
        <v>30</v>
      </c>
      <c r="E951">
        <v>2010</v>
      </c>
      <c r="F951" t="s">
        <v>31</v>
      </c>
      <c r="G951" t="s">
        <v>3962</v>
      </c>
      <c r="H951" t="s">
        <v>2680</v>
      </c>
      <c r="I951" t="s">
        <v>115</v>
      </c>
      <c r="J951" t="s">
        <v>3965</v>
      </c>
      <c r="K951" t="s">
        <v>31</v>
      </c>
      <c r="L951" t="s">
        <v>181</v>
      </c>
      <c r="M951" t="s">
        <v>27</v>
      </c>
      <c r="N951" t="s">
        <v>27</v>
      </c>
      <c r="O951" t="s">
        <v>27</v>
      </c>
      <c r="P951" t="s">
        <v>31</v>
      </c>
      <c r="Q951" t="s">
        <v>31</v>
      </c>
      <c r="R951" t="s">
        <v>31</v>
      </c>
      <c r="S951" t="s">
        <v>31</v>
      </c>
      <c r="T951" t="s">
        <v>31</v>
      </c>
    </row>
    <row r="952" spans="1:20" hidden="1" x14ac:dyDescent="0.3">
      <c r="A952" t="s">
        <v>716</v>
      </c>
      <c r="B952" t="s">
        <v>43</v>
      </c>
      <c r="C952" t="s">
        <v>2665</v>
      </c>
      <c r="D952" t="s">
        <v>114</v>
      </c>
      <c r="E952">
        <v>2010</v>
      </c>
      <c r="F952" t="s">
        <v>31</v>
      </c>
      <c r="G952" t="s">
        <v>3966</v>
      </c>
      <c r="H952" t="s">
        <v>2753</v>
      </c>
      <c r="I952" t="s">
        <v>49</v>
      </c>
      <c r="J952" t="s">
        <v>3967</v>
      </c>
      <c r="K952" t="s">
        <v>31</v>
      </c>
      <c r="L952" t="s">
        <v>31</v>
      </c>
      <c r="M952" t="s">
        <v>27</v>
      </c>
      <c r="N952" t="s">
        <v>27</v>
      </c>
      <c r="O952" t="s">
        <v>33</v>
      </c>
      <c r="P952" t="s">
        <v>31</v>
      </c>
      <c r="Q952" t="s">
        <v>31</v>
      </c>
      <c r="R952" t="s">
        <v>31</v>
      </c>
      <c r="S952" t="s">
        <v>31</v>
      </c>
      <c r="T952" t="s">
        <v>31</v>
      </c>
    </row>
    <row r="953" spans="1:20" hidden="1" x14ac:dyDescent="0.3">
      <c r="A953" t="s">
        <v>717</v>
      </c>
      <c r="B953" t="s">
        <v>28</v>
      </c>
      <c r="C953" t="s">
        <v>2685</v>
      </c>
      <c r="D953" t="s">
        <v>68</v>
      </c>
      <c r="E953">
        <v>2010</v>
      </c>
      <c r="F953" t="s">
        <v>31</v>
      </c>
      <c r="G953" t="s">
        <v>31</v>
      </c>
      <c r="H953" t="s">
        <v>2669</v>
      </c>
      <c r="I953" t="s">
        <v>111</v>
      </c>
      <c r="J953" t="s">
        <v>3968</v>
      </c>
      <c r="K953" t="s">
        <v>31</v>
      </c>
      <c r="L953" t="s">
        <v>31</v>
      </c>
      <c r="M953" t="s">
        <v>27</v>
      </c>
      <c r="N953" t="s">
        <v>27</v>
      </c>
      <c r="O953" t="s">
        <v>27</v>
      </c>
      <c r="P953" t="s">
        <v>31</v>
      </c>
      <c r="Q953">
        <v>4</v>
      </c>
      <c r="R953" t="s">
        <v>31</v>
      </c>
      <c r="S953" t="s">
        <v>31</v>
      </c>
      <c r="T953" t="s">
        <v>31</v>
      </c>
    </row>
    <row r="954" spans="1:20" hidden="1" x14ac:dyDescent="0.3">
      <c r="A954" t="s">
        <v>718</v>
      </c>
      <c r="B954" t="s">
        <v>28</v>
      </c>
      <c r="C954" t="s">
        <v>2685</v>
      </c>
      <c r="D954" t="s">
        <v>68</v>
      </c>
      <c r="E954">
        <v>2010</v>
      </c>
      <c r="F954" t="s">
        <v>31</v>
      </c>
      <c r="G954" t="s">
        <v>31</v>
      </c>
      <c r="H954" t="s">
        <v>2769</v>
      </c>
      <c r="I954" t="s">
        <v>117</v>
      </c>
      <c r="J954" t="s">
        <v>2770</v>
      </c>
      <c r="K954" t="s">
        <v>31</v>
      </c>
      <c r="L954" t="s">
        <v>31</v>
      </c>
      <c r="M954" t="s">
        <v>27</v>
      </c>
      <c r="N954" t="s">
        <v>27</v>
      </c>
      <c r="O954" t="s">
        <v>27</v>
      </c>
      <c r="P954" t="s">
        <v>31</v>
      </c>
      <c r="Q954">
        <v>0</v>
      </c>
      <c r="R954" t="s">
        <v>31</v>
      </c>
      <c r="S954" t="s">
        <v>31</v>
      </c>
      <c r="T954" t="s">
        <v>31</v>
      </c>
    </row>
    <row r="955" spans="1:20" hidden="1" x14ac:dyDescent="0.3">
      <c r="A955" t="s">
        <v>719</v>
      </c>
      <c r="B955" t="s">
        <v>51</v>
      </c>
      <c r="C955" t="s">
        <v>37</v>
      </c>
      <c r="D955" t="s">
        <v>121</v>
      </c>
      <c r="E955">
        <v>2010</v>
      </c>
      <c r="F955" t="s">
        <v>31</v>
      </c>
      <c r="G955" t="s">
        <v>31</v>
      </c>
      <c r="H955" t="s">
        <v>2647</v>
      </c>
      <c r="I955" t="s">
        <v>47</v>
      </c>
      <c r="J955" t="s">
        <v>3969</v>
      </c>
      <c r="K955" t="s">
        <v>31</v>
      </c>
      <c r="L955" t="s">
        <v>31</v>
      </c>
      <c r="M955" t="s">
        <v>27</v>
      </c>
      <c r="N955" t="s">
        <v>27</v>
      </c>
      <c r="O955" t="s">
        <v>27</v>
      </c>
      <c r="P955" t="s">
        <v>31</v>
      </c>
      <c r="Q955" t="s">
        <v>31</v>
      </c>
      <c r="R955" t="s">
        <v>31</v>
      </c>
      <c r="S955" t="s">
        <v>31</v>
      </c>
      <c r="T955" t="s">
        <v>3970</v>
      </c>
    </row>
    <row r="956" spans="1:20" hidden="1" x14ac:dyDescent="0.3">
      <c r="A956" t="s">
        <v>720</v>
      </c>
      <c r="B956" t="s">
        <v>43</v>
      </c>
      <c r="C956" t="s">
        <v>2665</v>
      </c>
      <c r="D956" t="s">
        <v>114</v>
      </c>
      <c r="E956">
        <v>2010</v>
      </c>
      <c r="F956" t="s">
        <v>31</v>
      </c>
      <c r="G956" t="s">
        <v>31</v>
      </c>
      <c r="H956" t="s">
        <v>3557</v>
      </c>
      <c r="I956" t="s">
        <v>244</v>
      </c>
      <c r="J956" t="s">
        <v>31</v>
      </c>
      <c r="K956" t="s">
        <v>31</v>
      </c>
      <c r="L956" t="s">
        <v>31</v>
      </c>
      <c r="M956" t="s">
        <v>27</v>
      </c>
      <c r="N956" t="s">
        <v>27</v>
      </c>
      <c r="O956" t="s">
        <v>27</v>
      </c>
      <c r="P956" t="s">
        <v>31</v>
      </c>
      <c r="Q956" t="s">
        <v>31</v>
      </c>
      <c r="R956" t="s">
        <v>31</v>
      </c>
      <c r="S956" t="s">
        <v>31</v>
      </c>
      <c r="T956" t="s">
        <v>31</v>
      </c>
    </row>
    <row r="957" spans="1:20" hidden="1" x14ac:dyDescent="0.3">
      <c r="A957" t="s">
        <v>721</v>
      </c>
      <c r="B957" t="s">
        <v>28</v>
      </c>
      <c r="C957" t="s">
        <v>29</v>
      </c>
      <c r="D957" t="s">
        <v>30</v>
      </c>
      <c r="E957">
        <v>2010</v>
      </c>
      <c r="F957">
        <v>100000</v>
      </c>
      <c r="G957" t="s">
        <v>3971</v>
      </c>
      <c r="H957" t="s">
        <v>2645</v>
      </c>
      <c r="I957" t="s">
        <v>34</v>
      </c>
      <c r="J957" t="s">
        <v>3972</v>
      </c>
      <c r="K957" t="s">
        <v>31</v>
      </c>
      <c r="L957" t="s">
        <v>181</v>
      </c>
      <c r="M957" t="s">
        <v>27</v>
      </c>
      <c r="N957" t="s">
        <v>27</v>
      </c>
      <c r="O957" t="s">
        <v>33</v>
      </c>
      <c r="P957" t="s">
        <v>31</v>
      </c>
      <c r="Q957" t="s">
        <v>31</v>
      </c>
      <c r="R957" t="s">
        <v>31</v>
      </c>
      <c r="S957" t="s">
        <v>31</v>
      </c>
      <c r="T957" t="s">
        <v>31</v>
      </c>
    </row>
    <row r="958" spans="1:20" hidden="1" x14ac:dyDescent="0.3">
      <c r="A958" t="s">
        <v>722</v>
      </c>
      <c r="B958" t="s">
        <v>28</v>
      </c>
      <c r="C958" t="s">
        <v>29</v>
      </c>
      <c r="D958" t="s">
        <v>30</v>
      </c>
      <c r="E958">
        <v>2010</v>
      </c>
      <c r="F958">
        <v>3900000</v>
      </c>
      <c r="G958" t="s">
        <v>3973</v>
      </c>
      <c r="H958" t="s">
        <v>2672</v>
      </c>
      <c r="I958" t="s">
        <v>73</v>
      </c>
      <c r="J958" t="s">
        <v>3974</v>
      </c>
      <c r="K958" t="s">
        <v>31</v>
      </c>
      <c r="L958" t="s">
        <v>37</v>
      </c>
      <c r="M958" t="s">
        <v>27</v>
      </c>
      <c r="N958" t="s">
        <v>27</v>
      </c>
      <c r="O958" t="s">
        <v>33</v>
      </c>
      <c r="P958">
        <v>50</v>
      </c>
      <c r="Q958">
        <v>195</v>
      </c>
      <c r="R958" t="s">
        <v>31</v>
      </c>
      <c r="S958" t="s">
        <v>31</v>
      </c>
      <c r="T958" t="s">
        <v>31</v>
      </c>
    </row>
    <row r="959" spans="1:20" hidden="1" x14ac:dyDescent="0.3">
      <c r="A959" t="s">
        <v>723</v>
      </c>
      <c r="B959" t="s">
        <v>28</v>
      </c>
      <c r="C959" t="s">
        <v>29</v>
      </c>
      <c r="D959" t="s">
        <v>30</v>
      </c>
      <c r="E959">
        <v>2010</v>
      </c>
      <c r="F959" t="s">
        <v>31</v>
      </c>
      <c r="G959" t="s">
        <v>3975</v>
      </c>
      <c r="H959" t="s">
        <v>2706</v>
      </c>
      <c r="I959" t="s">
        <v>32</v>
      </c>
      <c r="J959" t="s">
        <v>2785</v>
      </c>
      <c r="K959" t="s">
        <v>31</v>
      </c>
      <c r="L959" t="s">
        <v>31</v>
      </c>
      <c r="M959" t="s">
        <v>27</v>
      </c>
      <c r="N959" t="s">
        <v>27</v>
      </c>
      <c r="O959" t="s">
        <v>27</v>
      </c>
      <c r="P959" t="s">
        <v>31</v>
      </c>
      <c r="Q959" t="s">
        <v>31</v>
      </c>
      <c r="R959" t="s">
        <v>31</v>
      </c>
      <c r="S959" t="s">
        <v>31</v>
      </c>
      <c r="T959" t="s">
        <v>31</v>
      </c>
    </row>
    <row r="960" spans="1:20" hidden="1" x14ac:dyDescent="0.3">
      <c r="A960" t="s">
        <v>724</v>
      </c>
      <c r="B960" t="s">
        <v>28</v>
      </c>
      <c r="C960" t="s">
        <v>29</v>
      </c>
      <c r="D960" t="s">
        <v>30</v>
      </c>
      <c r="E960">
        <v>2010</v>
      </c>
      <c r="F960" t="s">
        <v>31</v>
      </c>
      <c r="G960" t="s">
        <v>3975</v>
      </c>
      <c r="H960" t="s">
        <v>2675</v>
      </c>
      <c r="I960" t="s">
        <v>81</v>
      </c>
      <c r="J960" t="s">
        <v>2918</v>
      </c>
      <c r="K960" t="s">
        <v>31</v>
      </c>
      <c r="L960" t="s">
        <v>31</v>
      </c>
      <c r="M960" t="s">
        <v>27</v>
      </c>
      <c r="N960" t="s">
        <v>27</v>
      </c>
      <c r="O960" t="s">
        <v>27</v>
      </c>
      <c r="P960" t="s">
        <v>31</v>
      </c>
      <c r="Q960" t="s">
        <v>31</v>
      </c>
      <c r="R960" t="s">
        <v>31</v>
      </c>
      <c r="S960" t="s">
        <v>31</v>
      </c>
      <c r="T960" t="s">
        <v>31</v>
      </c>
    </row>
    <row r="961" spans="1:20" hidden="1" x14ac:dyDescent="0.3">
      <c r="A961" t="s">
        <v>725</v>
      </c>
      <c r="B961" t="s">
        <v>28</v>
      </c>
      <c r="C961" t="s">
        <v>29</v>
      </c>
      <c r="D961" t="s">
        <v>30</v>
      </c>
      <c r="E961">
        <v>2010</v>
      </c>
      <c r="F961" t="s">
        <v>31</v>
      </c>
      <c r="G961" t="s">
        <v>3975</v>
      </c>
      <c r="H961" t="s">
        <v>2709</v>
      </c>
      <c r="I961" t="s">
        <v>70</v>
      </c>
      <c r="J961" t="s">
        <v>3976</v>
      </c>
      <c r="K961" t="s">
        <v>31</v>
      </c>
      <c r="L961" t="s">
        <v>82</v>
      </c>
      <c r="M961" t="s">
        <v>27</v>
      </c>
      <c r="N961" t="s">
        <v>27</v>
      </c>
      <c r="O961" t="s">
        <v>27</v>
      </c>
      <c r="P961" t="s">
        <v>31</v>
      </c>
      <c r="Q961" t="s">
        <v>31</v>
      </c>
      <c r="R961" t="s">
        <v>31</v>
      </c>
      <c r="S961" t="s">
        <v>31</v>
      </c>
      <c r="T961" t="s">
        <v>31</v>
      </c>
    </row>
    <row r="962" spans="1:20" hidden="1" x14ac:dyDescent="0.3">
      <c r="A962" t="s">
        <v>726</v>
      </c>
      <c r="B962" t="s">
        <v>51</v>
      </c>
      <c r="C962" t="s">
        <v>37</v>
      </c>
      <c r="D962" t="s">
        <v>56</v>
      </c>
      <c r="E962">
        <v>2010</v>
      </c>
      <c r="F962" t="s">
        <v>31</v>
      </c>
      <c r="G962" t="s">
        <v>3977</v>
      </c>
      <c r="H962" t="s">
        <v>3184</v>
      </c>
      <c r="I962" t="s">
        <v>246</v>
      </c>
      <c r="J962" t="s">
        <v>3978</v>
      </c>
      <c r="K962" t="s">
        <v>31</v>
      </c>
      <c r="L962" t="s">
        <v>31</v>
      </c>
      <c r="M962" t="s">
        <v>27</v>
      </c>
      <c r="N962" t="s">
        <v>27</v>
      </c>
      <c r="O962" t="s">
        <v>27</v>
      </c>
      <c r="P962" t="s">
        <v>31</v>
      </c>
      <c r="Q962" t="s">
        <v>31</v>
      </c>
      <c r="R962" t="s">
        <v>31</v>
      </c>
      <c r="S962" t="s">
        <v>31</v>
      </c>
      <c r="T962" t="s">
        <v>31</v>
      </c>
    </row>
    <row r="963" spans="1:20" hidden="1" x14ac:dyDescent="0.3">
      <c r="A963" t="s">
        <v>727</v>
      </c>
      <c r="B963" t="s">
        <v>28</v>
      </c>
      <c r="C963" t="s">
        <v>29</v>
      </c>
      <c r="D963" t="s">
        <v>30</v>
      </c>
      <c r="E963">
        <v>2010</v>
      </c>
      <c r="F963" t="s">
        <v>31</v>
      </c>
      <c r="G963" t="s">
        <v>3979</v>
      </c>
      <c r="H963" t="s">
        <v>2959</v>
      </c>
      <c r="I963" t="s">
        <v>144</v>
      </c>
      <c r="J963" t="s">
        <v>3980</v>
      </c>
      <c r="K963" t="s">
        <v>31</v>
      </c>
      <c r="L963" t="s">
        <v>31</v>
      </c>
      <c r="M963" t="s">
        <v>27</v>
      </c>
      <c r="N963" t="s">
        <v>27</v>
      </c>
      <c r="O963" t="s">
        <v>33</v>
      </c>
      <c r="P963" t="s">
        <v>31</v>
      </c>
      <c r="Q963" t="s">
        <v>31</v>
      </c>
      <c r="R963" t="s">
        <v>31</v>
      </c>
      <c r="S963" t="s">
        <v>31</v>
      </c>
      <c r="T963" t="s">
        <v>31</v>
      </c>
    </row>
    <row r="964" spans="1:20" hidden="1" x14ac:dyDescent="0.3">
      <c r="A964" t="s">
        <v>728</v>
      </c>
      <c r="B964" t="s">
        <v>28</v>
      </c>
      <c r="C964" t="s">
        <v>29</v>
      </c>
      <c r="D964" t="s">
        <v>30</v>
      </c>
      <c r="E964">
        <v>2010</v>
      </c>
      <c r="F964" t="s">
        <v>31</v>
      </c>
      <c r="G964" t="s">
        <v>3979</v>
      </c>
      <c r="H964" t="s">
        <v>2749</v>
      </c>
      <c r="I964" t="s">
        <v>45</v>
      </c>
      <c r="J964" t="s">
        <v>3981</v>
      </c>
      <c r="K964" t="s">
        <v>31</v>
      </c>
      <c r="L964" t="s">
        <v>37</v>
      </c>
      <c r="M964" t="s">
        <v>27</v>
      </c>
      <c r="N964" t="s">
        <v>27</v>
      </c>
      <c r="O964" t="s">
        <v>27</v>
      </c>
      <c r="P964" t="s">
        <v>31</v>
      </c>
      <c r="Q964">
        <v>130</v>
      </c>
      <c r="R964">
        <v>20.48</v>
      </c>
      <c r="S964">
        <v>-75.88</v>
      </c>
      <c r="T964" t="s">
        <v>31</v>
      </c>
    </row>
    <row r="965" spans="1:20" hidden="1" x14ac:dyDescent="0.3">
      <c r="A965" t="s">
        <v>730</v>
      </c>
      <c r="B965" t="s">
        <v>51</v>
      </c>
      <c r="C965" t="s">
        <v>37</v>
      </c>
      <c r="D965" t="s">
        <v>121</v>
      </c>
      <c r="E965">
        <v>2010</v>
      </c>
      <c r="F965" t="s">
        <v>31</v>
      </c>
      <c r="G965" t="s">
        <v>3982</v>
      </c>
      <c r="H965" t="s">
        <v>2774</v>
      </c>
      <c r="I965" t="s">
        <v>166</v>
      </c>
      <c r="J965" t="s">
        <v>3983</v>
      </c>
      <c r="K965" t="s">
        <v>3984</v>
      </c>
      <c r="L965" t="s">
        <v>54</v>
      </c>
      <c r="M965" t="s">
        <v>27</v>
      </c>
      <c r="N965" t="s">
        <v>27</v>
      </c>
      <c r="O965" t="s">
        <v>27</v>
      </c>
      <c r="P965" t="s">
        <v>31</v>
      </c>
      <c r="Q965" t="s">
        <v>31</v>
      </c>
      <c r="R965" t="s">
        <v>31</v>
      </c>
      <c r="S965" t="s">
        <v>31</v>
      </c>
      <c r="T965" t="s">
        <v>31</v>
      </c>
    </row>
    <row r="966" spans="1:20" hidden="1" x14ac:dyDescent="0.3">
      <c r="A966" t="s">
        <v>731</v>
      </c>
      <c r="B966" t="s">
        <v>43</v>
      </c>
      <c r="C966" t="s">
        <v>2665</v>
      </c>
      <c r="D966" t="s">
        <v>44</v>
      </c>
      <c r="E966">
        <v>2010</v>
      </c>
      <c r="F966" t="s">
        <v>31</v>
      </c>
      <c r="G966" t="s">
        <v>31</v>
      </c>
      <c r="H966" t="s">
        <v>2675</v>
      </c>
      <c r="I966" t="s">
        <v>81</v>
      </c>
      <c r="J966" t="s">
        <v>31</v>
      </c>
      <c r="K966" t="s">
        <v>31</v>
      </c>
      <c r="L966" t="s">
        <v>31</v>
      </c>
      <c r="M966" t="s">
        <v>27</v>
      </c>
      <c r="N966" t="s">
        <v>27</v>
      </c>
      <c r="O966" t="s">
        <v>33</v>
      </c>
      <c r="P966" t="s">
        <v>31</v>
      </c>
      <c r="Q966" t="s">
        <v>31</v>
      </c>
      <c r="R966" t="s">
        <v>31</v>
      </c>
      <c r="S966" t="s">
        <v>31</v>
      </c>
      <c r="T966" t="s">
        <v>31</v>
      </c>
    </row>
    <row r="967" spans="1:20" hidden="1" x14ac:dyDescent="0.3">
      <c r="A967" t="s">
        <v>732</v>
      </c>
      <c r="B967" t="s">
        <v>28</v>
      </c>
      <c r="C967" t="s">
        <v>29</v>
      </c>
      <c r="D967" t="s">
        <v>189</v>
      </c>
      <c r="E967">
        <v>2010</v>
      </c>
      <c r="F967">
        <v>1500000</v>
      </c>
      <c r="G967" t="s">
        <v>31</v>
      </c>
      <c r="H967" t="s">
        <v>2645</v>
      </c>
      <c r="I967" t="s">
        <v>34</v>
      </c>
      <c r="J967" t="s">
        <v>3985</v>
      </c>
      <c r="K967" t="s">
        <v>31</v>
      </c>
      <c r="L967" t="s">
        <v>37</v>
      </c>
      <c r="M967" t="s">
        <v>27</v>
      </c>
      <c r="N967" t="s">
        <v>27</v>
      </c>
      <c r="O967" t="s">
        <v>27</v>
      </c>
      <c r="P967" t="s">
        <v>31</v>
      </c>
      <c r="Q967" t="s">
        <v>31</v>
      </c>
      <c r="R967" t="s">
        <v>31</v>
      </c>
      <c r="S967" t="s">
        <v>31</v>
      </c>
      <c r="T967" t="s">
        <v>31</v>
      </c>
    </row>
    <row r="968" spans="1:20" hidden="1" x14ac:dyDescent="0.3">
      <c r="A968" t="s">
        <v>733</v>
      </c>
      <c r="B968" t="s">
        <v>51</v>
      </c>
      <c r="C968" t="s">
        <v>2655</v>
      </c>
      <c r="D968" t="s">
        <v>134</v>
      </c>
      <c r="E968">
        <v>2010</v>
      </c>
      <c r="F968" t="s">
        <v>31</v>
      </c>
      <c r="G968" t="s">
        <v>31</v>
      </c>
      <c r="H968" t="s">
        <v>2647</v>
      </c>
      <c r="I968" t="s">
        <v>47</v>
      </c>
      <c r="J968" t="s">
        <v>3986</v>
      </c>
      <c r="K968" t="s">
        <v>2649</v>
      </c>
      <c r="L968" t="s">
        <v>31</v>
      </c>
      <c r="M968" t="s">
        <v>27</v>
      </c>
      <c r="N968" t="s">
        <v>27</v>
      </c>
      <c r="O968" t="s">
        <v>27</v>
      </c>
      <c r="P968" t="s">
        <v>31</v>
      </c>
      <c r="Q968" t="s">
        <v>31</v>
      </c>
      <c r="R968" t="s">
        <v>31</v>
      </c>
      <c r="S968" t="s">
        <v>31</v>
      </c>
      <c r="T968" t="s">
        <v>31</v>
      </c>
    </row>
    <row r="969" spans="1:20" hidden="1" x14ac:dyDescent="0.3">
      <c r="A969" t="s">
        <v>734</v>
      </c>
      <c r="B969" t="s">
        <v>51</v>
      </c>
      <c r="C969" t="s">
        <v>37</v>
      </c>
      <c r="D969" t="s">
        <v>121</v>
      </c>
      <c r="E969">
        <v>2010</v>
      </c>
      <c r="F969" t="s">
        <v>31</v>
      </c>
      <c r="G969" t="s">
        <v>31</v>
      </c>
      <c r="H969" t="s">
        <v>2774</v>
      </c>
      <c r="I969" t="s">
        <v>166</v>
      </c>
      <c r="J969" t="s">
        <v>3987</v>
      </c>
      <c r="K969" t="s">
        <v>2725</v>
      </c>
      <c r="L969" t="s">
        <v>54</v>
      </c>
      <c r="M969" t="s">
        <v>33</v>
      </c>
      <c r="N969" t="s">
        <v>27</v>
      </c>
      <c r="O969" t="s">
        <v>27</v>
      </c>
      <c r="P969">
        <v>232</v>
      </c>
      <c r="Q969">
        <v>23750</v>
      </c>
      <c r="R969">
        <v>8.8800000000000008</v>
      </c>
      <c r="S969">
        <v>-78.59</v>
      </c>
      <c r="T969" t="s">
        <v>31</v>
      </c>
    </row>
    <row r="970" spans="1:20" hidden="1" x14ac:dyDescent="0.3">
      <c r="A970" t="s">
        <v>736</v>
      </c>
      <c r="B970" t="s">
        <v>39</v>
      </c>
      <c r="C970" t="s">
        <v>157</v>
      </c>
      <c r="D970" t="s">
        <v>157</v>
      </c>
      <c r="E970">
        <v>2010</v>
      </c>
      <c r="F970">
        <v>14700</v>
      </c>
      <c r="G970" t="s">
        <v>3988</v>
      </c>
      <c r="H970" t="s">
        <v>3306</v>
      </c>
      <c r="I970" t="s">
        <v>604</v>
      </c>
      <c r="J970" t="s">
        <v>3989</v>
      </c>
      <c r="K970" t="s">
        <v>3910</v>
      </c>
      <c r="L970" t="s">
        <v>31</v>
      </c>
      <c r="M970" t="s">
        <v>27</v>
      </c>
      <c r="N970" t="s">
        <v>27</v>
      </c>
      <c r="O970" t="s">
        <v>27</v>
      </c>
      <c r="P970" t="s">
        <v>31</v>
      </c>
      <c r="Q970" t="s">
        <v>31</v>
      </c>
      <c r="R970" t="s">
        <v>31</v>
      </c>
      <c r="S970" t="s">
        <v>31</v>
      </c>
      <c r="T970" t="s">
        <v>31</v>
      </c>
    </row>
    <row r="971" spans="1:20" hidden="1" x14ac:dyDescent="0.3">
      <c r="A971" t="s">
        <v>737</v>
      </c>
      <c r="B971" t="s">
        <v>39</v>
      </c>
      <c r="C971" t="s">
        <v>157</v>
      </c>
      <c r="D971" t="s">
        <v>157</v>
      </c>
      <c r="E971">
        <v>2010</v>
      </c>
      <c r="F971" t="s">
        <v>31</v>
      </c>
      <c r="G971" t="s">
        <v>3988</v>
      </c>
      <c r="H971" t="s">
        <v>3184</v>
      </c>
      <c r="I971" t="s">
        <v>246</v>
      </c>
      <c r="J971" t="s">
        <v>3990</v>
      </c>
      <c r="K971" t="s">
        <v>31</v>
      </c>
      <c r="L971" t="s">
        <v>447</v>
      </c>
      <c r="M971" t="s">
        <v>27</v>
      </c>
      <c r="N971" t="s">
        <v>27</v>
      </c>
      <c r="O971" t="s">
        <v>27</v>
      </c>
      <c r="P971" t="s">
        <v>31</v>
      </c>
      <c r="Q971" t="s">
        <v>31</v>
      </c>
      <c r="R971" t="s">
        <v>31</v>
      </c>
      <c r="S971" t="s">
        <v>31</v>
      </c>
      <c r="T971" t="s">
        <v>31</v>
      </c>
    </row>
    <row r="972" spans="1:20" hidden="1" x14ac:dyDescent="0.3">
      <c r="A972" t="s">
        <v>738</v>
      </c>
      <c r="B972" t="s">
        <v>39</v>
      </c>
      <c r="C972" t="s">
        <v>157</v>
      </c>
      <c r="D972" t="s">
        <v>157</v>
      </c>
      <c r="E972">
        <v>2010</v>
      </c>
      <c r="F972" t="s">
        <v>31</v>
      </c>
      <c r="G972" t="s">
        <v>3988</v>
      </c>
      <c r="H972" t="s">
        <v>3186</v>
      </c>
      <c r="I972" t="s">
        <v>561</v>
      </c>
      <c r="J972" t="s">
        <v>3370</v>
      </c>
      <c r="K972" t="s">
        <v>31</v>
      </c>
      <c r="L972" t="s">
        <v>447</v>
      </c>
      <c r="M972" t="s">
        <v>27</v>
      </c>
      <c r="N972" t="s">
        <v>27</v>
      </c>
      <c r="O972" t="s">
        <v>33</v>
      </c>
      <c r="P972" t="s">
        <v>31</v>
      </c>
      <c r="Q972" t="s">
        <v>31</v>
      </c>
      <c r="R972" t="s">
        <v>31</v>
      </c>
      <c r="S972" t="s">
        <v>31</v>
      </c>
      <c r="T972" t="s">
        <v>31</v>
      </c>
    </row>
    <row r="973" spans="1:20" hidden="1" x14ac:dyDescent="0.3">
      <c r="A973" t="s">
        <v>1041</v>
      </c>
      <c r="B973" t="s">
        <v>51</v>
      </c>
      <c r="C973" t="s">
        <v>37</v>
      </c>
      <c r="D973" t="s">
        <v>121</v>
      </c>
      <c r="E973">
        <v>2010</v>
      </c>
      <c r="F973">
        <v>1000000</v>
      </c>
      <c r="G973" t="s">
        <v>3991</v>
      </c>
      <c r="H973" t="s">
        <v>2647</v>
      </c>
      <c r="I973" t="s">
        <v>47</v>
      </c>
      <c r="J973" t="s">
        <v>3992</v>
      </c>
      <c r="K973" t="s">
        <v>3993</v>
      </c>
      <c r="L973" t="s">
        <v>31</v>
      </c>
      <c r="M973" t="s">
        <v>27</v>
      </c>
      <c r="N973" t="s">
        <v>33</v>
      </c>
      <c r="O973" t="s">
        <v>33</v>
      </c>
      <c r="P973" t="s">
        <v>31</v>
      </c>
      <c r="Q973">
        <v>1140146</v>
      </c>
      <c r="R973">
        <v>4.1130000000000004</v>
      </c>
      <c r="S973">
        <v>-72.959999999999994</v>
      </c>
      <c r="T973" t="s">
        <v>3994</v>
      </c>
    </row>
    <row r="974" spans="1:20" hidden="1" x14ac:dyDescent="0.3">
      <c r="A974" t="s">
        <v>1052</v>
      </c>
      <c r="B974" t="s">
        <v>91</v>
      </c>
      <c r="C974" t="s">
        <v>92</v>
      </c>
      <c r="D974" t="s">
        <v>93</v>
      </c>
      <c r="E974">
        <v>2010</v>
      </c>
      <c r="F974">
        <v>8000000</v>
      </c>
      <c r="G974" t="s">
        <v>3995</v>
      </c>
      <c r="H974" t="s">
        <v>2749</v>
      </c>
      <c r="I974" t="s">
        <v>45</v>
      </c>
      <c r="J974" t="s">
        <v>3996</v>
      </c>
      <c r="K974" t="s">
        <v>31</v>
      </c>
      <c r="L974" t="s">
        <v>31</v>
      </c>
      <c r="M974" t="s">
        <v>33</v>
      </c>
      <c r="N974" t="s">
        <v>33</v>
      </c>
      <c r="O974" t="s">
        <v>27</v>
      </c>
      <c r="P974">
        <v>3518530</v>
      </c>
      <c r="Q974">
        <v>7</v>
      </c>
      <c r="R974">
        <v>18.443000000000001</v>
      </c>
      <c r="S974">
        <v>-72.570999999999998</v>
      </c>
      <c r="T974" t="s">
        <v>31</v>
      </c>
    </row>
    <row r="975" spans="1:20" hidden="1" x14ac:dyDescent="0.3">
      <c r="A975" t="s">
        <v>1053</v>
      </c>
      <c r="B975" t="s">
        <v>51</v>
      </c>
      <c r="C975" t="s">
        <v>37</v>
      </c>
      <c r="D975" t="s">
        <v>121</v>
      </c>
      <c r="E975">
        <v>2010</v>
      </c>
      <c r="F975" t="s">
        <v>31</v>
      </c>
      <c r="G975" t="s">
        <v>3953</v>
      </c>
      <c r="H975" t="s">
        <v>2678</v>
      </c>
      <c r="I975" t="s">
        <v>53</v>
      </c>
      <c r="J975" t="s">
        <v>3997</v>
      </c>
      <c r="K975" t="s">
        <v>31</v>
      </c>
      <c r="L975" t="s">
        <v>31</v>
      </c>
      <c r="M975" t="s">
        <v>27</v>
      </c>
      <c r="N975" t="s">
        <v>27</v>
      </c>
      <c r="O975" t="s">
        <v>27</v>
      </c>
      <c r="P975" t="s">
        <v>31</v>
      </c>
      <c r="Q975">
        <v>305800</v>
      </c>
      <c r="R975">
        <v>-4.68</v>
      </c>
      <c r="S975">
        <v>-78.290000000000006</v>
      </c>
      <c r="T975" t="s">
        <v>31</v>
      </c>
    </row>
    <row r="976" spans="1:20" hidden="1" x14ac:dyDescent="0.3">
      <c r="A976" t="s">
        <v>1054</v>
      </c>
      <c r="B976" t="s">
        <v>91</v>
      </c>
      <c r="C976" t="s">
        <v>92</v>
      </c>
      <c r="D976" t="s">
        <v>798</v>
      </c>
      <c r="E976">
        <v>2010</v>
      </c>
      <c r="F976">
        <v>30000000</v>
      </c>
      <c r="G976" t="s">
        <v>3998</v>
      </c>
      <c r="H976" t="s">
        <v>2701</v>
      </c>
      <c r="I976" t="s">
        <v>60</v>
      </c>
      <c r="J976" t="s">
        <v>3999</v>
      </c>
      <c r="K976" t="s">
        <v>31</v>
      </c>
      <c r="L976" t="s">
        <v>173</v>
      </c>
      <c r="M976" t="s">
        <v>33</v>
      </c>
      <c r="N976" t="s">
        <v>33</v>
      </c>
      <c r="O976" t="s">
        <v>33</v>
      </c>
      <c r="P976">
        <v>68705</v>
      </c>
      <c r="Q976">
        <v>8.8000000000000007</v>
      </c>
      <c r="R976">
        <v>-36.122</v>
      </c>
      <c r="S976">
        <v>-72.897999999999996</v>
      </c>
      <c r="T976" t="s">
        <v>31</v>
      </c>
    </row>
    <row r="977" spans="1:20" hidden="1" x14ac:dyDescent="0.3">
      <c r="A977" t="s">
        <v>1055</v>
      </c>
      <c r="B977" t="s">
        <v>51</v>
      </c>
      <c r="C977" t="s">
        <v>37</v>
      </c>
      <c r="D977" t="s">
        <v>121</v>
      </c>
      <c r="E977">
        <v>2010</v>
      </c>
      <c r="F977" t="s">
        <v>31</v>
      </c>
      <c r="G977" t="s">
        <v>4000</v>
      </c>
      <c r="H977" t="s">
        <v>2749</v>
      </c>
      <c r="I977" t="s">
        <v>45</v>
      </c>
      <c r="J977" t="s">
        <v>4001</v>
      </c>
      <c r="K977" t="s">
        <v>2649</v>
      </c>
      <c r="L977" t="s">
        <v>54</v>
      </c>
      <c r="M977" t="s">
        <v>27</v>
      </c>
      <c r="N977" t="s">
        <v>27</v>
      </c>
      <c r="O977" t="s">
        <v>27</v>
      </c>
      <c r="P977" t="s">
        <v>31</v>
      </c>
      <c r="Q977">
        <v>3836</v>
      </c>
      <c r="R977">
        <v>18.420000000000002</v>
      </c>
      <c r="S977">
        <v>73.77</v>
      </c>
      <c r="T977" t="s">
        <v>31</v>
      </c>
    </row>
    <row r="978" spans="1:20" hidden="1" x14ac:dyDescent="0.3">
      <c r="A978" t="s">
        <v>1056</v>
      </c>
      <c r="B978" t="s">
        <v>28</v>
      </c>
      <c r="C978" t="s">
        <v>29</v>
      </c>
      <c r="D978" t="s">
        <v>97</v>
      </c>
      <c r="E978">
        <v>2010</v>
      </c>
      <c r="F978" t="s">
        <v>31</v>
      </c>
      <c r="G978" t="s">
        <v>31</v>
      </c>
      <c r="H978" t="s">
        <v>2645</v>
      </c>
      <c r="I978" t="s">
        <v>34</v>
      </c>
      <c r="J978" t="s">
        <v>4002</v>
      </c>
      <c r="K978" t="s">
        <v>31</v>
      </c>
      <c r="L978" t="s">
        <v>31</v>
      </c>
      <c r="M978" t="s">
        <v>27</v>
      </c>
      <c r="N978" t="s">
        <v>27</v>
      </c>
      <c r="O978" t="s">
        <v>33</v>
      </c>
      <c r="P978" t="s">
        <v>31</v>
      </c>
      <c r="Q978">
        <v>241</v>
      </c>
      <c r="R978" t="s">
        <v>31</v>
      </c>
      <c r="S978" t="s">
        <v>31</v>
      </c>
      <c r="T978" t="s">
        <v>31</v>
      </c>
    </row>
    <row r="979" spans="1:20" x14ac:dyDescent="0.3">
      <c r="A979" t="s">
        <v>1057</v>
      </c>
      <c r="B979" t="s">
        <v>51</v>
      </c>
      <c r="C979" t="s">
        <v>37</v>
      </c>
      <c r="D979" t="s">
        <v>121</v>
      </c>
      <c r="E979">
        <v>2010</v>
      </c>
      <c r="F979">
        <v>602000</v>
      </c>
      <c r="G979" t="s">
        <v>4003</v>
      </c>
      <c r="H979" t="s">
        <v>2656</v>
      </c>
      <c r="I979" t="s">
        <v>119</v>
      </c>
      <c r="J979" t="s">
        <v>2603</v>
      </c>
      <c r="K979" t="s">
        <v>2649</v>
      </c>
      <c r="L979" t="s">
        <v>54</v>
      </c>
      <c r="M979" t="s">
        <v>33</v>
      </c>
      <c r="N979" t="s">
        <v>27</v>
      </c>
      <c r="O979" t="s">
        <v>33</v>
      </c>
      <c r="P979">
        <v>125</v>
      </c>
      <c r="Q979" t="s">
        <v>31</v>
      </c>
      <c r="R979" t="s">
        <v>31</v>
      </c>
      <c r="S979" t="s">
        <v>31</v>
      </c>
      <c r="T979" t="s">
        <v>31</v>
      </c>
    </row>
    <row r="980" spans="1:20" hidden="1" x14ac:dyDescent="0.3">
      <c r="A980" t="s">
        <v>1058</v>
      </c>
      <c r="B980" t="s">
        <v>91</v>
      </c>
      <c r="C980" t="s">
        <v>2712</v>
      </c>
      <c r="D980" t="s">
        <v>105</v>
      </c>
      <c r="E980">
        <v>2010</v>
      </c>
      <c r="F980" t="s">
        <v>31</v>
      </c>
      <c r="G980" t="s">
        <v>4004</v>
      </c>
      <c r="H980" t="s">
        <v>2666</v>
      </c>
      <c r="I980" t="s">
        <v>109</v>
      </c>
      <c r="J980" t="s">
        <v>4005</v>
      </c>
      <c r="K980" t="s">
        <v>31</v>
      </c>
      <c r="L980" t="s">
        <v>31</v>
      </c>
      <c r="M980" t="s">
        <v>27</v>
      </c>
      <c r="N980" t="s">
        <v>27</v>
      </c>
      <c r="O980" t="s">
        <v>27</v>
      </c>
      <c r="P980" t="s">
        <v>31</v>
      </c>
      <c r="Q980" t="s">
        <v>31</v>
      </c>
      <c r="R980">
        <v>-1.4670000000000001</v>
      </c>
      <c r="S980">
        <v>-78.441999999999993</v>
      </c>
      <c r="T980" t="s">
        <v>31</v>
      </c>
    </row>
    <row r="981" spans="1:20" hidden="1" x14ac:dyDescent="0.3">
      <c r="A981" t="s">
        <v>1059</v>
      </c>
      <c r="B981" t="s">
        <v>51</v>
      </c>
      <c r="C981" t="s">
        <v>37</v>
      </c>
      <c r="D981" t="s">
        <v>121</v>
      </c>
      <c r="E981">
        <v>2010</v>
      </c>
      <c r="F981" t="s">
        <v>31</v>
      </c>
      <c r="G981" t="s">
        <v>31</v>
      </c>
      <c r="H981" t="s">
        <v>2888</v>
      </c>
      <c r="I981" t="s">
        <v>75</v>
      </c>
      <c r="J981" t="s">
        <v>3219</v>
      </c>
      <c r="K981" t="s">
        <v>31</v>
      </c>
      <c r="L981" t="s">
        <v>31</v>
      </c>
      <c r="M981" t="s">
        <v>27</v>
      </c>
      <c r="N981" t="s">
        <v>27</v>
      </c>
      <c r="O981" t="s">
        <v>27</v>
      </c>
      <c r="P981" t="s">
        <v>31</v>
      </c>
      <c r="Q981">
        <v>15730</v>
      </c>
      <c r="R981">
        <v>19.25</v>
      </c>
      <c r="S981">
        <v>-70.39</v>
      </c>
      <c r="T981" t="s">
        <v>31</v>
      </c>
    </row>
    <row r="982" spans="1:20" hidden="1" x14ac:dyDescent="0.3">
      <c r="A982" t="s">
        <v>1060</v>
      </c>
      <c r="B982" t="s">
        <v>28</v>
      </c>
      <c r="C982" t="s">
        <v>2685</v>
      </c>
      <c r="D982" t="s">
        <v>68</v>
      </c>
      <c r="E982">
        <v>2010</v>
      </c>
      <c r="F982" t="s">
        <v>31</v>
      </c>
      <c r="G982" t="s">
        <v>31</v>
      </c>
      <c r="H982" t="s">
        <v>2658</v>
      </c>
      <c r="I982" t="s">
        <v>130</v>
      </c>
      <c r="J982" t="s">
        <v>4006</v>
      </c>
      <c r="K982" t="s">
        <v>31</v>
      </c>
      <c r="L982" t="s">
        <v>31</v>
      </c>
      <c r="M982" t="s">
        <v>27</v>
      </c>
      <c r="N982" t="s">
        <v>27</v>
      </c>
      <c r="O982" t="s">
        <v>27</v>
      </c>
      <c r="P982" t="s">
        <v>31</v>
      </c>
      <c r="Q982" t="s">
        <v>31</v>
      </c>
      <c r="R982" t="s">
        <v>31</v>
      </c>
      <c r="S982" t="s">
        <v>31</v>
      </c>
      <c r="T982" t="s">
        <v>31</v>
      </c>
    </row>
    <row r="983" spans="1:20" hidden="1" x14ac:dyDescent="0.3">
      <c r="A983" t="s">
        <v>1061</v>
      </c>
      <c r="B983" t="s">
        <v>28</v>
      </c>
      <c r="C983" t="s">
        <v>2685</v>
      </c>
      <c r="D983" t="s">
        <v>68</v>
      </c>
      <c r="E983">
        <v>2010</v>
      </c>
      <c r="F983" t="s">
        <v>31</v>
      </c>
      <c r="G983" t="s">
        <v>31</v>
      </c>
      <c r="H983" t="s">
        <v>2701</v>
      </c>
      <c r="I983" t="s">
        <v>60</v>
      </c>
      <c r="J983" t="s">
        <v>4007</v>
      </c>
      <c r="K983" t="s">
        <v>31</v>
      </c>
      <c r="L983" t="s">
        <v>31</v>
      </c>
      <c r="M983" t="s">
        <v>27</v>
      </c>
      <c r="N983" t="s">
        <v>27</v>
      </c>
      <c r="O983" t="s">
        <v>27</v>
      </c>
      <c r="P983" t="s">
        <v>31</v>
      </c>
      <c r="Q983" t="s">
        <v>31</v>
      </c>
      <c r="R983" t="s">
        <v>31</v>
      </c>
      <c r="S983" t="s">
        <v>31</v>
      </c>
      <c r="T983" t="s">
        <v>31</v>
      </c>
    </row>
    <row r="984" spans="1:20" hidden="1" x14ac:dyDescent="0.3">
      <c r="A984" t="s">
        <v>1062</v>
      </c>
      <c r="B984" t="s">
        <v>51</v>
      </c>
      <c r="C984" t="s">
        <v>37</v>
      </c>
      <c r="D984" t="s">
        <v>121</v>
      </c>
      <c r="E984">
        <v>2010</v>
      </c>
      <c r="F984" t="s">
        <v>31</v>
      </c>
      <c r="G984" t="s">
        <v>31</v>
      </c>
      <c r="H984" t="s">
        <v>2647</v>
      </c>
      <c r="I984" t="s">
        <v>47</v>
      </c>
      <c r="J984" t="s">
        <v>4008</v>
      </c>
      <c r="K984" t="s">
        <v>2649</v>
      </c>
      <c r="L984" t="s">
        <v>31</v>
      </c>
      <c r="M984" t="s">
        <v>27</v>
      </c>
      <c r="N984" t="s">
        <v>27</v>
      </c>
      <c r="O984" t="s">
        <v>27</v>
      </c>
      <c r="P984" t="s">
        <v>31</v>
      </c>
      <c r="Q984" t="s">
        <v>31</v>
      </c>
      <c r="R984" t="s">
        <v>31</v>
      </c>
      <c r="S984" t="s">
        <v>31</v>
      </c>
      <c r="T984" t="s">
        <v>31</v>
      </c>
    </row>
    <row r="985" spans="1:20" hidden="1" x14ac:dyDescent="0.3">
      <c r="A985" t="s">
        <v>1063</v>
      </c>
      <c r="B985" t="s">
        <v>39</v>
      </c>
      <c r="C985" t="s">
        <v>40</v>
      </c>
      <c r="D985" t="s">
        <v>41</v>
      </c>
      <c r="E985">
        <v>2010</v>
      </c>
      <c r="F985" t="s">
        <v>31</v>
      </c>
      <c r="G985" t="s">
        <v>31</v>
      </c>
      <c r="H985" t="s">
        <v>2669</v>
      </c>
      <c r="I985" t="s">
        <v>111</v>
      </c>
      <c r="J985" t="s">
        <v>4009</v>
      </c>
      <c r="K985" t="s">
        <v>4010</v>
      </c>
      <c r="L985" t="s">
        <v>31</v>
      </c>
      <c r="M985" t="s">
        <v>27</v>
      </c>
      <c r="N985" t="s">
        <v>27</v>
      </c>
      <c r="O985" t="s">
        <v>33</v>
      </c>
      <c r="P985" t="s">
        <v>31</v>
      </c>
      <c r="Q985" t="s">
        <v>31</v>
      </c>
      <c r="R985" t="s">
        <v>31</v>
      </c>
      <c r="S985" t="s">
        <v>31</v>
      </c>
      <c r="T985" t="s">
        <v>31</v>
      </c>
    </row>
    <row r="986" spans="1:20" hidden="1" x14ac:dyDescent="0.3">
      <c r="A986" t="s">
        <v>1064</v>
      </c>
      <c r="B986" t="s">
        <v>51</v>
      </c>
      <c r="C986" t="s">
        <v>37</v>
      </c>
      <c r="D986" t="s">
        <v>121</v>
      </c>
      <c r="E986">
        <v>2010</v>
      </c>
      <c r="F986" t="s">
        <v>31</v>
      </c>
      <c r="G986" t="s">
        <v>31</v>
      </c>
      <c r="H986" t="s">
        <v>2719</v>
      </c>
      <c r="I986" t="s">
        <v>90</v>
      </c>
      <c r="J986" t="s">
        <v>4011</v>
      </c>
      <c r="K986" t="s">
        <v>2649</v>
      </c>
      <c r="L986" t="s">
        <v>54</v>
      </c>
      <c r="M986" t="s">
        <v>27</v>
      </c>
      <c r="N986" t="s">
        <v>27</v>
      </c>
      <c r="O986" t="s">
        <v>27</v>
      </c>
      <c r="P986" t="s">
        <v>31</v>
      </c>
      <c r="Q986" t="s">
        <v>31</v>
      </c>
      <c r="R986" t="s">
        <v>31</v>
      </c>
      <c r="S986" t="s">
        <v>31</v>
      </c>
      <c r="T986" t="s">
        <v>31</v>
      </c>
    </row>
    <row r="987" spans="1:20" hidden="1" x14ac:dyDescent="0.3">
      <c r="A987" t="s">
        <v>1065</v>
      </c>
      <c r="B987" t="s">
        <v>28</v>
      </c>
      <c r="C987" t="s">
        <v>29</v>
      </c>
      <c r="D987" t="s">
        <v>189</v>
      </c>
      <c r="E987">
        <v>2010</v>
      </c>
      <c r="F987" t="s">
        <v>31</v>
      </c>
      <c r="G987" t="s">
        <v>4012</v>
      </c>
      <c r="H987" t="s">
        <v>2749</v>
      </c>
      <c r="I987" t="s">
        <v>45</v>
      </c>
      <c r="J987" t="s">
        <v>3073</v>
      </c>
      <c r="K987" t="s">
        <v>31</v>
      </c>
      <c r="L987" t="s">
        <v>37</v>
      </c>
      <c r="M987" t="s">
        <v>27</v>
      </c>
      <c r="N987" t="s">
        <v>27</v>
      </c>
      <c r="O987" t="s">
        <v>27</v>
      </c>
      <c r="P987" t="s">
        <v>31</v>
      </c>
      <c r="Q987" t="s">
        <v>31</v>
      </c>
      <c r="R987" t="s">
        <v>31</v>
      </c>
      <c r="S987" t="s">
        <v>31</v>
      </c>
      <c r="T987" t="s">
        <v>31</v>
      </c>
    </row>
    <row r="988" spans="1:20" hidden="1" x14ac:dyDescent="0.3">
      <c r="A988" t="s">
        <v>1066</v>
      </c>
      <c r="B988" t="s">
        <v>51</v>
      </c>
      <c r="C988" t="s">
        <v>2655</v>
      </c>
      <c r="D988" t="s">
        <v>134</v>
      </c>
      <c r="E988">
        <v>2010</v>
      </c>
      <c r="F988" t="s">
        <v>31</v>
      </c>
      <c r="G988" t="s">
        <v>4013</v>
      </c>
      <c r="H988" t="s">
        <v>2647</v>
      </c>
      <c r="I988" t="s">
        <v>47</v>
      </c>
      <c r="J988" t="s">
        <v>4014</v>
      </c>
      <c r="K988" t="s">
        <v>31</v>
      </c>
      <c r="L988" t="s">
        <v>31</v>
      </c>
      <c r="M988" t="s">
        <v>27</v>
      </c>
      <c r="N988" t="s">
        <v>27</v>
      </c>
      <c r="O988" t="s">
        <v>27</v>
      </c>
      <c r="P988" t="s">
        <v>31</v>
      </c>
      <c r="Q988" t="s">
        <v>31</v>
      </c>
      <c r="R988" t="s">
        <v>31</v>
      </c>
      <c r="S988" t="s">
        <v>31</v>
      </c>
      <c r="T988" t="s">
        <v>31</v>
      </c>
    </row>
    <row r="989" spans="1:20" hidden="1" x14ac:dyDescent="0.3">
      <c r="A989" t="s">
        <v>1067</v>
      </c>
      <c r="B989" t="s">
        <v>28</v>
      </c>
      <c r="C989" t="s">
        <v>29</v>
      </c>
      <c r="D989" t="s">
        <v>30</v>
      </c>
      <c r="E989">
        <v>2010</v>
      </c>
      <c r="F989" t="s">
        <v>31</v>
      </c>
      <c r="G989" t="s">
        <v>3975</v>
      </c>
      <c r="H989" t="s">
        <v>2719</v>
      </c>
      <c r="I989" t="s">
        <v>90</v>
      </c>
      <c r="J989" t="s">
        <v>4015</v>
      </c>
      <c r="K989" t="s">
        <v>31</v>
      </c>
      <c r="L989" t="s">
        <v>82</v>
      </c>
      <c r="M989" t="s">
        <v>27</v>
      </c>
      <c r="N989" t="s">
        <v>27</v>
      </c>
      <c r="O989" t="s">
        <v>27</v>
      </c>
      <c r="P989" t="s">
        <v>31</v>
      </c>
      <c r="Q989" t="s">
        <v>31</v>
      </c>
      <c r="R989" t="s">
        <v>31</v>
      </c>
      <c r="S989" t="s">
        <v>31</v>
      </c>
      <c r="T989" t="s">
        <v>31</v>
      </c>
    </row>
    <row r="990" spans="1:20" hidden="1" x14ac:dyDescent="0.3">
      <c r="A990" t="s">
        <v>1068</v>
      </c>
      <c r="B990" t="s">
        <v>51</v>
      </c>
      <c r="C990" t="s">
        <v>2655</v>
      </c>
      <c r="D990" t="s">
        <v>134</v>
      </c>
      <c r="E990">
        <v>2010</v>
      </c>
      <c r="F990" t="s">
        <v>31</v>
      </c>
      <c r="G990" t="s">
        <v>31</v>
      </c>
      <c r="H990" t="s">
        <v>2672</v>
      </c>
      <c r="I990" t="s">
        <v>73</v>
      </c>
      <c r="J990" t="s">
        <v>4016</v>
      </c>
      <c r="K990" t="s">
        <v>2649</v>
      </c>
      <c r="L990" t="s">
        <v>31</v>
      </c>
      <c r="M990" t="s">
        <v>27</v>
      </c>
      <c r="N990" t="s">
        <v>27</v>
      </c>
      <c r="O990" t="s">
        <v>27</v>
      </c>
      <c r="P990" t="s">
        <v>31</v>
      </c>
      <c r="Q990" t="s">
        <v>31</v>
      </c>
      <c r="R990" t="s">
        <v>31</v>
      </c>
      <c r="S990" t="s">
        <v>31</v>
      </c>
      <c r="T990" t="s">
        <v>31</v>
      </c>
    </row>
    <row r="991" spans="1:20" hidden="1" x14ac:dyDescent="0.3">
      <c r="A991" t="s">
        <v>1069</v>
      </c>
      <c r="B991" t="s">
        <v>28</v>
      </c>
      <c r="C991" t="s">
        <v>29</v>
      </c>
      <c r="D991" t="s">
        <v>30</v>
      </c>
      <c r="E991">
        <v>2010</v>
      </c>
      <c r="F991">
        <v>240000</v>
      </c>
      <c r="G991" t="s">
        <v>31</v>
      </c>
      <c r="H991" t="s">
        <v>2645</v>
      </c>
      <c r="I991" t="s">
        <v>34</v>
      </c>
      <c r="J991" t="s">
        <v>2788</v>
      </c>
      <c r="K991" t="s">
        <v>31</v>
      </c>
      <c r="L991" t="s">
        <v>37</v>
      </c>
      <c r="M991" t="s">
        <v>27</v>
      </c>
      <c r="N991" t="s">
        <v>27</v>
      </c>
      <c r="O991" t="s">
        <v>27</v>
      </c>
      <c r="P991" t="s">
        <v>31</v>
      </c>
      <c r="Q991" t="s">
        <v>31</v>
      </c>
      <c r="R991">
        <v>28.89</v>
      </c>
      <c r="S991">
        <v>-97.06</v>
      </c>
      <c r="T991" t="s">
        <v>31</v>
      </c>
    </row>
    <row r="992" spans="1:20" hidden="1" x14ac:dyDescent="0.3">
      <c r="A992" t="s">
        <v>1070</v>
      </c>
      <c r="B992" t="s">
        <v>51</v>
      </c>
      <c r="C992" t="s">
        <v>37</v>
      </c>
      <c r="D992" t="s">
        <v>121</v>
      </c>
      <c r="E992">
        <v>2010</v>
      </c>
      <c r="F992" t="s">
        <v>31</v>
      </c>
      <c r="G992" t="s">
        <v>31</v>
      </c>
      <c r="H992" t="s">
        <v>2749</v>
      </c>
      <c r="I992" t="s">
        <v>45</v>
      </c>
      <c r="J992" t="s">
        <v>4017</v>
      </c>
      <c r="K992" t="s">
        <v>2649</v>
      </c>
      <c r="L992" t="s">
        <v>31</v>
      </c>
      <c r="M992" t="s">
        <v>27</v>
      </c>
      <c r="N992" t="s">
        <v>27</v>
      </c>
      <c r="O992" t="s">
        <v>27</v>
      </c>
      <c r="P992" t="s">
        <v>31</v>
      </c>
      <c r="Q992" t="s">
        <v>31</v>
      </c>
      <c r="R992" t="s">
        <v>31</v>
      </c>
      <c r="S992" t="s">
        <v>31</v>
      </c>
      <c r="T992" t="s">
        <v>31</v>
      </c>
    </row>
    <row r="993" spans="1:20" hidden="1" x14ac:dyDescent="0.3">
      <c r="A993" t="s">
        <v>1071</v>
      </c>
      <c r="B993" t="s">
        <v>43</v>
      </c>
      <c r="C993" t="s">
        <v>2665</v>
      </c>
      <c r="D993" t="s">
        <v>44</v>
      </c>
      <c r="E993">
        <v>2010</v>
      </c>
      <c r="F993" t="s">
        <v>31</v>
      </c>
      <c r="G993" t="s">
        <v>4018</v>
      </c>
      <c r="H993" t="s">
        <v>2749</v>
      </c>
      <c r="I993" t="s">
        <v>45</v>
      </c>
      <c r="J993" t="s">
        <v>4019</v>
      </c>
      <c r="K993" t="s">
        <v>31</v>
      </c>
      <c r="L993" t="s">
        <v>31</v>
      </c>
      <c r="M993" t="s">
        <v>33</v>
      </c>
      <c r="N993" t="s">
        <v>27</v>
      </c>
      <c r="O993" t="s">
        <v>33</v>
      </c>
      <c r="P993" t="s">
        <v>31</v>
      </c>
      <c r="Q993" t="s">
        <v>31</v>
      </c>
      <c r="R993" t="s">
        <v>31</v>
      </c>
      <c r="S993" t="s">
        <v>31</v>
      </c>
      <c r="T993" t="s">
        <v>31</v>
      </c>
    </row>
    <row r="994" spans="1:20" hidden="1" x14ac:dyDescent="0.3">
      <c r="A994" t="s">
        <v>1074</v>
      </c>
      <c r="B994" t="s">
        <v>39</v>
      </c>
      <c r="C994" t="s">
        <v>157</v>
      </c>
      <c r="D994" t="s">
        <v>157</v>
      </c>
      <c r="E994">
        <v>2010</v>
      </c>
      <c r="F994" t="s">
        <v>31</v>
      </c>
      <c r="G994" t="s">
        <v>3988</v>
      </c>
      <c r="H994" t="s">
        <v>2898</v>
      </c>
      <c r="I994" t="s">
        <v>446</v>
      </c>
      <c r="J994" t="s">
        <v>4020</v>
      </c>
      <c r="K994" t="s">
        <v>4021</v>
      </c>
      <c r="L994" t="s">
        <v>40</v>
      </c>
      <c r="M994" t="s">
        <v>27</v>
      </c>
      <c r="N994" t="s">
        <v>27</v>
      </c>
      <c r="O994" t="s">
        <v>27</v>
      </c>
      <c r="P994" t="s">
        <v>31</v>
      </c>
      <c r="Q994" t="s">
        <v>31</v>
      </c>
      <c r="R994" t="s">
        <v>31</v>
      </c>
      <c r="S994" t="s">
        <v>31</v>
      </c>
      <c r="T994" t="s">
        <v>31</v>
      </c>
    </row>
    <row r="995" spans="1:20" hidden="1" x14ac:dyDescent="0.3">
      <c r="A995" t="s">
        <v>1076</v>
      </c>
      <c r="B995" t="s">
        <v>39</v>
      </c>
      <c r="C995" t="s">
        <v>157</v>
      </c>
      <c r="D995" t="s">
        <v>157</v>
      </c>
      <c r="E995">
        <v>2010</v>
      </c>
      <c r="F995" t="s">
        <v>31</v>
      </c>
      <c r="G995" t="s">
        <v>31</v>
      </c>
      <c r="H995" t="s">
        <v>2656</v>
      </c>
      <c r="I995" t="s">
        <v>119</v>
      </c>
      <c r="J995" t="s">
        <v>4022</v>
      </c>
      <c r="K995" t="s">
        <v>31</v>
      </c>
      <c r="L995" t="s">
        <v>31</v>
      </c>
      <c r="M995" t="s">
        <v>27</v>
      </c>
      <c r="N995" t="s">
        <v>27</v>
      </c>
      <c r="O995" t="s">
        <v>33</v>
      </c>
      <c r="P995" t="s">
        <v>31</v>
      </c>
      <c r="Q995" t="s">
        <v>31</v>
      </c>
      <c r="R995" t="s">
        <v>31</v>
      </c>
      <c r="S995" t="s">
        <v>31</v>
      </c>
      <c r="T995" t="s">
        <v>31</v>
      </c>
    </row>
    <row r="996" spans="1:20" hidden="1" x14ac:dyDescent="0.3">
      <c r="A996" t="s">
        <v>1626</v>
      </c>
      <c r="B996" t="s">
        <v>43</v>
      </c>
      <c r="C996" t="s">
        <v>2665</v>
      </c>
      <c r="D996" t="s">
        <v>114</v>
      </c>
      <c r="E996">
        <v>2010</v>
      </c>
      <c r="F996" t="s">
        <v>31</v>
      </c>
      <c r="G996" t="s">
        <v>31</v>
      </c>
      <c r="H996" t="s">
        <v>3198</v>
      </c>
      <c r="I996" t="s">
        <v>211</v>
      </c>
      <c r="J996" t="s">
        <v>31</v>
      </c>
      <c r="K996" t="s">
        <v>31</v>
      </c>
      <c r="L996" t="s">
        <v>31</v>
      </c>
      <c r="M996" t="s">
        <v>27</v>
      </c>
      <c r="N996" t="s">
        <v>27</v>
      </c>
      <c r="O996" t="s">
        <v>27</v>
      </c>
      <c r="P996" t="s">
        <v>31</v>
      </c>
      <c r="Q996" t="s">
        <v>31</v>
      </c>
      <c r="R996" t="s">
        <v>31</v>
      </c>
      <c r="S996" t="s">
        <v>31</v>
      </c>
      <c r="T996" t="s">
        <v>31</v>
      </c>
    </row>
    <row r="997" spans="1:20" hidden="1" x14ac:dyDescent="0.3">
      <c r="A997" t="s">
        <v>1633</v>
      </c>
      <c r="B997" t="s">
        <v>51</v>
      </c>
      <c r="C997" t="s">
        <v>37</v>
      </c>
      <c r="D997" t="s">
        <v>121</v>
      </c>
      <c r="E997">
        <v>2010</v>
      </c>
      <c r="F997">
        <v>16000</v>
      </c>
      <c r="G997" t="s">
        <v>31</v>
      </c>
      <c r="H997" t="s">
        <v>2672</v>
      </c>
      <c r="I997" t="s">
        <v>73</v>
      </c>
      <c r="J997" t="s">
        <v>4023</v>
      </c>
      <c r="K997" t="s">
        <v>2664</v>
      </c>
      <c r="L997" t="s">
        <v>1634</v>
      </c>
      <c r="M997" t="s">
        <v>27</v>
      </c>
      <c r="N997" t="s">
        <v>27</v>
      </c>
      <c r="O997" t="s">
        <v>27</v>
      </c>
      <c r="P997" t="s">
        <v>31</v>
      </c>
      <c r="Q997">
        <v>122621</v>
      </c>
      <c r="R997">
        <v>19.940000000000001</v>
      </c>
      <c r="S997">
        <v>-99</v>
      </c>
      <c r="T997" t="s">
        <v>31</v>
      </c>
    </row>
    <row r="998" spans="1:20" hidden="1" x14ac:dyDescent="0.3">
      <c r="A998" t="s">
        <v>1638</v>
      </c>
      <c r="B998" t="s">
        <v>51</v>
      </c>
      <c r="C998" t="s">
        <v>37</v>
      </c>
      <c r="D998" t="s">
        <v>56</v>
      </c>
      <c r="E998">
        <v>2010</v>
      </c>
      <c r="F998" t="s">
        <v>31</v>
      </c>
      <c r="G998" t="s">
        <v>31</v>
      </c>
      <c r="H998" t="s">
        <v>2888</v>
      </c>
      <c r="I998" t="s">
        <v>75</v>
      </c>
      <c r="J998" t="s">
        <v>4024</v>
      </c>
      <c r="K998" t="s">
        <v>4025</v>
      </c>
      <c r="L998" t="s">
        <v>31</v>
      </c>
      <c r="M998" t="s">
        <v>27</v>
      </c>
      <c r="N998" t="s">
        <v>27</v>
      </c>
      <c r="O998" t="s">
        <v>27</v>
      </c>
      <c r="P998" t="s">
        <v>31</v>
      </c>
      <c r="Q998">
        <v>2791</v>
      </c>
      <c r="R998">
        <v>19.63</v>
      </c>
      <c r="S998">
        <v>-70.56</v>
      </c>
      <c r="T998" t="s">
        <v>31</v>
      </c>
    </row>
    <row r="999" spans="1:20" hidden="1" x14ac:dyDescent="0.3">
      <c r="A999" t="s">
        <v>1639</v>
      </c>
      <c r="B999" t="s">
        <v>51</v>
      </c>
      <c r="C999" t="s">
        <v>37</v>
      </c>
      <c r="D999" t="s">
        <v>56</v>
      </c>
      <c r="E999">
        <v>2010</v>
      </c>
      <c r="F999" t="s">
        <v>31</v>
      </c>
      <c r="G999" t="s">
        <v>31</v>
      </c>
      <c r="H999" t="s">
        <v>2749</v>
      </c>
      <c r="I999" t="s">
        <v>45</v>
      </c>
      <c r="J999" t="s">
        <v>3079</v>
      </c>
      <c r="K999" t="s">
        <v>2649</v>
      </c>
      <c r="L999" t="s">
        <v>54</v>
      </c>
      <c r="M999" t="s">
        <v>27</v>
      </c>
      <c r="N999" t="s">
        <v>27</v>
      </c>
      <c r="O999" t="s">
        <v>27</v>
      </c>
      <c r="P999" t="s">
        <v>31</v>
      </c>
      <c r="Q999" t="s">
        <v>31</v>
      </c>
      <c r="R999" t="s">
        <v>31</v>
      </c>
      <c r="S999" t="s">
        <v>31</v>
      </c>
      <c r="T999" t="s">
        <v>31</v>
      </c>
    </row>
    <row r="1000" spans="1:20" x14ac:dyDescent="0.3">
      <c r="A1000" t="s">
        <v>1640</v>
      </c>
      <c r="B1000" t="s">
        <v>51</v>
      </c>
      <c r="C1000" t="s">
        <v>37</v>
      </c>
      <c r="D1000" t="s">
        <v>121</v>
      </c>
      <c r="E1000">
        <v>2010</v>
      </c>
      <c r="F1000">
        <v>200000</v>
      </c>
      <c r="G1000" t="s">
        <v>4026</v>
      </c>
      <c r="H1000" t="s">
        <v>2656</v>
      </c>
      <c r="I1000" t="s">
        <v>119</v>
      </c>
      <c r="J1000" t="s">
        <v>2617</v>
      </c>
      <c r="K1000" t="s">
        <v>2649</v>
      </c>
      <c r="L1000" t="s">
        <v>54</v>
      </c>
      <c r="M1000" t="s">
        <v>33</v>
      </c>
      <c r="N1000" t="s">
        <v>27</v>
      </c>
      <c r="O1000" t="s">
        <v>27</v>
      </c>
      <c r="P1000">
        <v>151</v>
      </c>
      <c r="Q1000" t="s">
        <v>31</v>
      </c>
      <c r="R1000">
        <v>-22.44</v>
      </c>
      <c r="S1000">
        <v>-43.33</v>
      </c>
      <c r="T1000" t="s">
        <v>31</v>
      </c>
    </row>
    <row r="1001" spans="1:20" hidden="1" x14ac:dyDescent="0.3">
      <c r="A1001" t="s">
        <v>1641</v>
      </c>
      <c r="B1001" t="s">
        <v>28</v>
      </c>
      <c r="C1001" t="s">
        <v>29</v>
      </c>
      <c r="D1001" t="s">
        <v>64</v>
      </c>
      <c r="E1001">
        <v>2010</v>
      </c>
      <c r="F1001">
        <v>2350000</v>
      </c>
      <c r="G1001" t="s">
        <v>4027</v>
      </c>
      <c r="H1001" t="s">
        <v>2645</v>
      </c>
      <c r="I1001" t="s">
        <v>34</v>
      </c>
      <c r="J1001" t="s">
        <v>4028</v>
      </c>
      <c r="K1001" t="s">
        <v>2649</v>
      </c>
      <c r="L1001" t="s">
        <v>37</v>
      </c>
      <c r="M1001" t="s">
        <v>27</v>
      </c>
      <c r="N1001" t="s">
        <v>27</v>
      </c>
      <c r="O1001" t="s">
        <v>27</v>
      </c>
      <c r="P1001" t="s">
        <v>31</v>
      </c>
      <c r="Q1001">
        <v>320</v>
      </c>
      <c r="R1001">
        <v>36.07</v>
      </c>
      <c r="S1001">
        <v>-87.28</v>
      </c>
      <c r="T1001" t="s">
        <v>31</v>
      </c>
    </row>
    <row r="1002" spans="1:20" hidden="1" x14ac:dyDescent="0.3">
      <c r="A1002" t="s">
        <v>1642</v>
      </c>
      <c r="B1002" t="s">
        <v>91</v>
      </c>
      <c r="C1002" t="s">
        <v>2712</v>
      </c>
      <c r="D1002" t="s">
        <v>105</v>
      </c>
      <c r="E1002">
        <v>2010</v>
      </c>
      <c r="F1002" t="s">
        <v>31</v>
      </c>
      <c r="G1002" t="s">
        <v>4029</v>
      </c>
      <c r="H1002" t="s">
        <v>2719</v>
      </c>
      <c r="I1002" t="s">
        <v>90</v>
      </c>
      <c r="J1002" t="s">
        <v>4030</v>
      </c>
      <c r="K1002" t="s">
        <v>31</v>
      </c>
      <c r="L1002" t="s">
        <v>31</v>
      </c>
      <c r="M1002" t="s">
        <v>33</v>
      </c>
      <c r="N1002" t="s">
        <v>27</v>
      </c>
      <c r="O1002" t="s">
        <v>33</v>
      </c>
      <c r="P1002" t="s">
        <v>31</v>
      </c>
      <c r="Q1002" t="s">
        <v>31</v>
      </c>
      <c r="R1002">
        <v>14.381</v>
      </c>
      <c r="S1002">
        <v>-90.600999999999999</v>
      </c>
      <c r="T1002" t="s">
        <v>31</v>
      </c>
    </row>
    <row r="1003" spans="1:20" hidden="1" x14ac:dyDescent="0.3">
      <c r="A1003" t="s">
        <v>1643</v>
      </c>
      <c r="B1003" t="s">
        <v>51</v>
      </c>
      <c r="C1003" t="s">
        <v>37</v>
      </c>
      <c r="D1003" t="s">
        <v>121</v>
      </c>
      <c r="E1003">
        <v>2010</v>
      </c>
      <c r="F1003" t="s">
        <v>31</v>
      </c>
      <c r="G1003" t="s">
        <v>4031</v>
      </c>
      <c r="H1003" t="s">
        <v>2774</v>
      </c>
      <c r="I1003" t="s">
        <v>166</v>
      </c>
      <c r="J1003" t="s">
        <v>4032</v>
      </c>
      <c r="K1003" t="s">
        <v>2649</v>
      </c>
      <c r="L1003" t="s">
        <v>54</v>
      </c>
      <c r="M1003" t="s">
        <v>27</v>
      </c>
      <c r="N1003" t="s">
        <v>27</v>
      </c>
      <c r="O1003" t="s">
        <v>33</v>
      </c>
      <c r="P1003" t="s">
        <v>31</v>
      </c>
      <c r="Q1003" t="s">
        <v>31</v>
      </c>
      <c r="R1003" t="s">
        <v>31</v>
      </c>
      <c r="S1003" t="s">
        <v>31</v>
      </c>
      <c r="T1003" t="s">
        <v>4033</v>
      </c>
    </row>
    <row r="1004" spans="1:20" hidden="1" x14ac:dyDescent="0.3">
      <c r="A1004" t="s">
        <v>1644</v>
      </c>
      <c r="B1004" t="s">
        <v>51</v>
      </c>
      <c r="C1004" t="s">
        <v>37</v>
      </c>
      <c r="D1004" t="s">
        <v>121</v>
      </c>
      <c r="E1004">
        <v>2010</v>
      </c>
      <c r="F1004" t="s">
        <v>31</v>
      </c>
      <c r="G1004" t="s">
        <v>3953</v>
      </c>
      <c r="H1004" t="s">
        <v>2666</v>
      </c>
      <c r="I1004" t="s">
        <v>109</v>
      </c>
      <c r="J1004" t="s">
        <v>4034</v>
      </c>
      <c r="K1004" t="s">
        <v>4035</v>
      </c>
      <c r="L1004" t="s">
        <v>31</v>
      </c>
      <c r="M1004" t="s">
        <v>27</v>
      </c>
      <c r="N1004" t="s">
        <v>27</v>
      </c>
      <c r="O1004" t="s">
        <v>33</v>
      </c>
      <c r="P1004" t="s">
        <v>31</v>
      </c>
      <c r="Q1004" t="s">
        <v>31</v>
      </c>
      <c r="R1004" t="s">
        <v>31</v>
      </c>
      <c r="S1004" t="s">
        <v>31</v>
      </c>
      <c r="T1004" t="s">
        <v>4036</v>
      </c>
    </row>
    <row r="1005" spans="1:20" hidden="1" x14ac:dyDescent="0.3">
      <c r="A1005" t="s">
        <v>1645</v>
      </c>
      <c r="B1005" t="s">
        <v>51</v>
      </c>
      <c r="C1005" t="s">
        <v>37</v>
      </c>
      <c r="D1005" t="s">
        <v>121</v>
      </c>
      <c r="E1005">
        <v>2010</v>
      </c>
      <c r="F1005" t="s">
        <v>31</v>
      </c>
      <c r="G1005" t="s">
        <v>4037</v>
      </c>
      <c r="H1005" t="s">
        <v>2675</v>
      </c>
      <c r="I1005" t="s">
        <v>81</v>
      </c>
      <c r="J1005" t="s">
        <v>4038</v>
      </c>
      <c r="K1005" t="s">
        <v>4039</v>
      </c>
      <c r="L1005" t="s">
        <v>31</v>
      </c>
      <c r="M1005" t="s">
        <v>27</v>
      </c>
      <c r="N1005" t="s">
        <v>27</v>
      </c>
      <c r="O1005" t="s">
        <v>27</v>
      </c>
      <c r="P1005" t="s">
        <v>31</v>
      </c>
      <c r="Q1005" t="s">
        <v>31</v>
      </c>
      <c r="R1005" t="s">
        <v>31</v>
      </c>
      <c r="S1005" t="s">
        <v>31</v>
      </c>
      <c r="T1005" t="s">
        <v>31</v>
      </c>
    </row>
    <row r="1006" spans="1:20" hidden="1" x14ac:dyDescent="0.3">
      <c r="A1006" t="s">
        <v>1646</v>
      </c>
      <c r="B1006" t="s">
        <v>51</v>
      </c>
      <c r="C1006" t="s">
        <v>37</v>
      </c>
      <c r="D1006" t="s">
        <v>121</v>
      </c>
      <c r="E1006">
        <v>2010</v>
      </c>
      <c r="F1006" t="s">
        <v>31</v>
      </c>
      <c r="G1006" t="s">
        <v>31</v>
      </c>
      <c r="H1006" t="s">
        <v>2753</v>
      </c>
      <c r="I1006" t="s">
        <v>49</v>
      </c>
      <c r="J1006" t="s">
        <v>3367</v>
      </c>
      <c r="K1006" t="s">
        <v>2649</v>
      </c>
      <c r="L1006" t="s">
        <v>54</v>
      </c>
      <c r="M1006" t="s">
        <v>27</v>
      </c>
      <c r="N1006" t="s">
        <v>27</v>
      </c>
      <c r="O1006" t="s">
        <v>27</v>
      </c>
      <c r="P1006" t="s">
        <v>31</v>
      </c>
      <c r="Q1006" t="s">
        <v>31</v>
      </c>
      <c r="R1006" t="s">
        <v>31</v>
      </c>
      <c r="S1006" t="s">
        <v>31</v>
      </c>
      <c r="T1006" t="s">
        <v>31</v>
      </c>
    </row>
    <row r="1007" spans="1:20" hidden="1" x14ac:dyDescent="0.3">
      <c r="A1007" t="s">
        <v>1647</v>
      </c>
      <c r="B1007" t="s">
        <v>51</v>
      </c>
      <c r="C1007" t="s">
        <v>2655</v>
      </c>
      <c r="D1007" t="s">
        <v>134</v>
      </c>
      <c r="E1007">
        <v>2010</v>
      </c>
      <c r="F1007">
        <v>500000</v>
      </c>
      <c r="G1007" t="s">
        <v>31</v>
      </c>
      <c r="H1007" t="s">
        <v>2719</v>
      </c>
      <c r="I1007" t="s">
        <v>90</v>
      </c>
      <c r="J1007" t="s">
        <v>4040</v>
      </c>
      <c r="K1007" t="s">
        <v>4041</v>
      </c>
      <c r="L1007" t="s">
        <v>31</v>
      </c>
      <c r="M1007" t="s">
        <v>33</v>
      </c>
      <c r="N1007" t="s">
        <v>27</v>
      </c>
      <c r="O1007" t="s">
        <v>33</v>
      </c>
      <c r="P1007" t="s">
        <v>31</v>
      </c>
      <c r="Q1007" t="s">
        <v>31</v>
      </c>
      <c r="R1007" t="s">
        <v>31</v>
      </c>
      <c r="S1007" t="s">
        <v>31</v>
      </c>
      <c r="T1007" t="s">
        <v>31</v>
      </c>
    </row>
    <row r="1008" spans="1:20" hidden="1" x14ac:dyDescent="0.3">
      <c r="A1008" t="s">
        <v>1648</v>
      </c>
      <c r="B1008" t="s">
        <v>51</v>
      </c>
      <c r="C1008" t="s">
        <v>37</v>
      </c>
      <c r="D1008" t="s">
        <v>121</v>
      </c>
      <c r="E1008">
        <v>2010</v>
      </c>
      <c r="F1008" t="s">
        <v>31</v>
      </c>
      <c r="G1008" t="s">
        <v>31</v>
      </c>
      <c r="H1008" t="s">
        <v>2672</v>
      </c>
      <c r="I1008" t="s">
        <v>73</v>
      </c>
      <c r="J1008" t="s">
        <v>4042</v>
      </c>
      <c r="K1008" t="s">
        <v>4043</v>
      </c>
      <c r="L1008" t="s">
        <v>54</v>
      </c>
      <c r="M1008" t="s">
        <v>27</v>
      </c>
      <c r="N1008" t="s">
        <v>27</v>
      </c>
      <c r="O1008" t="s">
        <v>33</v>
      </c>
      <c r="P1008" t="s">
        <v>31</v>
      </c>
      <c r="Q1008" t="s">
        <v>31</v>
      </c>
      <c r="R1008" t="s">
        <v>31</v>
      </c>
      <c r="S1008" t="s">
        <v>31</v>
      </c>
      <c r="T1008" t="s">
        <v>31</v>
      </c>
    </row>
    <row r="1009" spans="1:20" hidden="1" x14ac:dyDescent="0.3">
      <c r="A1009" t="s">
        <v>1649</v>
      </c>
      <c r="B1009" t="s">
        <v>51</v>
      </c>
      <c r="C1009" t="s">
        <v>2655</v>
      </c>
      <c r="D1009" t="s">
        <v>134</v>
      </c>
      <c r="E1009">
        <v>2010</v>
      </c>
      <c r="F1009" t="s">
        <v>31</v>
      </c>
      <c r="G1009" t="s">
        <v>31</v>
      </c>
      <c r="H1009" t="s">
        <v>2672</v>
      </c>
      <c r="I1009" t="s">
        <v>73</v>
      </c>
      <c r="J1009" t="s">
        <v>4044</v>
      </c>
      <c r="K1009" t="s">
        <v>2649</v>
      </c>
      <c r="L1009" t="s">
        <v>31</v>
      </c>
      <c r="M1009" t="s">
        <v>27</v>
      </c>
      <c r="N1009" t="s">
        <v>27</v>
      </c>
      <c r="O1009" t="s">
        <v>27</v>
      </c>
      <c r="P1009" t="s">
        <v>31</v>
      </c>
      <c r="Q1009" t="s">
        <v>31</v>
      </c>
      <c r="R1009" t="s">
        <v>31</v>
      </c>
      <c r="S1009" t="s">
        <v>31</v>
      </c>
      <c r="T1009" t="s">
        <v>31</v>
      </c>
    </row>
    <row r="1010" spans="1:20" hidden="1" x14ac:dyDescent="0.3">
      <c r="A1010" t="s">
        <v>1650</v>
      </c>
      <c r="B1010" t="s">
        <v>28</v>
      </c>
      <c r="C1010" t="s">
        <v>29</v>
      </c>
      <c r="D1010" t="s">
        <v>30</v>
      </c>
      <c r="E1010">
        <v>2010</v>
      </c>
      <c r="F1010">
        <v>12600</v>
      </c>
      <c r="G1010" t="s">
        <v>3971</v>
      </c>
      <c r="H1010" t="s">
        <v>3815</v>
      </c>
      <c r="I1010" t="s">
        <v>219</v>
      </c>
      <c r="J1010" t="s">
        <v>4045</v>
      </c>
      <c r="K1010" t="s">
        <v>31</v>
      </c>
      <c r="L1010" t="s">
        <v>37</v>
      </c>
      <c r="M1010" t="s">
        <v>27</v>
      </c>
      <c r="N1010" t="s">
        <v>27</v>
      </c>
      <c r="O1010" t="s">
        <v>27</v>
      </c>
      <c r="P1010" t="s">
        <v>31</v>
      </c>
      <c r="Q1010">
        <v>142</v>
      </c>
      <c r="R1010" t="s">
        <v>31</v>
      </c>
      <c r="S1010" t="s">
        <v>31</v>
      </c>
      <c r="T1010" t="s">
        <v>31</v>
      </c>
    </row>
    <row r="1011" spans="1:20" hidden="1" x14ac:dyDescent="0.3">
      <c r="A1011" t="s">
        <v>1651</v>
      </c>
      <c r="B1011" t="s">
        <v>51</v>
      </c>
      <c r="C1011" t="s">
        <v>37</v>
      </c>
      <c r="D1011" t="s">
        <v>121</v>
      </c>
      <c r="E1011">
        <v>2010</v>
      </c>
      <c r="F1011" t="s">
        <v>31</v>
      </c>
      <c r="G1011" t="s">
        <v>4037</v>
      </c>
      <c r="H1011" t="s">
        <v>2675</v>
      </c>
      <c r="I1011" t="s">
        <v>81</v>
      </c>
      <c r="J1011" t="s">
        <v>4046</v>
      </c>
      <c r="K1011" t="s">
        <v>31</v>
      </c>
      <c r="L1011" t="s">
        <v>31</v>
      </c>
      <c r="M1011" t="s">
        <v>27</v>
      </c>
      <c r="N1011" t="s">
        <v>27</v>
      </c>
      <c r="O1011" t="s">
        <v>27</v>
      </c>
      <c r="P1011" t="s">
        <v>31</v>
      </c>
      <c r="Q1011" t="s">
        <v>31</v>
      </c>
      <c r="R1011" t="s">
        <v>31</v>
      </c>
      <c r="S1011" t="s">
        <v>31</v>
      </c>
      <c r="T1011" t="s">
        <v>31</v>
      </c>
    </row>
    <row r="1012" spans="1:20" hidden="1" x14ac:dyDescent="0.3">
      <c r="A1012" t="s">
        <v>1652</v>
      </c>
      <c r="B1012" t="s">
        <v>28</v>
      </c>
      <c r="C1012" t="s">
        <v>29</v>
      </c>
      <c r="D1012" t="s">
        <v>30</v>
      </c>
      <c r="E1012">
        <v>2010</v>
      </c>
      <c r="F1012">
        <v>150000</v>
      </c>
      <c r="G1012" t="s">
        <v>4047</v>
      </c>
      <c r="H1012" t="s">
        <v>2751</v>
      </c>
      <c r="I1012" t="s">
        <v>234</v>
      </c>
      <c r="J1012" t="s">
        <v>4048</v>
      </c>
      <c r="K1012" t="s">
        <v>31</v>
      </c>
      <c r="L1012" t="s">
        <v>82</v>
      </c>
      <c r="M1012" t="s">
        <v>33</v>
      </c>
      <c r="N1012" t="s">
        <v>27</v>
      </c>
      <c r="O1012" t="s">
        <v>27</v>
      </c>
      <c r="P1012">
        <v>68</v>
      </c>
      <c r="Q1012">
        <v>65</v>
      </c>
      <c r="R1012">
        <v>18.190000000000001</v>
      </c>
      <c r="S1012">
        <v>-77.290000000000006</v>
      </c>
      <c r="T1012" t="s">
        <v>31</v>
      </c>
    </row>
    <row r="1013" spans="1:20" hidden="1" x14ac:dyDescent="0.3">
      <c r="A1013" t="s">
        <v>1653</v>
      </c>
      <c r="B1013" t="s">
        <v>28</v>
      </c>
      <c r="C1013" t="s">
        <v>29</v>
      </c>
      <c r="D1013" t="s">
        <v>30</v>
      </c>
      <c r="E1013">
        <v>2010</v>
      </c>
      <c r="F1013" t="s">
        <v>31</v>
      </c>
      <c r="G1013" t="s">
        <v>3975</v>
      </c>
      <c r="H1013" t="s">
        <v>2753</v>
      </c>
      <c r="I1013" t="s">
        <v>49</v>
      </c>
      <c r="J1013" t="s">
        <v>4049</v>
      </c>
      <c r="K1013" t="s">
        <v>31</v>
      </c>
      <c r="L1013" t="s">
        <v>37</v>
      </c>
      <c r="M1013" t="s">
        <v>27</v>
      </c>
      <c r="N1013" t="s">
        <v>27</v>
      </c>
      <c r="O1013" t="s">
        <v>27</v>
      </c>
      <c r="P1013" t="s">
        <v>31</v>
      </c>
      <c r="Q1013" t="s">
        <v>31</v>
      </c>
      <c r="R1013" t="s">
        <v>31</v>
      </c>
      <c r="S1013" t="s">
        <v>31</v>
      </c>
      <c r="T1013" t="s">
        <v>31</v>
      </c>
    </row>
    <row r="1014" spans="1:20" hidden="1" x14ac:dyDescent="0.3">
      <c r="A1014" t="s">
        <v>1654</v>
      </c>
      <c r="B1014" t="s">
        <v>28</v>
      </c>
      <c r="C1014" t="s">
        <v>29</v>
      </c>
      <c r="D1014" t="s">
        <v>30</v>
      </c>
      <c r="E1014">
        <v>2010</v>
      </c>
      <c r="F1014" t="s">
        <v>31</v>
      </c>
      <c r="G1014" t="s">
        <v>3975</v>
      </c>
      <c r="H1014" t="s">
        <v>2672</v>
      </c>
      <c r="I1014" t="s">
        <v>73</v>
      </c>
      <c r="J1014" t="s">
        <v>4050</v>
      </c>
      <c r="K1014" t="s">
        <v>31</v>
      </c>
      <c r="L1014" t="s">
        <v>82</v>
      </c>
      <c r="M1014" t="s">
        <v>27</v>
      </c>
      <c r="N1014" t="s">
        <v>27</v>
      </c>
      <c r="O1014" t="s">
        <v>27</v>
      </c>
      <c r="P1014" t="s">
        <v>31</v>
      </c>
      <c r="Q1014" t="s">
        <v>31</v>
      </c>
      <c r="R1014" t="s">
        <v>31</v>
      </c>
      <c r="S1014" t="s">
        <v>31</v>
      </c>
      <c r="T1014" t="s">
        <v>31</v>
      </c>
    </row>
    <row r="1015" spans="1:20" hidden="1" x14ac:dyDescent="0.3">
      <c r="A1015" t="s">
        <v>1655</v>
      </c>
      <c r="B1015" t="s">
        <v>28</v>
      </c>
      <c r="C1015" t="s">
        <v>29</v>
      </c>
      <c r="D1015" t="s">
        <v>30</v>
      </c>
      <c r="E1015">
        <v>2010</v>
      </c>
      <c r="F1015" t="s">
        <v>31</v>
      </c>
      <c r="G1015" t="s">
        <v>3975</v>
      </c>
      <c r="H1015" t="s">
        <v>2680</v>
      </c>
      <c r="I1015" t="s">
        <v>115</v>
      </c>
      <c r="J1015" t="s">
        <v>2681</v>
      </c>
      <c r="K1015" t="s">
        <v>31</v>
      </c>
      <c r="L1015" t="s">
        <v>31</v>
      </c>
      <c r="M1015" t="s">
        <v>27</v>
      </c>
      <c r="N1015" t="s">
        <v>27</v>
      </c>
      <c r="O1015" t="s">
        <v>27</v>
      </c>
      <c r="P1015" t="s">
        <v>31</v>
      </c>
      <c r="Q1015" t="s">
        <v>31</v>
      </c>
      <c r="R1015" t="s">
        <v>31</v>
      </c>
      <c r="S1015" t="s">
        <v>31</v>
      </c>
      <c r="T1015" t="s">
        <v>31</v>
      </c>
    </row>
    <row r="1016" spans="1:20" hidden="1" x14ac:dyDescent="0.3">
      <c r="A1016" t="s">
        <v>1656</v>
      </c>
      <c r="B1016" t="s">
        <v>43</v>
      </c>
      <c r="C1016" t="s">
        <v>2665</v>
      </c>
      <c r="D1016" t="s">
        <v>44</v>
      </c>
      <c r="E1016">
        <v>2010</v>
      </c>
      <c r="F1016" t="s">
        <v>31</v>
      </c>
      <c r="G1016" t="s">
        <v>4018</v>
      </c>
      <c r="H1016" t="s">
        <v>2888</v>
      </c>
      <c r="I1016" t="s">
        <v>75</v>
      </c>
      <c r="J1016" t="s">
        <v>4051</v>
      </c>
      <c r="K1016" t="s">
        <v>31</v>
      </c>
      <c r="L1016" t="s">
        <v>31</v>
      </c>
      <c r="M1016" t="s">
        <v>27</v>
      </c>
      <c r="N1016" t="s">
        <v>27</v>
      </c>
      <c r="O1016" t="s">
        <v>27</v>
      </c>
      <c r="P1016" t="s">
        <v>31</v>
      </c>
      <c r="Q1016" t="s">
        <v>31</v>
      </c>
      <c r="R1016" t="s">
        <v>31</v>
      </c>
      <c r="S1016" t="s">
        <v>31</v>
      </c>
      <c r="T1016" t="s">
        <v>31</v>
      </c>
    </row>
    <row r="1017" spans="1:20" hidden="1" x14ac:dyDescent="0.3">
      <c r="A1017" t="s">
        <v>1658</v>
      </c>
      <c r="B1017" t="s">
        <v>28</v>
      </c>
      <c r="C1017" t="s">
        <v>29</v>
      </c>
      <c r="D1017" t="s">
        <v>30</v>
      </c>
      <c r="E1017">
        <v>2010</v>
      </c>
      <c r="F1017" t="s">
        <v>31</v>
      </c>
      <c r="G1017" t="s">
        <v>3979</v>
      </c>
      <c r="H1017" t="s">
        <v>2888</v>
      </c>
      <c r="I1017" t="s">
        <v>75</v>
      </c>
      <c r="J1017" t="s">
        <v>3219</v>
      </c>
      <c r="K1017" t="s">
        <v>31</v>
      </c>
      <c r="L1017" t="s">
        <v>54</v>
      </c>
      <c r="M1017" t="s">
        <v>27</v>
      </c>
      <c r="N1017" t="s">
        <v>27</v>
      </c>
      <c r="O1017" t="s">
        <v>27</v>
      </c>
      <c r="P1017" t="s">
        <v>31</v>
      </c>
      <c r="Q1017" t="s">
        <v>31</v>
      </c>
      <c r="R1017" t="s">
        <v>31</v>
      </c>
      <c r="S1017" t="s">
        <v>31</v>
      </c>
      <c r="T1017" t="s">
        <v>31</v>
      </c>
    </row>
    <row r="1018" spans="1:20" hidden="1" x14ac:dyDescent="0.3">
      <c r="A1018" t="s">
        <v>1659</v>
      </c>
      <c r="B1018" t="s">
        <v>51</v>
      </c>
      <c r="C1018" t="s">
        <v>37</v>
      </c>
      <c r="D1018" t="s">
        <v>121</v>
      </c>
      <c r="E1018">
        <v>2010</v>
      </c>
      <c r="F1018">
        <v>170000</v>
      </c>
      <c r="G1018" t="s">
        <v>31</v>
      </c>
      <c r="H1018" t="s">
        <v>2709</v>
      </c>
      <c r="I1018" t="s">
        <v>70</v>
      </c>
      <c r="J1018" t="s">
        <v>4052</v>
      </c>
      <c r="K1018" t="s">
        <v>3993</v>
      </c>
      <c r="L1018" t="s">
        <v>54</v>
      </c>
      <c r="M1018" t="s">
        <v>27</v>
      </c>
      <c r="N1018" t="s">
        <v>27</v>
      </c>
      <c r="O1018" t="s">
        <v>33</v>
      </c>
      <c r="P1018">
        <v>442</v>
      </c>
      <c r="Q1018">
        <v>180760</v>
      </c>
      <c r="R1018">
        <v>9.77</v>
      </c>
      <c r="S1018">
        <v>-66.930000000000007</v>
      </c>
      <c r="T1018" t="s">
        <v>31</v>
      </c>
    </row>
    <row r="1019" spans="1:20" hidden="1" x14ac:dyDescent="0.3">
      <c r="A1019" t="s">
        <v>1660</v>
      </c>
      <c r="B1019" t="s">
        <v>51</v>
      </c>
      <c r="C1019" t="s">
        <v>37</v>
      </c>
      <c r="D1019" t="s">
        <v>121</v>
      </c>
      <c r="E1019">
        <v>2010</v>
      </c>
      <c r="F1019" t="s">
        <v>31</v>
      </c>
      <c r="G1019" t="s">
        <v>31</v>
      </c>
      <c r="H1019" t="s">
        <v>2656</v>
      </c>
      <c r="I1019" t="s">
        <v>119</v>
      </c>
      <c r="J1019" t="s">
        <v>4053</v>
      </c>
      <c r="K1019" t="s">
        <v>2649</v>
      </c>
      <c r="L1019" t="s">
        <v>402</v>
      </c>
      <c r="M1019" t="s">
        <v>27</v>
      </c>
      <c r="N1019" t="s">
        <v>27</v>
      </c>
      <c r="O1019" t="s">
        <v>33</v>
      </c>
      <c r="P1019">
        <v>714</v>
      </c>
      <c r="Q1019" t="s">
        <v>31</v>
      </c>
      <c r="R1019" t="s">
        <v>31</v>
      </c>
      <c r="S1019" t="s">
        <v>31</v>
      </c>
      <c r="T1019" t="s">
        <v>31</v>
      </c>
    </row>
    <row r="1020" spans="1:20" hidden="1" x14ac:dyDescent="0.3">
      <c r="A1020" t="s">
        <v>1661</v>
      </c>
      <c r="B1020" t="s">
        <v>51</v>
      </c>
      <c r="C1020" t="s">
        <v>37</v>
      </c>
      <c r="D1020" t="s">
        <v>121</v>
      </c>
      <c r="E1020">
        <v>2010</v>
      </c>
      <c r="F1020" t="s">
        <v>31</v>
      </c>
      <c r="G1020" t="s">
        <v>31</v>
      </c>
      <c r="H1020" t="s">
        <v>2645</v>
      </c>
      <c r="I1020" t="s">
        <v>34</v>
      </c>
      <c r="J1020" t="s">
        <v>4054</v>
      </c>
      <c r="K1020" t="s">
        <v>2649</v>
      </c>
      <c r="L1020" t="s">
        <v>31</v>
      </c>
      <c r="M1020" t="s">
        <v>27</v>
      </c>
      <c r="N1020" t="s">
        <v>27</v>
      </c>
      <c r="O1020" t="s">
        <v>33</v>
      </c>
      <c r="P1020" t="s">
        <v>31</v>
      </c>
      <c r="Q1020">
        <v>355567</v>
      </c>
      <c r="R1020">
        <v>38.849699999999999</v>
      </c>
      <c r="S1020">
        <v>-120.73</v>
      </c>
      <c r="T1020" t="s">
        <v>31</v>
      </c>
    </row>
    <row r="1021" spans="1:20" hidden="1" x14ac:dyDescent="0.3">
      <c r="A1021" t="s">
        <v>1662</v>
      </c>
      <c r="B1021" t="s">
        <v>43</v>
      </c>
      <c r="C1021" t="s">
        <v>2665</v>
      </c>
      <c r="D1021" t="s">
        <v>114</v>
      </c>
      <c r="E1021">
        <v>2010</v>
      </c>
      <c r="F1021" t="s">
        <v>31</v>
      </c>
      <c r="G1021" t="s">
        <v>31</v>
      </c>
      <c r="H1021" t="s">
        <v>2669</v>
      </c>
      <c r="I1021" t="s">
        <v>111</v>
      </c>
      <c r="J1021" t="s">
        <v>4055</v>
      </c>
      <c r="K1021" t="s">
        <v>31</v>
      </c>
      <c r="L1021" t="s">
        <v>31</v>
      </c>
      <c r="M1021" t="s">
        <v>27</v>
      </c>
      <c r="N1021" t="s">
        <v>27</v>
      </c>
      <c r="O1021" t="s">
        <v>27</v>
      </c>
      <c r="P1021" t="s">
        <v>31</v>
      </c>
      <c r="Q1021" t="s">
        <v>31</v>
      </c>
      <c r="R1021" t="s">
        <v>31</v>
      </c>
      <c r="S1021" t="s">
        <v>31</v>
      </c>
      <c r="T1021" t="s">
        <v>31</v>
      </c>
    </row>
    <row r="1022" spans="1:20" hidden="1" x14ac:dyDescent="0.3">
      <c r="A1022" t="s">
        <v>1663</v>
      </c>
      <c r="B1022" t="s">
        <v>43</v>
      </c>
      <c r="C1022" t="s">
        <v>2665</v>
      </c>
      <c r="D1022" t="s">
        <v>114</v>
      </c>
      <c r="E1022">
        <v>2010</v>
      </c>
      <c r="F1022" t="s">
        <v>31</v>
      </c>
      <c r="G1022" t="s">
        <v>31</v>
      </c>
      <c r="H1022" t="s">
        <v>2678</v>
      </c>
      <c r="I1022" t="s">
        <v>53</v>
      </c>
      <c r="J1022" t="s">
        <v>4056</v>
      </c>
      <c r="K1022" t="s">
        <v>31</v>
      </c>
      <c r="L1022" t="s">
        <v>31</v>
      </c>
      <c r="M1022" t="s">
        <v>27</v>
      </c>
      <c r="N1022" t="s">
        <v>27</v>
      </c>
      <c r="O1022" t="s">
        <v>27</v>
      </c>
      <c r="P1022" t="s">
        <v>31</v>
      </c>
      <c r="Q1022" t="s">
        <v>31</v>
      </c>
      <c r="R1022" t="s">
        <v>31</v>
      </c>
      <c r="S1022" t="s">
        <v>31</v>
      </c>
      <c r="T1022" t="s">
        <v>31</v>
      </c>
    </row>
    <row r="1023" spans="1:20" hidden="1" x14ac:dyDescent="0.3">
      <c r="A1023" t="s">
        <v>1664</v>
      </c>
      <c r="B1023" t="s">
        <v>28</v>
      </c>
      <c r="C1023" t="s">
        <v>29</v>
      </c>
      <c r="D1023" t="s">
        <v>99</v>
      </c>
      <c r="E1023">
        <v>2010</v>
      </c>
      <c r="F1023" t="s">
        <v>31</v>
      </c>
      <c r="G1023" t="s">
        <v>31</v>
      </c>
      <c r="H1023" t="s">
        <v>2645</v>
      </c>
      <c r="I1023" t="s">
        <v>34</v>
      </c>
      <c r="J1023" t="s">
        <v>4057</v>
      </c>
      <c r="K1023" t="s">
        <v>31</v>
      </c>
      <c r="L1023" t="s">
        <v>37</v>
      </c>
      <c r="M1023" t="s">
        <v>27</v>
      </c>
      <c r="N1023" t="s">
        <v>27</v>
      </c>
      <c r="O1023" t="s">
        <v>27</v>
      </c>
      <c r="P1023" t="s">
        <v>31</v>
      </c>
      <c r="Q1023" t="s">
        <v>31</v>
      </c>
      <c r="R1023" t="s">
        <v>31</v>
      </c>
      <c r="S1023" t="s">
        <v>31</v>
      </c>
      <c r="T1023" t="s">
        <v>31</v>
      </c>
    </row>
    <row r="1024" spans="1:20" hidden="1" x14ac:dyDescent="0.3">
      <c r="A1024" t="s">
        <v>1665</v>
      </c>
      <c r="B1024" t="s">
        <v>43</v>
      </c>
      <c r="C1024" t="s">
        <v>2665</v>
      </c>
      <c r="D1024" t="s">
        <v>114</v>
      </c>
      <c r="E1024">
        <v>2010</v>
      </c>
      <c r="F1024" t="s">
        <v>31</v>
      </c>
      <c r="G1024" t="s">
        <v>31</v>
      </c>
      <c r="H1024" t="s">
        <v>2666</v>
      </c>
      <c r="I1024" t="s">
        <v>109</v>
      </c>
      <c r="J1024" t="s">
        <v>31</v>
      </c>
      <c r="K1024" t="s">
        <v>31</v>
      </c>
      <c r="L1024" t="s">
        <v>31</v>
      </c>
      <c r="M1024" t="s">
        <v>27</v>
      </c>
      <c r="N1024" t="s">
        <v>27</v>
      </c>
      <c r="O1024" t="s">
        <v>27</v>
      </c>
      <c r="P1024" t="s">
        <v>31</v>
      </c>
      <c r="Q1024" t="s">
        <v>31</v>
      </c>
      <c r="R1024" t="s">
        <v>31</v>
      </c>
      <c r="S1024" t="s">
        <v>31</v>
      </c>
      <c r="T1024" t="s">
        <v>31</v>
      </c>
    </row>
    <row r="1025" spans="1:20" hidden="1" x14ac:dyDescent="0.3">
      <c r="A1025" t="s">
        <v>1666</v>
      </c>
      <c r="B1025" t="s">
        <v>39</v>
      </c>
      <c r="C1025" t="s">
        <v>157</v>
      </c>
      <c r="D1025" t="s">
        <v>157</v>
      </c>
      <c r="E1025">
        <v>2010</v>
      </c>
      <c r="F1025" t="s">
        <v>31</v>
      </c>
      <c r="G1025" t="s">
        <v>3988</v>
      </c>
      <c r="H1025" t="s">
        <v>2959</v>
      </c>
      <c r="I1025" t="s">
        <v>144</v>
      </c>
      <c r="J1025" t="s">
        <v>4058</v>
      </c>
      <c r="K1025" t="s">
        <v>4059</v>
      </c>
      <c r="L1025" t="s">
        <v>31</v>
      </c>
      <c r="M1025" t="s">
        <v>27</v>
      </c>
      <c r="N1025" t="s">
        <v>27</v>
      </c>
      <c r="O1025" t="s">
        <v>27</v>
      </c>
      <c r="P1025" t="s">
        <v>31</v>
      </c>
      <c r="Q1025" t="s">
        <v>31</v>
      </c>
      <c r="R1025" t="s">
        <v>31</v>
      </c>
      <c r="S1025" t="s">
        <v>31</v>
      </c>
      <c r="T1025" t="s">
        <v>31</v>
      </c>
    </row>
    <row r="1026" spans="1:20" hidden="1" x14ac:dyDescent="0.3">
      <c r="A1026" t="s">
        <v>2349</v>
      </c>
      <c r="B1026" t="s">
        <v>91</v>
      </c>
      <c r="C1026" t="s">
        <v>92</v>
      </c>
      <c r="D1026" t="s">
        <v>93</v>
      </c>
      <c r="E1026">
        <v>2010</v>
      </c>
      <c r="F1026">
        <v>1150000</v>
      </c>
      <c r="G1026" t="s">
        <v>4060</v>
      </c>
      <c r="H1026" t="s">
        <v>2672</v>
      </c>
      <c r="I1026" t="s">
        <v>73</v>
      </c>
      <c r="J1026" t="s">
        <v>4061</v>
      </c>
      <c r="K1026" t="s">
        <v>31</v>
      </c>
      <c r="L1026" t="s">
        <v>31</v>
      </c>
      <c r="M1026" t="s">
        <v>27</v>
      </c>
      <c r="N1026" t="s">
        <v>27</v>
      </c>
      <c r="O1026" t="s">
        <v>33</v>
      </c>
      <c r="P1026" t="s">
        <v>31</v>
      </c>
      <c r="Q1026">
        <v>7.2</v>
      </c>
      <c r="R1026">
        <v>32.286166700000003</v>
      </c>
      <c r="S1026">
        <v>-115.2953333</v>
      </c>
      <c r="T1026" t="s">
        <v>31</v>
      </c>
    </row>
    <row r="1027" spans="1:20" hidden="1" x14ac:dyDescent="0.3">
      <c r="A1027" t="s">
        <v>2355</v>
      </c>
      <c r="B1027" t="s">
        <v>51</v>
      </c>
      <c r="C1027" t="s">
        <v>37</v>
      </c>
      <c r="D1027" t="s">
        <v>121</v>
      </c>
      <c r="E1027">
        <v>2010</v>
      </c>
      <c r="F1027" t="s">
        <v>31</v>
      </c>
      <c r="G1027" t="s">
        <v>31</v>
      </c>
      <c r="H1027" t="s">
        <v>2645</v>
      </c>
      <c r="I1027" t="s">
        <v>34</v>
      </c>
      <c r="J1027" t="s">
        <v>4062</v>
      </c>
      <c r="K1027" t="s">
        <v>3063</v>
      </c>
      <c r="L1027" t="s">
        <v>31</v>
      </c>
      <c r="M1027" t="s">
        <v>27</v>
      </c>
      <c r="N1027" t="s">
        <v>27</v>
      </c>
      <c r="O1027" t="s">
        <v>33</v>
      </c>
      <c r="P1027" t="s">
        <v>31</v>
      </c>
      <c r="Q1027">
        <v>240301</v>
      </c>
      <c r="R1027">
        <v>39.479999999999997</v>
      </c>
      <c r="S1027">
        <v>-74.87</v>
      </c>
      <c r="T1027" t="s">
        <v>31</v>
      </c>
    </row>
    <row r="1028" spans="1:20" hidden="1" x14ac:dyDescent="0.3">
      <c r="A1028" t="s">
        <v>2359</v>
      </c>
      <c r="B1028" t="s">
        <v>51</v>
      </c>
      <c r="C1028" t="s">
        <v>37</v>
      </c>
      <c r="D1028" t="s">
        <v>121</v>
      </c>
      <c r="E1028">
        <v>2010</v>
      </c>
      <c r="F1028" t="s">
        <v>31</v>
      </c>
      <c r="G1028" t="s">
        <v>4063</v>
      </c>
      <c r="H1028" t="s">
        <v>2669</v>
      </c>
      <c r="I1028" t="s">
        <v>111</v>
      </c>
      <c r="J1028" t="s">
        <v>4064</v>
      </c>
      <c r="K1028" t="s">
        <v>4065</v>
      </c>
      <c r="L1028" t="s">
        <v>31</v>
      </c>
      <c r="M1028" t="s">
        <v>27</v>
      </c>
      <c r="N1028" t="s">
        <v>27</v>
      </c>
      <c r="O1028" t="s">
        <v>33</v>
      </c>
      <c r="P1028">
        <v>2559</v>
      </c>
      <c r="Q1028">
        <v>102200</v>
      </c>
      <c r="R1028">
        <v>-17.829999999999998</v>
      </c>
      <c r="S1028">
        <v>-63.6</v>
      </c>
      <c r="T1028" t="s">
        <v>31</v>
      </c>
    </row>
    <row r="1029" spans="1:20" hidden="1" x14ac:dyDescent="0.3">
      <c r="A1029" t="s">
        <v>2360</v>
      </c>
      <c r="B1029" t="s">
        <v>51</v>
      </c>
      <c r="C1029" t="s">
        <v>37</v>
      </c>
      <c r="D1029" t="s">
        <v>121</v>
      </c>
      <c r="E1029">
        <v>2010</v>
      </c>
      <c r="F1029" t="s">
        <v>31</v>
      </c>
      <c r="G1029" t="s">
        <v>31</v>
      </c>
      <c r="H1029" t="s">
        <v>2774</v>
      </c>
      <c r="I1029" t="s">
        <v>166</v>
      </c>
      <c r="J1029" t="s">
        <v>4066</v>
      </c>
      <c r="K1029" t="s">
        <v>2649</v>
      </c>
      <c r="L1029" t="s">
        <v>31</v>
      </c>
      <c r="M1029" t="s">
        <v>27</v>
      </c>
      <c r="N1029" t="s">
        <v>27</v>
      </c>
      <c r="O1029" t="s">
        <v>27</v>
      </c>
      <c r="P1029" t="s">
        <v>31</v>
      </c>
      <c r="Q1029">
        <v>23340</v>
      </c>
      <c r="R1029">
        <v>9.11</v>
      </c>
      <c r="S1029">
        <v>-82.64</v>
      </c>
      <c r="T1029" t="s">
        <v>4067</v>
      </c>
    </row>
    <row r="1030" spans="1:20" hidden="1" x14ac:dyDescent="0.3">
      <c r="A1030" t="s">
        <v>2361</v>
      </c>
      <c r="B1030" t="s">
        <v>28</v>
      </c>
      <c r="C1030" t="s">
        <v>29</v>
      </c>
      <c r="D1030" t="s">
        <v>67</v>
      </c>
      <c r="E1030">
        <v>2010</v>
      </c>
      <c r="F1030">
        <v>2000000</v>
      </c>
      <c r="G1030" t="s">
        <v>31</v>
      </c>
      <c r="H1030" t="s">
        <v>2645</v>
      </c>
      <c r="I1030" t="s">
        <v>34</v>
      </c>
      <c r="J1030" t="s">
        <v>4068</v>
      </c>
      <c r="K1030" t="s">
        <v>31</v>
      </c>
      <c r="L1030" t="s">
        <v>31</v>
      </c>
      <c r="M1030" t="s">
        <v>27</v>
      </c>
      <c r="N1030" t="s">
        <v>27</v>
      </c>
      <c r="O1030" t="s">
        <v>33</v>
      </c>
      <c r="P1030" t="s">
        <v>31</v>
      </c>
      <c r="Q1030" t="s">
        <v>31</v>
      </c>
      <c r="R1030" t="s">
        <v>31</v>
      </c>
      <c r="S1030" t="s">
        <v>31</v>
      </c>
      <c r="T1030" t="s">
        <v>31</v>
      </c>
    </row>
    <row r="1031" spans="1:20" hidden="1" x14ac:dyDescent="0.3">
      <c r="A1031" t="s">
        <v>2362</v>
      </c>
      <c r="B1031" t="s">
        <v>28</v>
      </c>
      <c r="C1031" t="s">
        <v>29</v>
      </c>
      <c r="D1031" t="s">
        <v>97</v>
      </c>
      <c r="E1031">
        <v>2010</v>
      </c>
      <c r="F1031">
        <v>2700000</v>
      </c>
      <c r="G1031" t="s">
        <v>4069</v>
      </c>
      <c r="H1031" t="s">
        <v>2645</v>
      </c>
      <c r="I1031" t="s">
        <v>34</v>
      </c>
      <c r="J1031" t="s">
        <v>2651</v>
      </c>
      <c r="K1031" t="s">
        <v>31</v>
      </c>
      <c r="L1031" t="s">
        <v>65</v>
      </c>
      <c r="M1031" t="s">
        <v>27</v>
      </c>
      <c r="N1031" t="s">
        <v>27</v>
      </c>
      <c r="O1031" t="s">
        <v>27</v>
      </c>
      <c r="P1031" t="s">
        <v>31</v>
      </c>
      <c r="Q1031" t="s">
        <v>31</v>
      </c>
      <c r="R1031" t="s">
        <v>31</v>
      </c>
      <c r="S1031" t="s">
        <v>31</v>
      </c>
      <c r="T1031" t="s">
        <v>31</v>
      </c>
    </row>
    <row r="1032" spans="1:20" hidden="1" x14ac:dyDescent="0.3">
      <c r="A1032" t="s">
        <v>2363</v>
      </c>
      <c r="B1032" t="s">
        <v>28</v>
      </c>
      <c r="C1032" t="s">
        <v>29</v>
      </c>
      <c r="D1032" t="s">
        <v>30</v>
      </c>
      <c r="E1032">
        <v>2010</v>
      </c>
      <c r="F1032">
        <v>20000</v>
      </c>
      <c r="G1032" t="s">
        <v>3959</v>
      </c>
      <c r="H1032" t="s">
        <v>2680</v>
      </c>
      <c r="I1032" t="s">
        <v>115</v>
      </c>
      <c r="J1032" t="s">
        <v>4070</v>
      </c>
      <c r="K1032" t="s">
        <v>31</v>
      </c>
      <c r="L1032" t="s">
        <v>82</v>
      </c>
      <c r="M1032" t="s">
        <v>33</v>
      </c>
      <c r="N1032" t="s">
        <v>27</v>
      </c>
      <c r="O1032" t="s">
        <v>33</v>
      </c>
      <c r="P1032" t="s">
        <v>31</v>
      </c>
      <c r="Q1032" t="s">
        <v>31</v>
      </c>
      <c r="R1032" t="s">
        <v>31</v>
      </c>
      <c r="S1032" t="s">
        <v>31</v>
      </c>
      <c r="T1032" t="s">
        <v>31</v>
      </c>
    </row>
    <row r="1033" spans="1:20" hidden="1" x14ac:dyDescent="0.3">
      <c r="A1033" t="s">
        <v>2364</v>
      </c>
      <c r="B1033" t="s">
        <v>51</v>
      </c>
      <c r="C1033" t="s">
        <v>37</v>
      </c>
      <c r="D1033" t="s">
        <v>121</v>
      </c>
      <c r="E1033">
        <v>2010</v>
      </c>
      <c r="F1033" t="s">
        <v>31</v>
      </c>
      <c r="G1033" t="s">
        <v>31</v>
      </c>
      <c r="H1033" t="s">
        <v>2645</v>
      </c>
      <c r="I1033" t="s">
        <v>34</v>
      </c>
      <c r="J1033" t="s">
        <v>4071</v>
      </c>
      <c r="K1033" t="s">
        <v>2649</v>
      </c>
      <c r="L1033" t="s">
        <v>31</v>
      </c>
      <c r="M1033" t="s">
        <v>27</v>
      </c>
      <c r="N1033" t="s">
        <v>27</v>
      </c>
      <c r="O1033" t="s">
        <v>27</v>
      </c>
      <c r="P1033" t="s">
        <v>31</v>
      </c>
      <c r="Q1033" t="s">
        <v>31</v>
      </c>
      <c r="R1033">
        <v>34.58</v>
      </c>
      <c r="S1033">
        <v>-95.1</v>
      </c>
      <c r="T1033" t="s">
        <v>31</v>
      </c>
    </row>
    <row r="1034" spans="1:20" hidden="1" x14ac:dyDescent="0.3">
      <c r="A1034" t="s">
        <v>2365</v>
      </c>
      <c r="B1034" t="s">
        <v>28</v>
      </c>
      <c r="C1034" t="s">
        <v>29</v>
      </c>
      <c r="D1034" t="s">
        <v>30</v>
      </c>
      <c r="E1034">
        <v>2010</v>
      </c>
      <c r="F1034" t="s">
        <v>31</v>
      </c>
      <c r="G1034" t="s">
        <v>3962</v>
      </c>
      <c r="H1034" t="s">
        <v>2675</v>
      </c>
      <c r="I1034" t="s">
        <v>81</v>
      </c>
      <c r="J1034" t="s">
        <v>2861</v>
      </c>
      <c r="K1034" t="s">
        <v>31</v>
      </c>
      <c r="L1034" t="s">
        <v>31</v>
      </c>
      <c r="M1034" t="s">
        <v>27</v>
      </c>
      <c r="N1034" t="s">
        <v>27</v>
      </c>
      <c r="O1034" t="s">
        <v>27</v>
      </c>
      <c r="P1034" t="s">
        <v>31</v>
      </c>
      <c r="Q1034" t="s">
        <v>31</v>
      </c>
      <c r="R1034" t="s">
        <v>31</v>
      </c>
      <c r="S1034" t="s">
        <v>31</v>
      </c>
      <c r="T1034" t="s">
        <v>31</v>
      </c>
    </row>
    <row r="1035" spans="1:20" hidden="1" x14ac:dyDescent="0.3">
      <c r="A1035" t="s">
        <v>2366</v>
      </c>
      <c r="B1035" t="s">
        <v>39</v>
      </c>
      <c r="C1035" t="s">
        <v>40</v>
      </c>
      <c r="D1035" t="s">
        <v>142</v>
      </c>
      <c r="E1035">
        <v>2010</v>
      </c>
      <c r="F1035" t="s">
        <v>31</v>
      </c>
      <c r="G1035" t="s">
        <v>31</v>
      </c>
      <c r="H1035" t="s">
        <v>2647</v>
      </c>
      <c r="I1035" t="s">
        <v>47</v>
      </c>
      <c r="J1035" t="s">
        <v>4072</v>
      </c>
      <c r="K1035" t="s">
        <v>4073</v>
      </c>
      <c r="L1035" t="s">
        <v>31</v>
      </c>
      <c r="M1035" t="s">
        <v>33</v>
      </c>
      <c r="N1035" t="s">
        <v>27</v>
      </c>
      <c r="O1035" t="s">
        <v>27</v>
      </c>
      <c r="P1035" t="s">
        <v>31</v>
      </c>
      <c r="Q1035" t="s">
        <v>31</v>
      </c>
      <c r="R1035" t="s">
        <v>31</v>
      </c>
      <c r="S1035" t="s">
        <v>31</v>
      </c>
      <c r="T1035" t="s">
        <v>31</v>
      </c>
    </row>
    <row r="1036" spans="1:20" hidden="1" x14ac:dyDescent="0.3">
      <c r="A1036" t="s">
        <v>2367</v>
      </c>
      <c r="B1036" t="s">
        <v>28</v>
      </c>
      <c r="C1036" t="s">
        <v>2685</v>
      </c>
      <c r="D1036" t="s">
        <v>68</v>
      </c>
      <c r="E1036">
        <v>2010</v>
      </c>
      <c r="F1036" t="s">
        <v>31</v>
      </c>
      <c r="G1036" t="s">
        <v>31</v>
      </c>
      <c r="H1036" t="s">
        <v>2730</v>
      </c>
      <c r="I1036" t="s">
        <v>57</v>
      </c>
      <c r="J1036" t="s">
        <v>2731</v>
      </c>
      <c r="K1036" t="s">
        <v>31</v>
      </c>
      <c r="L1036" t="s">
        <v>31</v>
      </c>
      <c r="M1036" t="s">
        <v>27</v>
      </c>
      <c r="N1036" t="s">
        <v>27</v>
      </c>
      <c r="O1036" t="s">
        <v>27</v>
      </c>
      <c r="P1036" t="s">
        <v>31</v>
      </c>
      <c r="Q1036" t="s">
        <v>31</v>
      </c>
      <c r="R1036" t="s">
        <v>31</v>
      </c>
      <c r="S1036" t="s">
        <v>31</v>
      </c>
      <c r="T1036" t="s">
        <v>31</v>
      </c>
    </row>
    <row r="1037" spans="1:20" hidden="1" x14ac:dyDescent="0.3">
      <c r="A1037" t="s">
        <v>2369</v>
      </c>
      <c r="B1037" t="s">
        <v>28</v>
      </c>
      <c r="C1037" t="s">
        <v>2685</v>
      </c>
      <c r="D1037" t="s">
        <v>68</v>
      </c>
      <c r="E1037">
        <v>2010</v>
      </c>
      <c r="F1037" t="s">
        <v>31</v>
      </c>
      <c r="G1037" t="s">
        <v>4074</v>
      </c>
      <c r="H1037" t="s">
        <v>2678</v>
      </c>
      <c r="I1037" t="s">
        <v>53</v>
      </c>
      <c r="J1037" t="s">
        <v>4075</v>
      </c>
      <c r="K1037" t="s">
        <v>31</v>
      </c>
      <c r="L1037" t="s">
        <v>31</v>
      </c>
      <c r="M1037" t="s">
        <v>27</v>
      </c>
      <c r="N1037" t="s">
        <v>27</v>
      </c>
      <c r="O1037" t="s">
        <v>33</v>
      </c>
      <c r="P1037">
        <v>56</v>
      </c>
      <c r="Q1037" t="s">
        <v>31</v>
      </c>
      <c r="R1037" t="s">
        <v>31</v>
      </c>
      <c r="S1037" t="s">
        <v>31</v>
      </c>
      <c r="T1037" t="s">
        <v>31</v>
      </c>
    </row>
    <row r="1038" spans="1:20" hidden="1" x14ac:dyDescent="0.3">
      <c r="A1038" t="s">
        <v>2370</v>
      </c>
      <c r="B1038" t="s">
        <v>28</v>
      </c>
      <c r="C1038" t="s">
        <v>29</v>
      </c>
      <c r="D1038" t="s">
        <v>30</v>
      </c>
      <c r="E1038">
        <v>2010</v>
      </c>
      <c r="F1038" t="s">
        <v>31</v>
      </c>
      <c r="G1038" t="s">
        <v>31</v>
      </c>
      <c r="H1038" t="s">
        <v>2672</v>
      </c>
      <c r="I1038" t="s">
        <v>73</v>
      </c>
      <c r="J1038" t="s">
        <v>4076</v>
      </c>
      <c r="K1038" t="s">
        <v>31</v>
      </c>
      <c r="L1038" t="s">
        <v>82</v>
      </c>
      <c r="M1038" t="s">
        <v>27</v>
      </c>
      <c r="N1038" t="s">
        <v>27</v>
      </c>
      <c r="O1038" t="s">
        <v>33</v>
      </c>
      <c r="P1038" t="s">
        <v>31</v>
      </c>
      <c r="Q1038" t="s">
        <v>31</v>
      </c>
      <c r="R1038" t="s">
        <v>31</v>
      </c>
      <c r="S1038" t="s">
        <v>31</v>
      </c>
      <c r="T1038" t="s">
        <v>31</v>
      </c>
    </row>
    <row r="1039" spans="1:20" hidden="1" x14ac:dyDescent="0.3">
      <c r="A1039" t="s">
        <v>2371</v>
      </c>
      <c r="B1039" t="s">
        <v>51</v>
      </c>
      <c r="C1039" t="s">
        <v>37</v>
      </c>
      <c r="D1039" t="s">
        <v>121</v>
      </c>
      <c r="E1039">
        <v>2010</v>
      </c>
      <c r="F1039" t="s">
        <v>31</v>
      </c>
      <c r="G1039" t="s">
        <v>31</v>
      </c>
      <c r="H1039" t="s">
        <v>2753</v>
      </c>
      <c r="I1039" t="s">
        <v>49</v>
      </c>
      <c r="J1039" t="s">
        <v>2760</v>
      </c>
      <c r="K1039" t="s">
        <v>2649</v>
      </c>
      <c r="L1039" t="s">
        <v>31</v>
      </c>
      <c r="M1039" t="s">
        <v>27</v>
      </c>
      <c r="N1039" t="s">
        <v>27</v>
      </c>
      <c r="O1039" t="s">
        <v>27</v>
      </c>
      <c r="P1039" t="s">
        <v>31</v>
      </c>
      <c r="Q1039" t="s">
        <v>31</v>
      </c>
      <c r="R1039" t="s">
        <v>31</v>
      </c>
      <c r="S1039" t="s">
        <v>31</v>
      </c>
      <c r="T1039" t="s">
        <v>31</v>
      </c>
    </row>
    <row r="1040" spans="1:20" hidden="1" x14ac:dyDescent="0.3">
      <c r="A1040" t="s">
        <v>2372</v>
      </c>
      <c r="B1040" t="s">
        <v>51</v>
      </c>
      <c r="C1040" t="s">
        <v>37</v>
      </c>
      <c r="D1040" t="s">
        <v>121</v>
      </c>
      <c r="E1040">
        <v>2010</v>
      </c>
      <c r="F1040" t="s">
        <v>31</v>
      </c>
      <c r="G1040" t="s">
        <v>31</v>
      </c>
      <c r="H1040" t="s">
        <v>2695</v>
      </c>
      <c r="I1040" t="s">
        <v>161</v>
      </c>
      <c r="J1040" t="s">
        <v>4077</v>
      </c>
      <c r="K1040" t="s">
        <v>2649</v>
      </c>
      <c r="L1040" t="s">
        <v>54</v>
      </c>
      <c r="M1040" t="s">
        <v>27</v>
      </c>
      <c r="N1040" t="s">
        <v>27</v>
      </c>
      <c r="O1040" t="s">
        <v>27</v>
      </c>
      <c r="P1040" t="s">
        <v>31</v>
      </c>
      <c r="Q1040" t="s">
        <v>31</v>
      </c>
      <c r="R1040" t="s">
        <v>31</v>
      </c>
      <c r="S1040" t="s">
        <v>31</v>
      </c>
      <c r="T1040" t="s">
        <v>31</v>
      </c>
    </row>
    <row r="1041" spans="1:20" hidden="1" x14ac:dyDescent="0.3">
      <c r="A1041" t="s">
        <v>2373</v>
      </c>
      <c r="B1041" t="s">
        <v>28</v>
      </c>
      <c r="C1041" t="s">
        <v>29</v>
      </c>
      <c r="D1041" t="s">
        <v>30</v>
      </c>
      <c r="E1041">
        <v>2010</v>
      </c>
      <c r="F1041">
        <v>500</v>
      </c>
      <c r="G1041" t="s">
        <v>3979</v>
      </c>
      <c r="H1041" t="s">
        <v>3184</v>
      </c>
      <c r="I1041" t="s">
        <v>246</v>
      </c>
      <c r="J1041" t="s">
        <v>3609</v>
      </c>
      <c r="K1041" t="s">
        <v>31</v>
      </c>
      <c r="L1041" t="s">
        <v>82</v>
      </c>
      <c r="M1041" t="s">
        <v>33</v>
      </c>
      <c r="N1041" t="s">
        <v>27</v>
      </c>
      <c r="O1041" t="s">
        <v>33</v>
      </c>
      <c r="P1041" t="s">
        <v>31</v>
      </c>
      <c r="Q1041">
        <v>150</v>
      </c>
      <c r="R1041" t="s">
        <v>31</v>
      </c>
      <c r="S1041" t="s">
        <v>31</v>
      </c>
      <c r="T1041" t="s">
        <v>31</v>
      </c>
    </row>
    <row r="1042" spans="1:20" hidden="1" x14ac:dyDescent="0.3">
      <c r="A1042" t="s">
        <v>2374</v>
      </c>
      <c r="B1042" t="s">
        <v>28</v>
      </c>
      <c r="C1042" t="s">
        <v>29</v>
      </c>
      <c r="D1042" t="s">
        <v>30</v>
      </c>
      <c r="E1042">
        <v>2010</v>
      </c>
      <c r="F1042">
        <v>48000</v>
      </c>
      <c r="G1042" t="s">
        <v>3979</v>
      </c>
      <c r="H1042" t="s">
        <v>2903</v>
      </c>
      <c r="I1042" t="s">
        <v>148</v>
      </c>
      <c r="J1042" t="s">
        <v>2904</v>
      </c>
      <c r="K1042" t="s">
        <v>31</v>
      </c>
      <c r="L1042" t="s">
        <v>31</v>
      </c>
      <c r="M1042" t="s">
        <v>33</v>
      </c>
      <c r="N1042" t="s">
        <v>27</v>
      </c>
      <c r="O1042" t="s">
        <v>33</v>
      </c>
      <c r="P1042" t="s">
        <v>31</v>
      </c>
      <c r="Q1042" t="s">
        <v>31</v>
      </c>
      <c r="R1042" t="s">
        <v>31</v>
      </c>
      <c r="S1042" t="s">
        <v>31</v>
      </c>
      <c r="T1042" t="s">
        <v>31</v>
      </c>
    </row>
    <row r="1043" spans="1:20" hidden="1" x14ac:dyDescent="0.3">
      <c r="A1043" t="s">
        <v>2375</v>
      </c>
      <c r="B1043" t="s">
        <v>51</v>
      </c>
      <c r="C1043" t="s">
        <v>37</v>
      </c>
      <c r="D1043" t="s">
        <v>121</v>
      </c>
      <c r="E1043">
        <v>2010</v>
      </c>
      <c r="F1043" t="s">
        <v>31</v>
      </c>
      <c r="G1043" t="s">
        <v>31</v>
      </c>
      <c r="H1043" t="s">
        <v>2695</v>
      </c>
      <c r="I1043" t="s">
        <v>161</v>
      </c>
      <c r="J1043" t="s">
        <v>4078</v>
      </c>
      <c r="K1043" t="s">
        <v>4079</v>
      </c>
      <c r="L1043" t="s">
        <v>54</v>
      </c>
      <c r="M1043" t="s">
        <v>33</v>
      </c>
      <c r="N1043" t="s">
        <v>27</v>
      </c>
      <c r="O1043" t="s">
        <v>33</v>
      </c>
      <c r="P1043">
        <v>449</v>
      </c>
      <c r="Q1043" t="s">
        <v>31</v>
      </c>
      <c r="R1043">
        <v>9.0739999999999998</v>
      </c>
      <c r="S1043">
        <v>-83.31</v>
      </c>
      <c r="T1043" t="s">
        <v>31</v>
      </c>
    </row>
    <row r="1044" spans="1:20" hidden="1" x14ac:dyDescent="0.3">
      <c r="A1044" t="s">
        <v>2376</v>
      </c>
      <c r="B1044" t="s">
        <v>28</v>
      </c>
      <c r="C1044" t="s">
        <v>29</v>
      </c>
      <c r="D1044" t="s">
        <v>97</v>
      </c>
      <c r="E1044">
        <v>2010</v>
      </c>
      <c r="F1044" t="s">
        <v>31</v>
      </c>
      <c r="G1044" t="s">
        <v>31</v>
      </c>
      <c r="H1044" t="s">
        <v>2645</v>
      </c>
      <c r="I1044" t="s">
        <v>34</v>
      </c>
      <c r="J1044" t="s">
        <v>4080</v>
      </c>
      <c r="K1044" t="s">
        <v>31</v>
      </c>
      <c r="L1044" t="s">
        <v>31</v>
      </c>
      <c r="M1044" t="s">
        <v>27</v>
      </c>
      <c r="N1044" t="s">
        <v>27</v>
      </c>
      <c r="O1044" t="s">
        <v>27</v>
      </c>
      <c r="P1044" t="s">
        <v>31</v>
      </c>
      <c r="Q1044" t="s">
        <v>31</v>
      </c>
      <c r="R1044" t="s">
        <v>31</v>
      </c>
      <c r="S1044" t="s">
        <v>31</v>
      </c>
      <c r="T1044" t="s">
        <v>31</v>
      </c>
    </row>
    <row r="1045" spans="1:20" hidden="1" x14ac:dyDescent="0.3">
      <c r="A1045" t="s">
        <v>2377</v>
      </c>
      <c r="B1045" t="s">
        <v>28</v>
      </c>
      <c r="C1045" t="s">
        <v>29</v>
      </c>
      <c r="D1045" t="s">
        <v>64</v>
      </c>
      <c r="E1045">
        <v>2010</v>
      </c>
      <c r="F1045" t="s">
        <v>31</v>
      </c>
      <c r="G1045" t="s">
        <v>4069</v>
      </c>
      <c r="H1045" t="s">
        <v>2645</v>
      </c>
      <c r="I1045" t="s">
        <v>34</v>
      </c>
      <c r="J1045" t="s">
        <v>4081</v>
      </c>
      <c r="K1045" t="s">
        <v>31</v>
      </c>
      <c r="L1045" t="s">
        <v>100</v>
      </c>
      <c r="M1045" t="s">
        <v>27</v>
      </c>
      <c r="N1045" t="s">
        <v>27</v>
      </c>
      <c r="O1045" t="s">
        <v>27</v>
      </c>
      <c r="P1045" t="s">
        <v>31</v>
      </c>
      <c r="Q1045">
        <v>97</v>
      </c>
      <c r="R1045" t="s">
        <v>31</v>
      </c>
      <c r="S1045" t="s">
        <v>31</v>
      </c>
      <c r="T1045" t="s">
        <v>31</v>
      </c>
    </row>
    <row r="1046" spans="1:20" hidden="1" x14ac:dyDescent="0.3">
      <c r="A1046" t="s">
        <v>2378</v>
      </c>
      <c r="B1046" t="s">
        <v>39</v>
      </c>
      <c r="C1046" t="s">
        <v>157</v>
      </c>
      <c r="D1046" t="s">
        <v>157</v>
      </c>
      <c r="E1046">
        <v>2010</v>
      </c>
      <c r="F1046" t="s">
        <v>31</v>
      </c>
      <c r="G1046" t="s">
        <v>3988</v>
      </c>
      <c r="H1046" t="s">
        <v>2903</v>
      </c>
      <c r="I1046" t="s">
        <v>148</v>
      </c>
      <c r="J1046" t="s">
        <v>4082</v>
      </c>
      <c r="K1046" t="s">
        <v>31</v>
      </c>
      <c r="L1046" t="s">
        <v>31</v>
      </c>
      <c r="M1046" t="s">
        <v>27</v>
      </c>
      <c r="N1046" t="s">
        <v>27</v>
      </c>
      <c r="O1046" t="s">
        <v>27</v>
      </c>
      <c r="P1046" t="s">
        <v>31</v>
      </c>
      <c r="Q1046" t="s">
        <v>31</v>
      </c>
      <c r="R1046" t="s">
        <v>31</v>
      </c>
      <c r="S1046" t="s">
        <v>31</v>
      </c>
      <c r="T1046" t="s">
        <v>31</v>
      </c>
    </row>
    <row r="1047" spans="1:20" hidden="1" x14ac:dyDescent="0.3">
      <c r="A1047" t="s">
        <v>2380</v>
      </c>
      <c r="B1047" t="s">
        <v>39</v>
      </c>
      <c r="C1047" t="s">
        <v>157</v>
      </c>
      <c r="D1047" t="s">
        <v>157</v>
      </c>
      <c r="E1047">
        <v>2010</v>
      </c>
      <c r="F1047">
        <v>100000</v>
      </c>
      <c r="G1047" t="s">
        <v>31</v>
      </c>
      <c r="H1047" t="s">
        <v>2669</v>
      </c>
      <c r="I1047" t="s">
        <v>111</v>
      </c>
      <c r="J1047" t="s">
        <v>4083</v>
      </c>
      <c r="K1047" t="s">
        <v>31</v>
      </c>
      <c r="L1047" t="s">
        <v>31</v>
      </c>
      <c r="M1047" t="s">
        <v>27</v>
      </c>
      <c r="N1047" t="s">
        <v>27</v>
      </c>
      <c r="O1047" t="s">
        <v>33</v>
      </c>
      <c r="P1047" t="s">
        <v>31</v>
      </c>
      <c r="Q1047" t="s">
        <v>31</v>
      </c>
      <c r="R1047" t="s">
        <v>31</v>
      </c>
      <c r="S1047" t="s">
        <v>31</v>
      </c>
      <c r="T1047" t="s">
        <v>31</v>
      </c>
    </row>
    <row r="1048" spans="1:20" hidden="1" x14ac:dyDescent="0.3">
      <c r="A1048" t="s">
        <v>735</v>
      </c>
      <c r="B1048" t="s">
        <v>43</v>
      </c>
      <c r="C1048" t="s">
        <v>2665</v>
      </c>
      <c r="D1048" t="s">
        <v>114</v>
      </c>
      <c r="E1048">
        <v>2011</v>
      </c>
      <c r="F1048" t="s">
        <v>31</v>
      </c>
      <c r="G1048" t="s">
        <v>31</v>
      </c>
      <c r="H1048" t="s">
        <v>2656</v>
      </c>
      <c r="I1048" t="s">
        <v>119</v>
      </c>
      <c r="J1048" t="s">
        <v>31</v>
      </c>
      <c r="K1048" t="s">
        <v>31</v>
      </c>
      <c r="L1048" t="s">
        <v>31</v>
      </c>
      <c r="M1048" t="s">
        <v>27</v>
      </c>
      <c r="N1048" t="s">
        <v>27</v>
      </c>
      <c r="O1048" t="s">
        <v>27</v>
      </c>
      <c r="P1048" t="s">
        <v>31</v>
      </c>
      <c r="Q1048" t="s">
        <v>31</v>
      </c>
      <c r="R1048" t="s">
        <v>31</v>
      </c>
      <c r="S1048" t="s">
        <v>31</v>
      </c>
      <c r="T1048" t="s">
        <v>31</v>
      </c>
    </row>
    <row r="1049" spans="1:20" x14ac:dyDescent="0.3">
      <c r="A1049" t="s">
        <v>739</v>
      </c>
      <c r="B1049" t="s">
        <v>51</v>
      </c>
      <c r="C1049" t="s">
        <v>37</v>
      </c>
      <c r="D1049" t="s">
        <v>121</v>
      </c>
      <c r="E1049">
        <v>2011</v>
      </c>
      <c r="F1049">
        <v>1000000</v>
      </c>
      <c r="G1049" t="s">
        <v>4084</v>
      </c>
      <c r="H1049" t="s">
        <v>2656</v>
      </c>
      <c r="I1049" t="s">
        <v>119</v>
      </c>
      <c r="J1049" t="s">
        <v>2596</v>
      </c>
      <c r="K1049" t="s">
        <v>2649</v>
      </c>
      <c r="L1049" t="s">
        <v>54</v>
      </c>
      <c r="M1049" t="s">
        <v>33</v>
      </c>
      <c r="N1049" t="s">
        <v>27</v>
      </c>
      <c r="O1049" t="s">
        <v>33</v>
      </c>
      <c r="P1049">
        <v>236</v>
      </c>
      <c r="Q1049">
        <v>587384</v>
      </c>
      <c r="R1049" t="s">
        <v>31</v>
      </c>
      <c r="S1049" t="s">
        <v>31</v>
      </c>
      <c r="T1049" t="s">
        <v>31</v>
      </c>
    </row>
    <row r="1050" spans="1:20" hidden="1" x14ac:dyDescent="0.3">
      <c r="A1050" t="s">
        <v>740</v>
      </c>
      <c r="B1050" t="s">
        <v>28</v>
      </c>
      <c r="C1050" t="s">
        <v>29</v>
      </c>
      <c r="D1050" t="s">
        <v>67</v>
      </c>
      <c r="E1050">
        <v>2011</v>
      </c>
      <c r="F1050">
        <v>1900000</v>
      </c>
      <c r="G1050" t="s">
        <v>31</v>
      </c>
      <c r="H1050" t="s">
        <v>2645</v>
      </c>
      <c r="I1050" t="s">
        <v>34</v>
      </c>
      <c r="J1050" t="s">
        <v>4085</v>
      </c>
      <c r="K1050" t="s">
        <v>31</v>
      </c>
      <c r="L1050" t="s">
        <v>68</v>
      </c>
      <c r="M1050" t="s">
        <v>27</v>
      </c>
      <c r="N1050" t="s">
        <v>27</v>
      </c>
      <c r="O1050" t="s">
        <v>27</v>
      </c>
      <c r="P1050" t="s">
        <v>31</v>
      </c>
      <c r="Q1050" t="s">
        <v>31</v>
      </c>
      <c r="R1050" t="s">
        <v>31</v>
      </c>
      <c r="S1050" t="s">
        <v>31</v>
      </c>
      <c r="T1050" t="s">
        <v>31</v>
      </c>
    </row>
    <row r="1051" spans="1:20" hidden="1" x14ac:dyDescent="0.3">
      <c r="A1051" t="s">
        <v>741</v>
      </c>
      <c r="B1051" t="s">
        <v>28</v>
      </c>
      <c r="C1051" t="s">
        <v>29</v>
      </c>
      <c r="D1051" t="s">
        <v>97</v>
      </c>
      <c r="E1051">
        <v>2011</v>
      </c>
      <c r="F1051">
        <v>14000000</v>
      </c>
      <c r="G1051" t="s">
        <v>4086</v>
      </c>
      <c r="H1051" t="s">
        <v>2645</v>
      </c>
      <c r="I1051" t="s">
        <v>34</v>
      </c>
      <c r="J1051" t="s">
        <v>4087</v>
      </c>
      <c r="K1051" t="s">
        <v>31</v>
      </c>
      <c r="L1051" t="s">
        <v>31</v>
      </c>
      <c r="M1051" t="s">
        <v>27</v>
      </c>
      <c r="N1051" t="s">
        <v>27</v>
      </c>
      <c r="O1051" t="s">
        <v>27</v>
      </c>
      <c r="P1051" t="s">
        <v>31</v>
      </c>
      <c r="Q1051">
        <v>320</v>
      </c>
      <c r="R1051" t="s">
        <v>31</v>
      </c>
      <c r="S1051" t="s">
        <v>31</v>
      </c>
      <c r="T1051" t="s">
        <v>31</v>
      </c>
    </row>
    <row r="1052" spans="1:20" hidden="1" x14ac:dyDescent="0.3">
      <c r="A1052" t="s">
        <v>742</v>
      </c>
      <c r="B1052" t="s">
        <v>39</v>
      </c>
      <c r="C1052" t="s">
        <v>40</v>
      </c>
      <c r="D1052" t="s">
        <v>59</v>
      </c>
      <c r="E1052">
        <v>2011</v>
      </c>
      <c r="F1052" t="s">
        <v>31</v>
      </c>
      <c r="G1052" t="s">
        <v>31</v>
      </c>
      <c r="H1052" t="s">
        <v>2701</v>
      </c>
      <c r="I1052" t="s">
        <v>60</v>
      </c>
      <c r="J1052" t="s">
        <v>4088</v>
      </c>
      <c r="K1052" t="s">
        <v>31</v>
      </c>
      <c r="L1052" t="s">
        <v>31</v>
      </c>
      <c r="M1052" t="s">
        <v>27</v>
      </c>
      <c r="N1052" t="s">
        <v>27</v>
      </c>
      <c r="O1052" t="s">
        <v>27</v>
      </c>
      <c r="P1052" t="s">
        <v>31</v>
      </c>
      <c r="Q1052">
        <v>10</v>
      </c>
      <c r="R1052" t="s">
        <v>31</v>
      </c>
      <c r="S1052" t="s">
        <v>31</v>
      </c>
      <c r="T1052" t="s">
        <v>31</v>
      </c>
    </row>
    <row r="1053" spans="1:20" hidden="1" x14ac:dyDescent="0.3">
      <c r="A1053" t="s">
        <v>743</v>
      </c>
      <c r="B1053" t="s">
        <v>51</v>
      </c>
      <c r="C1053" t="s">
        <v>37</v>
      </c>
      <c r="D1053" t="s">
        <v>121</v>
      </c>
      <c r="E1053">
        <v>2011</v>
      </c>
      <c r="F1053">
        <v>1030000</v>
      </c>
      <c r="G1053" t="s">
        <v>4089</v>
      </c>
      <c r="H1053" t="s">
        <v>2647</v>
      </c>
      <c r="I1053" t="s">
        <v>47</v>
      </c>
      <c r="J1053" t="s">
        <v>4090</v>
      </c>
      <c r="K1053" t="s">
        <v>3993</v>
      </c>
      <c r="L1053" t="s">
        <v>54</v>
      </c>
      <c r="M1053" t="s">
        <v>33</v>
      </c>
      <c r="N1053" t="s">
        <v>27</v>
      </c>
      <c r="O1053" t="s">
        <v>33</v>
      </c>
      <c r="P1053">
        <v>1590</v>
      </c>
      <c r="Q1053">
        <v>236086</v>
      </c>
      <c r="R1053">
        <v>5.69</v>
      </c>
      <c r="S1053">
        <v>-74.150000000000006</v>
      </c>
      <c r="T1053" t="s">
        <v>31</v>
      </c>
    </row>
    <row r="1054" spans="1:20" hidden="1" x14ac:dyDescent="0.3">
      <c r="A1054" t="s">
        <v>744</v>
      </c>
      <c r="B1054" t="s">
        <v>51</v>
      </c>
      <c r="C1054" t="s">
        <v>37</v>
      </c>
      <c r="D1054" t="s">
        <v>121</v>
      </c>
      <c r="E1054">
        <v>2011</v>
      </c>
      <c r="F1054" t="s">
        <v>31</v>
      </c>
      <c r="G1054" t="s">
        <v>31</v>
      </c>
      <c r="H1054" t="s">
        <v>2656</v>
      </c>
      <c r="I1054" t="s">
        <v>119</v>
      </c>
      <c r="J1054" t="s">
        <v>2602</v>
      </c>
      <c r="K1054" t="s">
        <v>2725</v>
      </c>
      <c r="L1054" t="s">
        <v>54</v>
      </c>
      <c r="M1054" t="s">
        <v>27</v>
      </c>
      <c r="N1054" t="s">
        <v>27</v>
      </c>
      <c r="O1054" t="s">
        <v>27</v>
      </c>
      <c r="P1054" t="s">
        <v>31</v>
      </c>
      <c r="Q1054">
        <v>306993</v>
      </c>
      <c r="R1054">
        <v>-28.28</v>
      </c>
      <c r="S1054">
        <v>-52.91</v>
      </c>
      <c r="T1054" t="s">
        <v>31</v>
      </c>
    </row>
    <row r="1055" spans="1:20" hidden="1" x14ac:dyDescent="0.3">
      <c r="A1055" t="s">
        <v>745</v>
      </c>
      <c r="B1055" t="s">
        <v>28</v>
      </c>
      <c r="C1055" t="s">
        <v>29</v>
      </c>
      <c r="D1055" t="s">
        <v>97</v>
      </c>
      <c r="E1055">
        <v>2011</v>
      </c>
      <c r="F1055">
        <v>11000000</v>
      </c>
      <c r="G1055" t="s">
        <v>31</v>
      </c>
      <c r="H1055" t="s">
        <v>2645</v>
      </c>
      <c r="I1055" t="s">
        <v>34</v>
      </c>
      <c r="J1055" t="s">
        <v>4091</v>
      </c>
      <c r="K1055" t="s">
        <v>31</v>
      </c>
      <c r="L1055" t="s">
        <v>37</v>
      </c>
      <c r="M1055" t="s">
        <v>27</v>
      </c>
      <c r="N1055" t="s">
        <v>27</v>
      </c>
      <c r="O1055" t="s">
        <v>33</v>
      </c>
      <c r="P1055" t="s">
        <v>31</v>
      </c>
      <c r="Q1055" t="s">
        <v>31</v>
      </c>
      <c r="R1055" t="s">
        <v>31</v>
      </c>
      <c r="S1055" t="s">
        <v>31</v>
      </c>
      <c r="T1055" t="s">
        <v>31</v>
      </c>
    </row>
    <row r="1056" spans="1:20" hidden="1" x14ac:dyDescent="0.3">
      <c r="A1056" t="s">
        <v>746</v>
      </c>
      <c r="B1056" t="s">
        <v>28</v>
      </c>
      <c r="C1056" t="s">
        <v>29</v>
      </c>
      <c r="D1056" t="s">
        <v>30</v>
      </c>
      <c r="E1056">
        <v>2011</v>
      </c>
      <c r="F1056" t="s">
        <v>31</v>
      </c>
      <c r="G1056" t="s">
        <v>31</v>
      </c>
      <c r="H1056" t="s">
        <v>2672</v>
      </c>
      <c r="I1056" t="s">
        <v>73</v>
      </c>
      <c r="J1056" t="s">
        <v>4092</v>
      </c>
      <c r="K1056" t="s">
        <v>31</v>
      </c>
      <c r="L1056" t="s">
        <v>82</v>
      </c>
      <c r="M1056" t="s">
        <v>27</v>
      </c>
      <c r="N1056" t="s">
        <v>27</v>
      </c>
      <c r="O1056" t="s">
        <v>27</v>
      </c>
      <c r="P1056" t="s">
        <v>31</v>
      </c>
      <c r="Q1056">
        <v>110</v>
      </c>
      <c r="R1056" t="s">
        <v>31</v>
      </c>
      <c r="S1056" t="s">
        <v>31</v>
      </c>
      <c r="T1056" t="s">
        <v>31</v>
      </c>
    </row>
    <row r="1057" spans="1:20" hidden="1" x14ac:dyDescent="0.3">
      <c r="A1057" t="s">
        <v>747</v>
      </c>
      <c r="B1057" t="s">
        <v>51</v>
      </c>
      <c r="C1057" t="s">
        <v>37</v>
      </c>
      <c r="D1057" t="s">
        <v>121</v>
      </c>
      <c r="E1057">
        <v>2011</v>
      </c>
      <c r="F1057" t="s">
        <v>31</v>
      </c>
      <c r="G1057" t="s">
        <v>31</v>
      </c>
      <c r="H1057" t="s">
        <v>2719</v>
      </c>
      <c r="I1057" t="s">
        <v>90</v>
      </c>
      <c r="J1057" t="s">
        <v>4093</v>
      </c>
      <c r="K1057" t="s">
        <v>2649</v>
      </c>
      <c r="L1057" t="s">
        <v>31</v>
      </c>
      <c r="M1057" t="s">
        <v>27</v>
      </c>
      <c r="N1057" t="s">
        <v>27</v>
      </c>
      <c r="O1057" t="s">
        <v>27</v>
      </c>
      <c r="P1057" t="s">
        <v>31</v>
      </c>
      <c r="Q1057" t="s">
        <v>31</v>
      </c>
      <c r="R1057" t="s">
        <v>31</v>
      </c>
      <c r="S1057" t="s">
        <v>31</v>
      </c>
      <c r="T1057" t="s">
        <v>4094</v>
      </c>
    </row>
    <row r="1058" spans="1:20" hidden="1" x14ac:dyDescent="0.3">
      <c r="A1058" t="s">
        <v>748</v>
      </c>
      <c r="B1058" t="s">
        <v>91</v>
      </c>
      <c r="C1058" t="s">
        <v>92</v>
      </c>
      <c r="D1058" t="s">
        <v>93</v>
      </c>
      <c r="E1058">
        <v>2011</v>
      </c>
      <c r="F1058" t="s">
        <v>31</v>
      </c>
      <c r="G1058" t="s">
        <v>4095</v>
      </c>
      <c r="H1058" t="s">
        <v>2719</v>
      </c>
      <c r="I1058" t="s">
        <v>90</v>
      </c>
      <c r="J1058" t="s">
        <v>4096</v>
      </c>
      <c r="K1058" t="s">
        <v>31</v>
      </c>
      <c r="L1058" t="s">
        <v>31</v>
      </c>
      <c r="M1058" t="s">
        <v>27</v>
      </c>
      <c r="N1058" t="s">
        <v>27</v>
      </c>
      <c r="O1058" t="s">
        <v>27</v>
      </c>
      <c r="P1058" t="s">
        <v>31</v>
      </c>
      <c r="Q1058">
        <v>5.6</v>
      </c>
      <c r="R1058">
        <v>14.186</v>
      </c>
      <c r="S1058">
        <v>-90.238</v>
      </c>
      <c r="T1058" t="s">
        <v>31</v>
      </c>
    </row>
    <row r="1059" spans="1:20" hidden="1" x14ac:dyDescent="0.3">
      <c r="A1059" t="s">
        <v>749</v>
      </c>
      <c r="B1059" t="s">
        <v>28</v>
      </c>
      <c r="C1059" t="s">
        <v>29</v>
      </c>
      <c r="D1059" t="s">
        <v>30</v>
      </c>
      <c r="E1059">
        <v>2011</v>
      </c>
      <c r="F1059">
        <v>27700</v>
      </c>
      <c r="G1059" t="s">
        <v>31</v>
      </c>
      <c r="H1059" t="s">
        <v>2672</v>
      </c>
      <c r="I1059" t="s">
        <v>73</v>
      </c>
      <c r="J1059" t="s">
        <v>4097</v>
      </c>
      <c r="K1059" t="s">
        <v>31</v>
      </c>
      <c r="L1059" t="s">
        <v>82</v>
      </c>
      <c r="M1059" t="s">
        <v>27</v>
      </c>
      <c r="N1059" t="s">
        <v>27</v>
      </c>
      <c r="O1059" t="s">
        <v>27</v>
      </c>
      <c r="P1059">
        <v>71</v>
      </c>
      <c r="Q1059">
        <v>160</v>
      </c>
      <c r="R1059" t="s">
        <v>31</v>
      </c>
      <c r="S1059" t="s">
        <v>31</v>
      </c>
      <c r="T1059" t="s">
        <v>31</v>
      </c>
    </row>
    <row r="1060" spans="1:20" hidden="1" x14ac:dyDescent="0.3">
      <c r="A1060" t="s">
        <v>750</v>
      </c>
      <c r="B1060" t="s">
        <v>51</v>
      </c>
      <c r="C1060" t="s">
        <v>37</v>
      </c>
      <c r="D1060" t="s">
        <v>121</v>
      </c>
      <c r="E1060">
        <v>2011</v>
      </c>
      <c r="F1060">
        <v>1290000</v>
      </c>
      <c r="G1060" t="s">
        <v>4098</v>
      </c>
      <c r="H1060" t="s">
        <v>2647</v>
      </c>
      <c r="I1060" t="s">
        <v>47</v>
      </c>
      <c r="J1060" t="s">
        <v>4099</v>
      </c>
      <c r="K1060" t="s">
        <v>31</v>
      </c>
      <c r="L1060" t="s">
        <v>54</v>
      </c>
      <c r="M1060" t="s">
        <v>27</v>
      </c>
      <c r="N1060" t="s">
        <v>27</v>
      </c>
      <c r="O1060" t="s">
        <v>27</v>
      </c>
      <c r="P1060" t="s">
        <v>31</v>
      </c>
      <c r="Q1060">
        <v>57194</v>
      </c>
      <c r="R1060">
        <v>4.6399999999999997</v>
      </c>
      <c r="S1060">
        <v>-73.94</v>
      </c>
      <c r="T1060" t="s">
        <v>31</v>
      </c>
    </row>
    <row r="1061" spans="1:20" hidden="1" x14ac:dyDescent="0.3">
      <c r="A1061" t="s">
        <v>751</v>
      </c>
      <c r="B1061" t="s">
        <v>51</v>
      </c>
      <c r="C1061" t="s">
        <v>37</v>
      </c>
      <c r="D1061" t="s">
        <v>121</v>
      </c>
      <c r="E1061">
        <v>2011</v>
      </c>
      <c r="F1061">
        <v>61913</v>
      </c>
      <c r="G1061" t="s">
        <v>4098</v>
      </c>
      <c r="H1061" t="s">
        <v>2719</v>
      </c>
      <c r="I1061" t="s">
        <v>90</v>
      </c>
      <c r="J1061" t="s">
        <v>4100</v>
      </c>
      <c r="K1061" t="s">
        <v>4101</v>
      </c>
      <c r="L1061" t="s">
        <v>54</v>
      </c>
      <c r="M1061" t="s">
        <v>33</v>
      </c>
      <c r="N1061" t="s">
        <v>27</v>
      </c>
      <c r="O1061" t="s">
        <v>33</v>
      </c>
      <c r="P1061" t="s">
        <v>31</v>
      </c>
      <c r="Q1061" t="s">
        <v>31</v>
      </c>
      <c r="R1061" t="s">
        <v>31</v>
      </c>
      <c r="S1061" t="s">
        <v>31</v>
      </c>
      <c r="T1061" t="s">
        <v>31</v>
      </c>
    </row>
    <row r="1062" spans="1:20" hidden="1" x14ac:dyDescent="0.3">
      <c r="A1062" t="s">
        <v>752</v>
      </c>
      <c r="B1062" t="s">
        <v>51</v>
      </c>
      <c r="C1062" t="s">
        <v>37</v>
      </c>
      <c r="D1062" t="s">
        <v>121</v>
      </c>
      <c r="E1062">
        <v>2011</v>
      </c>
      <c r="F1062" t="s">
        <v>31</v>
      </c>
      <c r="G1062" t="s">
        <v>31</v>
      </c>
      <c r="H1062" t="s">
        <v>2672</v>
      </c>
      <c r="I1062" t="s">
        <v>73</v>
      </c>
      <c r="J1062" t="s">
        <v>3895</v>
      </c>
      <c r="K1062" t="s">
        <v>2649</v>
      </c>
      <c r="L1062" t="s">
        <v>31</v>
      </c>
      <c r="M1062" t="s">
        <v>27</v>
      </c>
      <c r="N1062" t="s">
        <v>27</v>
      </c>
      <c r="O1062" t="s">
        <v>33</v>
      </c>
      <c r="P1062" t="s">
        <v>31</v>
      </c>
      <c r="Q1062" t="s">
        <v>31</v>
      </c>
      <c r="R1062" t="s">
        <v>31</v>
      </c>
      <c r="S1062" t="s">
        <v>31</v>
      </c>
      <c r="T1062" t="s">
        <v>31</v>
      </c>
    </row>
    <row r="1063" spans="1:20" hidden="1" x14ac:dyDescent="0.3">
      <c r="A1063" t="s">
        <v>753</v>
      </c>
      <c r="B1063" t="s">
        <v>51</v>
      </c>
      <c r="C1063" t="s">
        <v>2655</v>
      </c>
      <c r="D1063" t="s">
        <v>134</v>
      </c>
      <c r="E1063">
        <v>2011</v>
      </c>
      <c r="F1063" t="s">
        <v>31</v>
      </c>
      <c r="G1063" t="s">
        <v>4102</v>
      </c>
      <c r="H1063" t="s">
        <v>2647</v>
      </c>
      <c r="I1063" t="s">
        <v>47</v>
      </c>
      <c r="J1063" t="s">
        <v>3097</v>
      </c>
      <c r="K1063" t="s">
        <v>2649</v>
      </c>
      <c r="L1063" t="s">
        <v>31</v>
      </c>
      <c r="M1063" t="s">
        <v>27</v>
      </c>
      <c r="N1063" t="s">
        <v>27</v>
      </c>
      <c r="O1063" t="s">
        <v>27</v>
      </c>
      <c r="P1063" t="s">
        <v>31</v>
      </c>
      <c r="Q1063" t="s">
        <v>31</v>
      </c>
      <c r="R1063" t="s">
        <v>31</v>
      </c>
      <c r="S1063" t="s">
        <v>31</v>
      </c>
      <c r="T1063" t="s">
        <v>31</v>
      </c>
    </row>
    <row r="1064" spans="1:20" hidden="1" x14ac:dyDescent="0.3">
      <c r="A1064" t="s">
        <v>754</v>
      </c>
      <c r="B1064" t="s">
        <v>43</v>
      </c>
      <c r="C1064" t="s">
        <v>2665</v>
      </c>
      <c r="D1064" t="s">
        <v>44</v>
      </c>
      <c r="E1064">
        <v>2011</v>
      </c>
      <c r="F1064" t="s">
        <v>31</v>
      </c>
      <c r="G1064" t="s">
        <v>4103</v>
      </c>
      <c r="H1064" t="s">
        <v>2888</v>
      </c>
      <c r="I1064" t="s">
        <v>75</v>
      </c>
      <c r="J1064" t="s">
        <v>4104</v>
      </c>
      <c r="K1064" t="s">
        <v>31</v>
      </c>
      <c r="L1064" t="s">
        <v>31</v>
      </c>
      <c r="M1064" t="s">
        <v>27</v>
      </c>
      <c r="N1064" t="s">
        <v>27</v>
      </c>
      <c r="O1064" t="s">
        <v>27</v>
      </c>
      <c r="P1064" t="s">
        <v>31</v>
      </c>
      <c r="Q1064" t="s">
        <v>31</v>
      </c>
      <c r="R1064" t="s">
        <v>31</v>
      </c>
      <c r="S1064" t="s">
        <v>31</v>
      </c>
      <c r="T1064" t="s">
        <v>31</v>
      </c>
    </row>
    <row r="1065" spans="1:20" hidden="1" x14ac:dyDescent="0.3">
      <c r="A1065" t="s">
        <v>755</v>
      </c>
      <c r="B1065" t="s">
        <v>51</v>
      </c>
      <c r="C1065" t="s">
        <v>37</v>
      </c>
      <c r="D1065" t="s">
        <v>121</v>
      </c>
      <c r="E1065">
        <v>2011</v>
      </c>
      <c r="F1065" t="s">
        <v>31</v>
      </c>
      <c r="G1065" t="s">
        <v>31</v>
      </c>
      <c r="H1065" t="s">
        <v>2678</v>
      </c>
      <c r="I1065" t="s">
        <v>53</v>
      </c>
      <c r="J1065" t="s">
        <v>4105</v>
      </c>
      <c r="K1065" t="s">
        <v>31</v>
      </c>
      <c r="L1065" t="s">
        <v>31</v>
      </c>
      <c r="M1065" t="s">
        <v>27</v>
      </c>
      <c r="N1065" t="s">
        <v>27</v>
      </c>
      <c r="O1065" t="s">
        <v>27</v>
      </c>
      <c r="P1065" t="s">
        <v>31</v>
      </c>
      <c r="Q1065" t="s">
        <v>31</v>
      </c>
      <c r="R1065" t="s">
        <v>31</v>
      </c>
      <c r="S1065" t="s">
        <v>31</v>
      </c>
      <c r="T1065" t="s">
        <v>31</v>
      </c>
    </row>
    <row r="1066" spans="1:20" hidden="1" x14ac:dyDescent="0.3">
      <c r="A1066" t="s">
        <v>756</v>
      </c>
      <c r="B1066" t="s">
        <v>51</v>
      </c>
      <c r="C1066" t="s">
        <v>37</v>
      </c>
      <c r="D1066" t="s">
        <v>121</v>
      </c>
      <c r="E1066">
        <v>2011</v>
      </c>
      <c r="F1066" t="s">
        <v>31</v>
      </c>
      <c r="G1066" t="s">
        <v>4106</v>
      </c>
      <c r="H1066" t="s">
        <v>2709</v>
      </c>
      <c r="I1066" t="s">
        <v>70</v>
      </c>
      <c r="J1066" t="s">
        <v>4107</v>
      </c>
      <c r="K1066" t="s">
        <v>2649</v>
      </c>
      <c r="L1066" t="s">
        <v>31</v>
      </c>
      <c r="M1066" t="s">
        <v>27</v>
      </c>
      <c r="N1066" t="s">
        <v>27</v>
      </c>
      <c r="O1066" t="s">
        <v>27</v>
      </c>
      <c r="P1066" t="s">
        <v>31</v>
      </c>
      <c r="Q1066" t="s">
        <v>31</v>
      </c>
      <c r="R1066" t="s">
        <v>31</v>
      </c>
      <c r="S1066" t="s">
        <v>31</v>
      </c>
      <c r="T1066" t="s">
        <v>31</v>
      </c>
    </row>
    <row r="1067" spans="1:20" hidden="1" x14ac:dyDescent="0.3">
      <c r="A1067" t="s">
        <v>757</v>
      </c>
      <c r="B1067" t="s">
        <v>51</v>
      </c>
      <c r="C1067" t="s">
        <v>37</v>
      </c>
      <c r="D1067" t="s">
        <v>121</v>
      </c>
      <c r="E1067">
        <v>2011</v>
      </c>
      <c r="F1067" t="s">
        <v>31</v>
      </c>
      <c r="G1067" t="s">
        <v>4108</v>
      </c>
      <c r="H1067" t="s">
        <v>2774</v>
      </c>
      <c r="I1067" t="s">
        <v>166</v>
      </c>
      <c r="J1067" t="s">
        <v>4109</v>
      </c>
      <c r="K1067" t="s">
        <v>31</v>
      </c>
      <c r="L1067" t="s">
        <v>54</v>
      </c>
      <c r="M1067" t="s">
        <v>27</v>
      </c>
      <c r="N1067" t="s">
        <v>27</v>
      </c>
      <c r="O1067" t="s">
        <v>27</v>
      </c>
      <c r="P1067" t="s">
        <v>31</v>
      </c>
      <c r="Q1067" t="s">
        <v>31</v>
      </c>
      <c r="R1067" t="s">
        <v>31</v>
      </c>
      <c r="S1067" t="s">
        <v>31</v>
      </c>
      <c r="T1067" t="s">
        <v>31</v>
      </c>
    </row>
    <row r="1068" spans="1:20" hidden="1" x14ac:dyDescent="0.3">
      <c r="A1068" t="s">
        <v>758</v>
      </c>
      <c r="B1068" t="s">
        <v>28</v>
      </c>
      <c r="C1068" t="s">
        <v>29</v>
      </c>
      <c r="D1068" t="s">
        <v>67</v>
      </c>
      <c r="E1068">
        <v>2011</v>
      </c>
      <c r="F1068" t="s">
        <v>31</v>
      </c>
      <c r="G1068" t="s">
        <v>31</v>
      </c>
      <c r="H1068" t="s">
        <v>2678</v>
      </c>
      <c r="I1068" t="s">
        <v>53</v>
      </c>
      <c r="J1068" t="s">
        <v>2969</v>
      </c>
      <c r="K1068" t="s">
        <v>31</v>
      </c>
      <c r="L1068" t="s">
        <v>31</v>
      </c>
      <c r="M1068" t="s">
        <v>27</v>
      </c>
      <c r="N1068" t="s">
        <v>27</v>
      </c>
      <c r="O1068" t="s">
        <v>27</v>
      </c>
      <c r="P1068" t="s">
        <v>31</v>
      </c>
      <c r="Q1068" t="s">
        <v>31</v>
      </c>
      <c r="R1068" t="s">
        <v>31</v>
      </c>
      <c r="S1068" t="s">
        <v>31</v>
      </c>
      <c r="T1068" t="s">
        <v>31</v>
      </c>
    </row>
    <row r="1069" spans="1:20" x14ac:dyDescent="0.3">
      <c r="A1069" t="s">
        <v>759</v>
      </c>
      <c r="B1069" t="s">
        <v>51</v>
      </c>
      <c r="C1069" t="s">
        <v>37</v>
      </c>
      <c r="D1069" t="s">
        <v>121</v>
      </c>
      <c r="E1069">
        <v>2011</v>
      </c>
      <c r="F1069">
        <v>2000</v>
      </c>
      <c r="G1069" t="s">
        <v>31</v>
      </c>
      <c r="H1069" t="s">
        <v>2656</v>
      </c>
      <c r="I1069" t="s">
        <v>119</v>
      </c>
      <c r="J1069" t="s">
        <v>2597</v>
      </c>
      <c r="K1069" t="s">
        <v>2649</v>
      </c>
      <c r="L1069" t="s">
        <v>54</v>
      </c>
      <c r="M1069" t="s">
        <v>27</v>
      </c>
      <c r="N1069" t="s">
        <v>27</v>
      </c>
      <c r="O1069" t="s">
        <v>27</v>
      </c>
      <c r="P1069" t="s">
        <v>31</v>
      </c>
      <c r="Q1069" t="s">
        <v>31</v>
      </c>
      <c r="R1069" t="s">
        <v>31</v>
      </c>
      <c r="S1069" t="s">
        <v>31</v>
      </c>
      <c r="T1069" t="s">
        <v>31</v>
      </c>
    </row>
    <row r="1070" spans="1:20" hidden="1" x14ac:dyDescent="0.3">
      <c r="A1070" t="s">
        <v>760</v>
      </c>
      <c r="B1070" t="s">
        <v>51</v>
      </c>
      <c r="C1070" t="s">
        <v>37</v>
      </c>
      <c r="D1070" t="s">
        <v>121</v>
      </c>
      <c r="E1070">
        <v>2011</v>
      </c>
      <c r="F1070" t="s">
        <v>31</v>
      </c>
      <c r="G1070" t="s">
        <v>31</v>
      </c>
      <c r="H1070" t="s">
        <v>2672</v>
      </c>
      <c r="I1070" t="s">
        <v>73</v>
      </c>
      <c r="J1070" t="s">
        <v>4110</v>
      </c>
      <c r="K1070" t="s">
        <v>31</v>
      </c>
      <c r="L1070" t="s">
        <v>31</v>
      </c>
      <c r="M1070" t="s">
        <v>27</v>
      </c>
      <c r="N1070" t="s">
        <v>27</v>
      </c>
      <c r="O1070" t="s">
        <v>27</v>
      </c>
      <c r="P1070" t="s">
        <v>31</v>
      </c>
      <c r="Q1070" t="s">
        <v>31</v>
      </c>
      <c r="R1070" t="s">
        <v>31</v>
      </c>
      <c r="S1070" t="s">
        <v>31</v>
      </c>
      <c r="T1070" t="s">
        <v>4111</v>
      </c>
    </row>
    <row r="1071" spans="1:20" hidden="1" x14ac:dyDescent="0.3">
      <c r="A1071" t="s">
        <v>761</v>
      </c>
      <c r="B1071" t="s">
        <v>28</v>
      </c>
      <c r="C1071" t="s">
        <v>29</v>
      </c>
      <c r="D1071" t="s">
        <v>65</v>
      </c>
      <c r="E1071">
        <v>2011</v>
      </c>
      <c r="F1071" t="s">
        <v>31</v>
      </c>
      <c r="G1071" t="s">
        <v>4112</v>
      </c>
      <c r="H1071" t="s">
        <v>2769</v>
      </c>
      <c r="I1071" t="s">
        <v>117</v>
      </c>
      <c r="J1071" t="s">
        <v>4113</v>
      </c>
      <c r="K1071" t="s">
        <v>31</v>
      </c>
      <c r="L1071" t="s">
        <v>31</v>
      </c>
      <c r="M1071" t="s">
        <v>27</v>
      </c>
      <c r="N1071" t="s">
        <v>27</v>
      </c>
      <c r="O1071" t="s">
        <v>27</v>
      </c>
      <c r="P1071" t="s">
        <v>31</v>
      </c>
      <c r="Q1071" t="s">
        <v>31</v>
      </c>
      <c r="R1071" t="s">
        <v>31</v>
      </c>
      <c r="S1071" t="s">
        <v>31</v>
      </c>
      <c r="T1071" t="s">
        <v>31</v>
      </c>
    </row>
    <row r="1072" spans="1:20" hidden="1" x14ac:dyDescent="0.3">
      <c r="A1072" t="s">
        <v>762</v>
      </c>
      <c r="B1072" t="s">
        <v>28</v>
      </c>
      <c r="C1072" t="s">
        <v>2685</v>
      </c>
      <c r="D1072" t="s">
        <v>278</v>
      </c>
      <c r="E1072">
        <v>2011</v>
      </c>
      <c r="F1072" t="s">
        <v>31</v>
      </c>
      <c r="G1072" t="s">
        <v>4114</v>
      </c>
      <c r="H1072" t="s">
        <v>2701</v>
      </c>
      <c r="I1072" t="s">
        <v>60</v>
      </c>
      <c r="J1072" t="s">
        <v>4115</v>
      </c>
      <c r="K1072" t="s">
        <v>3137</v>
      </c>
      <c r="L1072" t="s">
        <v>31</v>
      </c>
      <c r="M1072" t="s">
        <v>27</v>
      </c>
      <c r="N1072" t="s">
        <v>27</v>
      </c>
      <c r="O1072" t="s">
        <v>27</v>
      </c>
      <c r="P1072" t="s">
        <v>31</v>
      </c>
      <c r="Q1072">
        <v>-22</v>
      </c>
      <c r="R1072" t="s">
        <v>31</v>
      </c>
      <c r="S1072" t="s">
        <v>31</v>
      </c>
      <c r="T1072" t="s">
        <v>31</v>
      </c>
    </row>
    <row r="1073" spans="1:20" hidden="1" x14ac:dyDescent="0.3">
      <c r="A1073" t="s">
        <v>763</v>
      </c>
      <c r="B1073" t="s">
        <v>39</v>
      </c>
      <c r="C1073" t="s">
        <v>157</v>
      </c>
      <c r="D1073" t="s">
        <v>157</v>
      </c>
      <c r="E1073">
        <v>2011</v>
      </c>
      <c r="F1073">
        <v>8000000</v>
      </c>
      <c r="G1073" t="s">
        <v>31</v>
      </c>
      <c r="H1073" t="s">
        <v>2645</v>
      </c>
      <c r="I1073" t="s">
        <v>34</v>
      </c>
      <c r="J1073" t="s">
        <v>4116</v>
      </c>
      <c r="K1073" t="s">
        <v>31</v>
      </c>
      <c r="L1073" t="s">
        <v>31</v>
      </c>
      <c r="M1073" t="s">
        <v>27</v>
      </c>
      <c r="N1073" t="s">
        <v>27</v>
      </c>
      <c r="O1073" t="s">
        <v>27</v>
      </c>
      <c r="P1073" t="s">
        <v>31</v>
      </c>
      <c r="Q1073" t="s">
        <v>31</v>
      </c>
      <c r="R1073" t="s">
        <v>31</v>
      </c>
      <c r="S1073" t="s">
        <v>31</v>
      </c>
      <c r="T1073" t="s">
        <v>31</v>
      </c>
    </row>
    <row r="1074" spans="1:20" hidden="1" x14ac:dyDescent="0.3">
      <c r="A1074" t="s">
        <v>1072</v>
      </c>
      <c r="B1074" t="s">
        <v>43</v>
      </c>
      <c r="C1074" t="s">
        <v>2665</v>
      </c>
      <c r="D1074" t="s">
        <v>44</v>
      </c>
      <c r="E1074">
        <v>2011</v>
      </c>
      <c r="F1074" t="s">
        <v>31</v>
      </c>
      <c r="G1074" t="s">
        <v>4018</v>
      </c>
      <c r="H1074" t="s">
        <v>2709</v>
      </c>
      <c r="I1074" t="s">
        <v>70</v>
      </c>
      <c r="J1074" t="s">
        <v>31</v>
      </c>
      <c r="K1074" t="s">
        <v>31</v>
      </c>
      <c r="L1074" t="s">
        <v>31</v>
      </c>
      <c r="M1074" t="s">
        <v>27</v>
      </c>
      <c r="N1074" t="s">
        <v>27</v>
      </c>
      <c r="O1074" t="s">
        <v>27</v>
      </c>
      <c r="P1074" t="s">
        <v>31</v>
      </c>
      <c r="Q1074" t="s">
        <v>31</v>
      </c>
      <c r="R1074" t="s">
        <v>31</v>
      </c>
      <c r="S1074" t="s">
        <v>31</v>
      </c>
      <c r="T1074" t="s">
        <v>31</v>
      </c>
    </row>
    <row r="1075" spans="1:20" hidden="1" x14ac:dyDescent="0.3">
      <c r="A1075" t="s">
        <v>1073</v>
      </c>
      <c r="B1075" t="s">
        <v>43</v>
      </c>
      <c r="C1075" t="s">
        <v>2665</v>
      </c>
      <c r="D1075" t="s">
        <v>114</v>
      </c>
      <c r="E1075">
        <v>2011</v>
      </c>
      <c r="F1075" t="s">
        <v>31</v>
      </c>
      <c r="G1075" t="s">
        <v>31</v>
      </c>
      <c r="H1075" t="s">
        <v>2769</v>
      </c>
      <c r="I1075" t="s">
        <v>117</v>
      </c>
      <c r="J1075" t="s">
        <v>31</v>
      </c>
      <c r="K1075" t="s">
        <v>31</v>
      </c>
      <c r="L1075" t="s">
        <v>31</v>
      </c>
      <c r="M1075" t="s">
        <v>27</v>
      </c>
      <c r="N1075" t="s">
        <v>27</v>
      </c>
      <c r="O1075" t="s">
        <v>27</v>
      </c>
      <c r="P1075" t="s">
        <v>31</v>
      </c>
      <c r="Q1075" t="s">
        <v>31</v>
      </c>
      <c r="R1075" t="s">
        <v>31</v>
      </c>
      <c r="S1075" t="s">
        <v>31</v>
      </c>
      <c r="T1075" t="s">
        <v>31</v>
      </c>
    </row>
    <row r="1076" spans="1:20" hidden="1" x14ac:dyDescent="0.3">
      <c r="A1076" t="s">
        <v>1075</v>
      </c>
      <c r="B1076" t="s">
        <v>43</v>
      </c>
      <c r="C1076" t="s">
        <v>2665</v>
      </c>
      <c r="D1076" t="s">
        <v>114</v>
      </c>
      <c r="E1076">
        <v>2011</v>
      </c>
      <c r="F1076" t="s">
        <v>31</v>
      </c>
      <c r="G1076" t="s">
        <v>4117</v>
      </c>
      <c r="H1076" t="s">
        <v>2769</v>
      </c>
      <c r="I1076" t="s">
        <v>117</v>
      </c>
      <c r="J1076" t="s">
        <v>4118</v>
      </c>
      <c r="K1076" t="s">
        <v>31</v>
      </c>
      <c r="L1076" t="s">
        <v>31</v>
      </c>
      <c r="M1076" t="s">
        <v>27</v>
      </c>
      <c r="N1076" t="s">
        <v>27</v>
      </c>
      <c r="O1076" t="s">
        <v>27</v>
      </c>
      <c r="P1076" t="s">
        <v>31</v>
      </c>
      <c r="Q1076" t="s">
        <v>31</v>
      </c>
      <c r="R1076" t="s">
        <v>31</v>
      </c>
      <c r="S1076" t="s">
        <v>31</v>
      </c>
      <c r="T1076" t="s">
        <v>31</v>
      </c>
    </row>
    <row r="1077" spans="1:20" hidden="1" x14ac:dyDescent="0.3">
      <c r="A1077" t="s">
        <v>1077</v>
      </c>
      <c r="B1077" t="s">
        <v>28</v>
      </c>
      <c r="C1077" t="s">
        <v>2685</v>
      </c>
      <c r="D1077" t="s">
        <v>68</v>
      </c>
      <c r="E1077">
        <v>2011</v>
      </c>
      <c r="F1077">
        <v>500000</v>
      </c>
      <c r="G1077" t="s">
        <v>4119</v>
      </c>
      <c r="H1077" t="s">
        <v>2672</v>
      </c>
      <c r="I1077" t="s">
        <v>73</v>
      </c>
      <c r="J1077" t="s">
        <v>4120</v>
      </c>
      <c r="K1077" t="s">
        <v>31</v>
      </c>
      <c r="L1077" t="s">
        <v>31</v>
      </c>
      <c r="M1077" t="s">
        <v>27</v>
      </c>
      <c r="N1077" t="s">
        <v>27</v>
      </c>
      <c r="O1077" t="s">
        <v>33</v>
      </c>
      <c r="P1077" t="s">
        <v>31</v>
      </c>
      <c r="Q1077">
        <v>-15</v>
      </c>
      <c r="R1077" t="s">
        <v>31</v>
      </c>
      <c r="S1077" t="s">
        <v>31</v>
      </c>
      <c r="T1077" t="s">
        <v>31</v>
      </c>
    </row>
    <row r="1078" spans="1:20" hidden="1" x14ac:dyDescent="0.3">
      <c r="A1078" t="s">
        <v>1078</v>
      </c>
      <c r="B1078" t="s">
        <v>39</v>
      </c>
      <c r="C1078" t="s">
        <v>40</v>
      </c>
      <c r="D1078" t="s">
        <v>59</v>
      </c>
      <c r="E1078">
        <v>2011</v>
      </c>
      <c r="F1078">
        <v>183000</v>
      </c>
      <c r="G1078" t="s">
        <v>31</v>
      </c>
      <c r="H1078" t="s">
        <v>2645</v>
      </c>
      <c r="I1078" t="s">
        <v>34</v>
      </c>
      <c r="J1078" t="s">
        <v>2788</v>
      </c>
      <c r="K1078" t="s">
        <v>31</v>
      </c>
      <c r="L1078" t="s">
        <v>31</v>
      </c>
      <c r="M1078" t="s">
        <v>27</v>
      </c>
      <c r="N1078" t="s">
        <v>27</v>
      </c>
      <c r="O1078" t="s">
        <v>27</v>
      </c>
      <c r="P1078" t="s">
        <v>31</v>
      </c>
      <c r="Q1078" t="s">
        <v>31</v>
      </c>
      <c r="R1078" t="s">
        <v>31</v>
      </c>
      <c r="S1078" t="s">
        <v>31</v>
      </c>
      <c r="T1078" t="s">
        <v>31</v>
      </c>
    </row>
    <row r="1079" spans="1:20" hidden="1" x14ac:dyDescent="0.3">
      <c r="A1079" t="s">
        <v>1079</v>
      </c>
      <c r="B1079" t="s">
        <v>51</v>
      </c>
      <c r="C1079" t="s">
        <v>37</v>
      </c>
      <c r="D1079" t="s">
        <v>121</v>
      </c>
      <c r="E1079">
        <v>2011</v>
      </c>
      <c r="F1079" t="s">
        <v>31</v>
      </c>
      <c r="G1079" t="s">
        <v>4121</v>
      </c>
      <c r="H1079" t="s">
        <v>2645</v>
      </c>
      <c r="I1079" t="s">
        <v>34</v>
      </c>
      <c r="J1079" t="s">
        <v>4122</v>
      </c>
      <c r="K1079" t="s">
        <v>4123</v>
      </c>
      <c r="L1079" t="s">
        <v>31</v>
      </c>
      <c r="M1079" t="s">
        <v>27</v>
      </c>
      <c r="N1079" t="s">
        <v>27</v>
      </c>
      <c r="O1079" t="s">
        <v>27</v>
      </c>
      <c r="P1079" t="s">
        <v>31</v>
      </c>
      <c r="Q1079">
        <v>239421</v>
      </c>
      <c r="R1079">
        <v>34.1</v>
      </c>
      <c r="S1079">
        <v>-90.83</v>
      </c>
      <c r="T1079" t="s">
        <v>31</v>
      </c>
    </row>
    <row r="1080" spans="1:20" hidden="1" x14ac:dyDescent="0.3">
      <c r="A1080" t="s">
        <v>1080</v>
      </c>
      <c r="B1080" t="s">
        <v>28</v>
      </c>
      <c r="C1080" t="s">
        <v>29</v>
      </c>
      <c r="D1080" t="s">
        <v>97</v>
      </c>
      <c r="E1080">
        <v>2011</v>
      </c>
      <c r="F1080" t="s">
        <v>31</v>
      </c>
      <c r="G1080" t="s">
        <v>4086</v>
      </c>
      <c r="H1080" t="s">
        <v>2645</v>
      </c>
      <c r="I1080" t="s">
        <v>34</v>
      </c>
      <c r="J1080" t="s">
        <v>4124</v>
      </c>
      <c r="K1080" t="s">
        <v>31</v>
      </c>
      <c r="L1080" t="s">
        <v>31</v>
      </c>
      <c r="M1080" t="s">
        <v>27</v>
      </c>
      <c r="N1080" t="s">
        <v>27</v>
      </c>
      <c r="O1080" t="s">
        <v>27</v>
      </c>
      <c r="P1080" t="s">
        <v>31</v>
      </c>
      <c r="Q1080" t="s">
        <v>31</v>
      </c>
      <c r="R1080" t="s">
        <v>31</v>
      </c>
      <c r="S1080" t="s">
        <v>31</v>
      </c>
      <c r="T1080" t="s">
        <v>31</v>
      </c>
    </row>
    <row r="1081" spans="1:20" hidden="1" x14ac:dyDescent="0.3">
      <c r="A1081" t="s">
        <v>1081</v>
      </c>
      <c r="B1081" t="s">
        <v>51</v>
      </c>
      <c r="C1081" t="s">
        <v>2655</v>
      </c>
      <c r="D1081" t="s">
        <v>134</v>
      </c>
      <c r="E1081">
        <v>2011</v>
      </c>
      <c r="F1081" t="s">
        <v>31</v>
      </c>
      <c r="G1081" t="s">
        <v>31</v>
      </c>
      <c r="H1081" t="s">
        <v>2666</v>
      </c>
      <c r="I1081" t="s">
        <v>109</v>
      </c>
      <c r="J1081" t="s">
        <v>4125</v>
      </c>
      <c r="K1081" t="s">
        <v>2649</v>
      </c>
      <c r="L1081" t="s">
        <v>31</v>
      </c>
      <c r="M1081" t="s">
        <v>27</v>
      </c>
      <c r="N1081" t="s">
        <v>27</v>
      </c>
      <c r="O1081" t="s">
        <v>33</v>
      </c>
      <c r="P1081" t="s">
        <v>31</v>
      </c>
      <c r="Q1081" t="s">
        <v>31</v>
      </c>
      <c r="R1081" t="s">
        <v>31</v>
      </c>
      <c r="S1081" t="s">
        <v>31</v>
      </c>
      <c r="T1081" t="s">
        <v>31</v>
      </c>
    </row>
    <row r="1082" spans="1:20" hidden="1" x14ac:dyDescent="0.3">
      <c r="A1082" t="s">
        <v>1082</v>
      </c>
      <c r="B1082" t="s">
        <v>51</v>
      </c>
      <c r="C1082" t="s">
        <v>37</v>
      </c>
      <c r="D1082" t="s">
        <v>121</v>
      </c>
      <c r="E1082">
        <v>2011</v>
      </c>
      <c r="F1082" t="s">
        <v>31</v>
      </c>
      <c r="G1082" t="s">
        <v>4126</v>
      </c>
      <c r="H1082" t="s">
        <v>2888</v>
      </c>
      <c r="I1082" t="s">
        <v>75</v>
      </c>
      <c r="J1082" t="s">
        <v>4127</v>
      </c>
      <c r="K1082" t="s">
        <v>2649</v>
      </c>
      <c r="L1082" t="s">
        <v>31</v>
      </c>
      <c r="M1082" t="s">
        <v>27</v>
      </c>
      <c r="N1082" t="s">
        <v>27</v>
      </c>
      <c r="O1082" t="s">
        <v>27</v>
      </c>
      <c r="P1082">
        <v>288</v>
      </c>
      <c r="Q1082">
        <v>1115</v>
      </c>
      <c r="R1082">
        <v>18.59</v>
      </c>
      <c r="S1082">
        <v>-71.989999999999995</v>
      </c>
      <c r="T1082" t="s">
        <v>4128</v>
      </c>
    </row>
    <row r="1083" spans="1:20" hidden="1" x14ac:dyDescent="0.3">
      <c r="A1083" t="s">
        <v>1083</v>
      </c>
      <c r="B1083" t="s">
        <v>28</v>
      </c>
      <c r="C1083" t="s">
        <v>29</v>
      </c>
      <c r="D1083" t="s">
        <v>30</v>
      </c>
      <c r="E1083">
        <v>2011</v>
      </c>
      <c r="F1083" t="s">
        <v>31</v>
      </c>
      <c r="G1083" t="s">
        <v>4129</v>
      </c>
      <c r="H1083" t="s">
        <v>2888</v>
      </c>
      <c r="I1083" t="s">
        <v>75</v>
      </c>
      <c r="J1083" t="s">
        <v>3219</v>
      </c>
      <c r="K1083" t="s">
        <v>31</v>
      </c>
      <c r="L1083" t="s">
        <v>31</v>
      </c>
      <c r="M1083" t="s">
        <v>27</v>
      </c>
      <c r="N1083" t="s">
        <v>27</v>
      </c>
      <c r="O1083" t="s">
        <v>27</v>
      </c>
      <c r="P1083" t="s">
        <v>31</v>
      </c>
      <c r="Q1083" t="s">
        <v>31</v>
      </c>
      <c r="R1083" t="s">
        <v>31</v>
      </c>
      <c r="S1083" t="s">
        <v>31</v>
      </c>
      <c r="T1083" t="s">
        <v>31</v>
      </c>
    </row>
    <row r="1084" spans="1:20" hidden="1" x14ac:dyDescent="0.3">
      <c r="A1084" t="s">
        <v>1084</v>
      </c>
      <c r="B1084" t="s">
        <v>28</v>
      </c>
      <c r="C1084" t="s">
        <v>29</v>
      </c>
      <c r="D1084" t="s">
        <v>30</v>
      </c>
      <c r="E1084">
        <v>2011</v>
      </c>
      <c r="F1084" t="s">
        <v>31</v>
      </c>
      <c r="G1084" t="s">
        <v>4129</v>
      </c>
      <c r="H1084" t="s">
        <v>2847</v>
      </c>
      <c r="I1084" t="s">
        <v>62</v>
      </c>
      <c r="J1084" t="s">
        <v>3077</v>
      </c>
      <c r="K1084" t="s">
        <v>31</v>
      </c>
      <c r="L1084" t="s">
        <v>31</v>
      </c>
      <c r="M1084" t="s">
        <v>27</v>
      </c>
      <c r="N1084" t="s">
        <v>27</v>
      </c>
      <c r="O1084" t="s">
        <v>27</v>
      </c>
      <c r="P1084" t="s">
        <v>31</v>
      </c>
      <c r="Q1084" t="s">
        <v>31</v>
      </c>
      <c r="R1084" t="s">
        <v>31</v>
      </c>
      <c r="S1084" t="s">
        <v>31</v>
      </c>
      <c r="T1084" t="s">
        <v>31</v>
      </c>
    </row>
    <row r="1085" spans="1:20" hidden="1" x14ac:dyDescent="0.3">
      <c r="A1085" t="s">
        <v>1085</v>
      </c>
      <c r="B1085" t="s">
        <v>28</v>
      </c>
      <c r="C1085" t="s">
        <v>29</v>
      </c>
      <c r="D1085" t="s">
        <v>30</v>
      </c>
      <c r="E1085">
        <v>2011</v>
      </c>
      <c r="F1085" t="s">
        <v>31</v>
      </c>
      <c r="G1085" t="s">
        <v>31</v>
      </c>
      <c r="H1085" t="s">
        <v>2672</v>
      </c>
      <c r="I1085" t="s">
        <v>73</v>
      </c>
      <c r="J1085" t="s">
        <v>3895</v>
      </c>
      <c r="K1085" t="s">
        <v>31</v>
      </c>
      <c r="L1085" t="s">
        <v>290</v>
      </c>
      <c r="M1085" t="s">
        <v>27</v>
      </c>
      <c r="N1085" t="s">
        <v>27</v>
      </c>
      <c r="O1085" t="s">
        <v>27</v>
      </c>
      <c r="P1085" t="s">
        <v>31</v>
      </c>
      <c r="Q1085">
        <v>100</v>
      </c>
      <c r="R1085" t="s">
        <v>31</v>
      </c>
      <c r="S1085" t="s">
        <v>31</v>
      </c>
      <c r="T1085" t="s">
        <v>31</v>
      </c>
    </row>
    <row r="1086" spans="1:20" hidden="1" x14ac:dyDescent="0.3">
      <c r="A1086" t="s">
        <v>1086</v>
      </c>
      <c r="B1086" t="s">
        <v>51</v>
      </c>
      <c r="C1086" t="s">
        <v>37</v>
      </c>
      <c r="D1086" t="s">
        <v>121</v>
      </c>
      <c r="E1086">
        <v>2011</v>
      </c>
      <c r="F1086" t="s">
        <v>31</v>
      </c>
      <c r="G1086" t="s">
        <v>4130</v>
      </c>
      <c r="H1086" t="s">
        <v>2749</v>
      </c>
      <c r="I1086" t="s">
        <v>45</v>
      </c>
      <c r="J1086" t="s">
        <v>4131</v>
      </c>
      <c r="K1086" t="s">
        <v>2649</v>
      </c>
      <c r="L1086" t="s">
        <v>31</v>
      </c>
      <c r="M1086" t="s">
        <v>27</v>
      </c>
      <c r="N1086" t="s">
        <v>27</v>
      </c>
      <c r="O1086" t="s">
        <v>27</v>
      </c>
      <c r="P1086" t="s">
        <v>31</v>
      </c>
      <c r="Q1086" t="s">
        <v>31</v>
      </c>
      <c r="R1086" t="s">
        <v>31</v>
      </c>
      <c r="S1086" t="s">
        <v>31</v>
      </c>
      <c r="T1086" t="s">
        <v>31</v>
      </c>
    </row>
    <row r="1087" spans="1:20" hidden="1" x14ac:dyDescent="0.3">
      <c r="A1087" t="s">
        <v>1087</v>
      </c>
      <c r="B1087" t="s">
        <v>51</v>
      </c>
      <c r="C1087" t="s">
        <v>37</v>
      </c>
      <c r="D1087" t="s">
        <v>121</v>
      </c>
      <c r="E1087">
        <v>2011</v>
      </c>
      <c r="F1087" t="s">
        <v>31</v>
      </c>
      <c r="G1087" t="s">
        <v>4098</v>
      </c>
      <c r="H1087" t="s">
        <v>2774</v>
      </c>
      <c r="I1087" t="s">
        <v>166</v>
      </c>
      <c r="J1087" t="s">
        <v>4132</v>
      </c>
      <c r="K1087" t="s">
        <v>31</v>
      </c>
      <c r="L1087" t="s">
        <v>54</v>
      </c>
      <c r="M1087" t="s">
        <v>27</v>
      </c>
      <c r="N1087" t="s">
        <v>27</v>
      </c>
      <c r="O1087" t="s">
        <v>27</v>
      </c>
      <c r="P1087" t="s">
        <v>31</v>
      </c>
      <c r="Q1087" t="s">
        <v>31</v>
      </c>
      <c r="R1087" t="s">
        <v>31</v>
      </c>
      <c r="S1087" t="s">
        <v>31</v>
      </c>
      <c r="T1087" t="s">
        <v>31</v>
      </c>
    </row>
    <row r="1088" spans="1:20" hidden="1" x14ac:dyDescent="0.3">
      <c r="A1088" t="s">
        <v>1088</v>
      </c>
      <c r="B1088" t="s">
        <v>51</v>
      </c>
      <c r="C1088" t="s">
        <v>37</v>
      </c>
      <c r="D1088" t="s">
        <v>121</v>
      </c>
      <c r="E1088">
        <v>2011</v>
      </c>
      <c r="F1088" t="s">
        <v>31</v>
      </c>
      <c r="G1088" t="s">
        <v>31</v>
      </c>
      <c r="H1088" t="s">
        <v>2656</v>
      </c>
      <c r="I1088" t="s">
        <v>119</v>
      </c>
      <c r="J1088" t="s">
        <v>2602</v>
      </c>
      <c r="K1088" t="s">
        <v>2649</v>
      </c>
      <c r="L1088" t="s">
        <v>31</v>
      </c>
      <c r="M1088" t="s">
        <v>27</v>
      </c>
      <c r="N1088" t="s">
        <v>27</v>
      </c>
      <c r="O1088" t="s">
        <v>27</v>
      </c>
      <c r="P1088" t="s">
        <v>31</v>
      </c>
      <c r="Q1088">
        <v>129795</v>
      </c>
      <c r="R1088">
        <v>-30.34</v>
      </c>
      <c r="S1088">
        <v>-52.64</v>
      </c>
      <c r="T1088" t="s">
        <v>31</v>
      </c>
    </row>
    <row r="1089" spans="1:20" hidden="1" x14ac:dyDescent="0.3">
      <c r="A1089" t="s">
        <v>1089</v>
      </c>
      <c r="B1089" t="s">
        <v>28</v>
      </c>
      <c r="C1089" t="s">
        <v>29</v>
      </c>
      <c r="D1089" t="s">
        <v>67</v>
      </c>
      <c r="E1089">
        <v>2011</v>
      </c>
      <c r="F1089">
        <v>3000000</v>
      </c>
      <c r="G1089" t="s">
        <v>31</v>
      </c>
      <c r="H1089" t="s">
        <v>2645</v>
      </c>
      <c r="I1089" t="s">
        <v>34</v>
      </c>
      <c r="J1089" t="s">
        <v>4133</v>
      </c>
      <c r="K1089" t="s">
        <v>31</v>
      </c>
      <c r="L1089" t="s">
        <v>31</v>
      </c>
      <c r="M1089" t="s">
        <v>27</v>
      </c>
      <c r="N1089" t="s">
        <v>27</v>
      </c>
      <c r="O1089" t="s">
        <v>33</v>
      </c>
      <c r="P1089" t="s">
        <v>31</v>
      </c>
      <c r="Q1089" t="s">
        <v>31</v>
      </c>
      <c r="R1089" t="s">
        <v>31</v>
      </c>
      <c r="S1089" t="s">
        <v>31</v>
      </c>
      <c r="T1089" t="s">
        <v>31</v>
      </c>
    </row>
    <row r="1090" spans="1:20" hidden="1" x14ac:dyDescent="0.3">
      <c r="A1090" t="s">
        <v>1090</v>
      </c>
      <c r="B1090" t="s">
        <v>28</v>
      </c>
      <c r="C1090" t="s">
        <v>29</v>
      </c>
      <c r="D1090" t="s">
        <v>30</v>
      </c>
      <c r="E1090">
        <v>2011</v>
      </c>
      <c r="F1090">
        <v>750000</v>
      </c>
      <c r="G1090" t="s">
        <v>4134</v>
      </c>
      <c r="H1090" t="s">
        <v>2645</v>
      </c>
      <c r="I1090" t="s">
        <v>34</v>
      </c>
      <c r="J1090" t="s">
        <v>4135</v>
      </c>
      <c r="K1090" t="s">
        <v>31</v>
      </c>
      <c r="L1090" t="s">
        <v>37</v>
      </c>
      <c r="M1090" t="s">
        <v>27</v>
      </c>
      <c r="N1090" t="s">
        <v>27</v>
      </c>
      <c r="O1090" t="s">
        <v>33</v>
      </c>
      <c r="P1090" t="s">
        <v>31</v>
      </c>
      <c r="Q1090">
        <v>75</v>
      </c>
      <c r="R1090" t="s">
        <v>31</v>
      </c>
      <c r="S1090" t="s">
        <v>31</v>
      </c>
      <c r="T1090" t="s">
        <v>31</v>
      </c>
    </row>
    <row r="1091" spans="1:20" hidden="1" x14ac:dyDescent="0.3">
      <c r="A1091" t="s">
        <v>1091</v>
      </c>
      <c r="B1091" t="s">
        <v>28</v>
      </c>
      <c r="C1091" t="s">
        <v>29</v>
      </c>
      <c r="D1091" t="s">
        <v>67</v>
      </c>
      <c r="E1091">
        <v>2011</v>
      </c>
      <c r="F1091" t="s">
        <v>31</v>
      </c>
      <c r="G1091" t="s">
        <v>31</v>
      </c>
      <c r="H1091" t="s">
        <v>2645</v>
      </c>
      <c r="I1091" t="s">
        <v>34</v>
      </c>
      <c r="J1091" t="s">
        <v>4136</v>
      </c>
      <c r="K1091" t="s">
        <v>31</v>
      </c>
      <c r="L1091" t="s">
        <v>31</v>
      </c>
      <c r="M1091" t="s">
        <v>27</v>
      </c>
      <c r="N1091" t="s">
        <v>27</v>
      </c>
      <c r="O1091" t="s">
        <v>27</v>
      </c>
      <c r="P1091" t="s">
        <v>31</v>
      </c>
      <c r="Q1091" t="s">
        <v>31</v>
      </c>
      <c r="R1091" t="s">
        <v>31</v>
      </c>
      <c r="S1091" t="s">
        <v>31</v>
      </c>
      <c r="T1091" t="s">
        <v>31</v>
      </c>
    </row>
    <row r="1092" spans="1:20" hidden="1" x14ac:dyDescent="0.3">
      <c r="A1092" t="s">
        <v>1093</v>
      </c>
      <c r="B1092" t="s">
        <v>28</v>
      </c>
      <c r="C1092" t="s">
        <v>29</v>
      </c>
      <c r="D1092" t="s">
        <v>67</v>
      </c>
      <c r="E1092">
        <v>2011</v>
      </c>
      <c r="F1092" t="s">
        <v>31</v>
      </c>
      <c r="G1092" t="s">
        <v>31</v>
      </c>
      <c r="H1092" t="s">
        <v>2645</v>
      </c>
      <c r="I1092" t="s">
        <v>34</v>
      </c>
      <c r="J1092" t="s">
        <v>4137</v>
      </c>
      <c r="K1092" t="s">
        <v>31</v>
      </c>
      <c r="L1092" t="s">
        <v>31</v>
      </c>
      <c r="M1092" t="s">
        <v>27</v>
      </c>
      <c r="N1092" t="s">
        <v>27</v>
      </c>
      <c r="O1092" t="s">
        <v>27</v>
      </c>
      <c r="P1092" t="s">
        <v>31</v>
      </c>
      <c r="Q1092" t="s">
        <v>31</v>
      </c>
      <c r="R1092" t="s">
        <v>31</v>
      </c>
      <c r="S1092" t="s">
        <v>31</v>
      </c>
      <c r="T1092" t="s">
        <v>31</v>
      </c>
    </row>
    <row r="1093" spans="1:20" hidden="1" x14ac:dyDescent="0.3">
      <c r="A1093" t="s">
        <v>1094</v>
      </c>
      <c r="B1093" t="s">
        <v>39</v>
      </c>
      <c r="C1093" t="s">
        <v>40</v>
      </c>
      <c r="D1093" t="s">
        <v>41</v>
      </c>
      <c r="E1093">
        <v>2011</v>
      </c>
      <c r="F1093">
        <v>200000</v>
      </c>
      <c r="G1093" t="s">
        <v>31</v>
      </c>
      <c r="H1093" t="s">
        <v>2645</v>
      </c>
      <c r="I1093" t="s">
        <v>34</v>
      </c>
      <c r="J1093" t="s">
        <v>4138</v>
      </c>
      <c r="K1093" t="s">
        <v>4139</v>
      </c>
      <c r="L1093" t="s">
        <v>31</v>
      </c>
      <c r="M1093" t="s">
        <v>27</v>
      </c>
      <c r="N1093" t="s">
        <v>27</v>
      </c>
      <c r="O1093" t="s">
        <v>27</v>
      </c>
      <c r="P1093" t="s">
        <v>31</v>
      </c>
      <c r="Q1093" t="s">
        <v>31</v>
      </c>
      <c r="R1093" t="s">
        <v>31</v>
      </c>
      <c r="S1093" t="s">
        <v>31</v>
      </c>
      <c r="T1093" t="s">
        <v>31</v>
      </c>
    </row>
    <row r="1094" spans="1:20" hidden="1" x14ac:dyDescent="0.3">
      <c r="A1094" t="s">
        <v>1095</v>
      </c>
      <c r="B1094" t="s">
        <v>51</v>
      </c>
      <c r="C1094" t="s">
        <v>37</v>
      </c>
      <c r="D1094" t="s">
        <v>121</v>
      </c>
      <c r="E1094">
        <v>2011</v>
      </c>
      <c r="F1094">
        <v>2000000</v>
      </c>
      <c r="G1094" t="s">
        <v>31</v>
      </c>
      <c r="H1094" t="s">
        <v>2645</v>
      </c>
      <c r="I1094" t="s">
        <v>34</v>
      </c>
      <c r="J1094" t="s">
        <v>4140</v>
      </c>
      <c r="K1094" t="s">
        <v>4141</v>
      </c>
      <c r="L1094" t="s">
        <v>31</v>
      </c>
      <c r="M1094" t="s">
        <v>27</v>
      </c>
      <c r="N1094" t="s">
        <v>27</v>
      </c>
      <c r="O1094" t="s">
        <v>27</v>
      </c>
      <c r="P1094" t="s">
        <v>31</v>
      </c>
      <c r="Q1094" t="s">
        <v>31</v>
      </c>
      <c r="R1094" t="s">
        <v>31</v>
      </c>
      <c r="S1094" t="s">
        <v>31</v>
      </c>
      <c r="T1094" t="s">
        <v>4142</v>
      </c>
    </row>
    <row r="1095" spans="1:20" hidden="1" x14ac:dyDescent="0.3">
      <c r="A1095" t="s">
        <v>1096</v>
      </c>
      <c r="B1095" t="s">
        <v>51</v>
      </c>
      <c r="C1095" t="s">
        <v>37</v>
      </c>
      <c r="D1095" t="s">
        <v>121</v>
      </c>
      <c r="E1095">
        <v>2011</v>
      </c>
      <c r="F1095" t="s">
        <v>31</v>
      </c>
      <c r="G1095" t="s">
        <v>4143</v>
      </c>
      <c r="H1095" t="s">
        <v>2678</v>
      </c>
      <c r="I1095" t="s">
        <v>53</v>
      </c>
      <c r="J1095" t="s">
        <v>4144</v>
      </c>
      <c r="K1095" t="s">
        <v>31</v>
      </c>
      <c r="L1095" t="s">
        <v>54</v>
      </c>
      <c r="M1095" t="s">
        <v>27</v>
      </c>
      <c r="N1095" t="s">
        <v>27</v>
      </c>
      <c r="O1095" t="s">
        <v>33</v>
      </c>
      <c r="P1095" t="s">
        <v>31</v>
      </c>
      <c r="Q1095" t="s">
        <v>31</v>
      </c>
      <c r="R1095" t="s">
        <v>31</v>
      </c>
      <c r="S1095" t="s">
        <v>31</v>
      </c>
      <c r="T1095" t="s">
        <v>4145</v>
      </c>
    </row>
    <row r="1096" spans="1:20" hidden="1" x14ac:dyDescent="0.3">
      <c r="A1096" t="s">
        <v>1097</v>
      </c>
      <c r="B1096" t="s">
        <v>39</v>
      </c>
      <c r="C1096" t="s">
        <v>157</v>
      </c>
      <c r="D1096" t="s">
        <v>157</v>
      </c>
      <c r="E1096">
        <v>2011</v>
      </c>
      <c r="F1096" t="s">
        <v>31</v>
      </c>
      <c r="G1096" t="s">
        <v>31</v>
      </c>
      <c r="H1096" t="s">
        <v>2672</v>
      </c>
      <c r="I1096" t="s">
        <v>73</v>
      </c>
      <c r="J1096" t="s">
        <v>4146</v>
      </c>
      <c r="K1096" t="s">
        <v>31</v>
      </c>
      <c r="L1096" t="s">
        <v>31</v>
      </c>
      <c r="M1096" t="s">
        <v>27</v>
      </c>
      <c r="N1096" t="s">
        <v>27</v>
      </c>
      <c r="O1096" t="s">
        <v>27</v>
      </c>
      <c r="P1096" t="s">
        <v>31</v>
      </c>
      <c r="Q1096" t="s">
        <v>31</v>
      </c>
      <c r="R1096" t="s">
        <v>31</v>
      </c>
      <c r="S1096" t="s">
        <v>31</v>
      </c>
      <c r="T1096" t="s">
        <v>31</v>
      </c>
    </row>
    <row r="1097" spans="1:20" hidden="1" x14ac:dyDescent="0.3">
      <c r="A1097" t="s">
        <v>1657</v>
      </c>
      <c r="B1097" t="s">
        <v>28</v>
      </c>
      <c r="C1097" t="s">
        <v>29</v>
      </c>
      <c r="D1097" t="s">
        <v>30</v>
      </c>
      <c r="E1097">
        <v>2011</v>
      </c>
      <c r="F1097" t="s">
        <v>31</v>
      </c>
      <c r="G1097" t="s">
        <v>31</v>
      </c>
      <c r="H1097" t="s">
        <v>2719</v>
      </c>
      <c r="I1097" t="s">
        <v>90</v>
      </c>
      <c r="J1097" t="s">
        <v>3081</v>
      </c>
      <c r="K1097" t="s">
        <v>31</v>
      </c>
      <c r="L1097" t="s">
        <v>31</v>
      </c>
      <c r="M1097" t="s">
        <v>27</v>
      </c>
      <c r="N1097" t="s">
        <v>27</v>
      </c>
      <c r="O1097" t="s">
        <v>27</v>
      </c>
      <c r="P1097" t="s">
        <v>31</v>
      </c>
      <c r="Q1097" t="s">
        <v>31</v>
      </c>
      <c r="R1097" t="s">
        <v>31</v>
      </c>
      <c r="S1097" t="s">
        <v>31</v>
      </c>
      <c r="T1097" t="s">
        <v>31</v>
      </c>
    </row>
    <row r="1098" spans="1:20" hidden="1" x14ac:dyDescent="0.3">
      <c r="A1098" t="s">
        <v>1667</v>
      </c>
      <c r="B1098" t="s">
        <v>51</v>
      </c>
      <c r="C1098" t="s">
        <v>37</v>
      </c>
      <c r="D1098" t="s">
        <v>121</v>
      </c>
      <c r="E1098">
        <v>2011</v>
      </c>
      <c r="F1098">
        <v>20000</v>
      </c>
      <c r="G1098" t="s">
        <v>4147</v>
      </c>
      <c r="H1098" t="s">
        <v>2669</v>
      </c>
      <c r="I1098" t="s">
        <v>111</v>
      </c>
      <c r="J1098" t="s">
        <v>4148</v>
      </c>
      <c r="K1098" t="s">
        <v>4149</v>
      </c>
      <c r="L1098" t="s">
        <v>54</v>
      </c>
      <c r="M1098" t="s">
        <v>33</v>
      </c>
      <c r="N1098" t="s">
        <v>27</v>
      </c>
      <c r="O1098" t="s">
        <v>33</v>
      </c>
      <c r="P1098">
        <v>5028</v>
      </c>
      <c r="Q1098">
        <v>122139</v>
      </c>
      <c r="R1098">
        <v>-16.466000000000001</v>
      </c>
      <c r="S1098">
        <v>-65.599999999999994</v>
      </c>
      <c r="T1098" t="s">
        <v>31</v>
      </c>
    </row>
    <row r="1099" spans="1:20" hidden="1" x14ac:dyDescent="0.3">
      <c r="A1099" t="s">
        <v>1668</v>
      </c>
      <c r="B1099" t="s">
        <v>51</v>
      </c>
      <c r="C1099" t="s">
        <v>37</v>
      </c>
      <c r="D1099" t="s">
        <v>121</v>
      </c>
      <c r="E1099">
        <v>2011</v>
      </c>
      <c r="F1099" t="s">
        <v>31</v>
      </c>
      <c r="G1099" t="s">
        <v>31</v>
      </c>
      <c r="H1099" t="s">
        <v>2656</v>
      </c>
      <c r="I1099" t="s">
        <v>119</v>
      </c>
      <c r="J1099" t="s">
        <v>4150</v>
      </c>
      <c r="K1099" t="s">
        <v>2649</v>
      </c>
      <c r="L1099" t="s">
        <v>54</v>
      </c>
      <c r="M1099" t="s">
        <v>27</v>
      </c>
      <c r="N1099" t="s">
        <v>27</v>
      </c>
      <c r="O1099" t="s">
        <v>27</v>
      </c>
      <c r="P1099" t="s">
        <v>31</v>
      </c>
      <c r="Q1099">
        <v>12444</v>
      </c>
      <c r="R1099">
        <v>-23.783000000000001</v>
      </c>
      <c r="S1099">
        <v>-48.16</v>
      </c>
      <c r="T1099" t="s">
        <v>31</v>
      </c>
    </row>
    <row r="1100" spans="1:20" hidden="1" x14ac:dyDescent="0.3">
      <c r="A1100" t="s">
        <v>1669</v>
      </c>
      <c r="B1100" t="s">
        <v>51</v>
      </c>
      <c r="C1100" t="s">
        <v>37</v>
      </c>
      <c r="D1100" t="s">
        <v>121</v>
      </c>
      <c r="E1100">
        <v>2011</v>
      </c>
      <c r="F1100" t="s">
        <v>31</v>
      </c>
      <c r="G1100" t="s">
        <v>31</v>
      </c>
      <c r="H1100" t="s">
        <v>2666</v>
      </c>
      <c r="I1100" t="s">
        <v>109</v>
      </c>
      <c r="J1100" t="s">
        <v>4151</v>
      </c>
      <c r="K1100" t="s">
        <v>2649</v>
      </c>
      <c r="L1100" t="s">
        <v>54</v>
      </c>
      <c r="M1100" t="s">
        <v>27</v>
      </c>
      <c r="N1100" t="s">
        <v>27</v>
      </c>
      <c r="O1100" t="s">
        <v>27</v>
      </c>
      <c r="P1100" t="s">
        <v>31</v>
      </c>
      <c r="Q1100" t="s">
        <v>31</v>
      </c>
      <c r="R1100" t="s">
        <v>31</v>
      </c>
      <c r="S1100" t="s">
        <v>31</v>
      </c>
      <c r="T1100" t="s">
        <v>31</v>
      </c>
    </row>
    <row r="1101" spans="1:20" hidden="1" x14ac:dyDescent="0.3">
      <c r="A1101" t="s">
        <v>1670</v>
      </c>
      <c r="B1101" t="s">
        <v>51</v>
      </c>
      <c r="C1101" t="s">
        <v>2655</v>
      </c>
      <c r="D1101" t="s">
        <v>134</v>
      </c>
      <c r="E1101">
        <v>2011</v>
      </c>
      <c r="F1101" t="s">
        <v>31</v>
      </c>
      <c r="G1101" t="s">
        <v>31</v>
      </c>
      <c r="H1101" t="s">
        <v>2669</v>
      </c>
      <c r="I1101" t="s">
        <v>111</v>
      </c>
      <c r="J1101" t="s">
        <v>4152</v>
      </c>
      <c r="K1101" t="s">
        <v>2649</v>
      </c>
      <c r="L1101" t="s">
        <v>31</v>
      </c>
      <c r="M1101" t="s">
        <v>27</v>
      </c>
      <c r="N1101" t="s">
        <v>27</v>
      </c>
      <c r="O1101" t="s">
        <v>27</v>
      </c>
      <c r="P1101" t="s">
        <v>31</v>
      </c>
      <c r="Q1101" t="s">
        <v>31</v>
      </c>
      <c r="R1101" t="s">
        <v>31</v>
      </c>
      <c r="S1101" t="s">
        <v>31</v>
      </c>
      <c r="T1101" t="s">
        <v>31</v>
      </c>
    </row>
    <row r="1102" spans="1:20" hidden="1" x14ac:dyDescent="0.3">
      <c r="A1102" t="s">
        <v>1671</v>
      </c>
      <c r="B1102" t="s">
        <v>51</v>
      </c>
      <c r="C1102" t="s">
        <v>37</v>
      </c>
      <c r="D1102" t="s">
        <v>121</v>
      </c>
      <c r="E1102">
        <v>2011</v>
      </c>
      <c r="F1102">
        <v>800000</v>
      </c>
      <c r="G1102" t="s">
        <v>31</v>
      </c>
      <c r="H1102" t="s">
        <v>2739</v>
      </c>
      <c r="I1102" t="s">
        <v>77</v>
      </c>
      <c r="J1102" t="s">
        <v>4153</v>
      </c>
      <c r="K1102" t="s">
        <v>31</v>
      </c>
      <c r="L1102" t="s">
        <v>31</v>
      </c>
      <c r="M1102" t="s">
        <v>27</v>
      </c>
      <c r="N1102" t="s">
        <v>27</v>
      </c>
      <c r="O1102" t="s">
        <v>33</v>
      </c>
      <c r="P1102" t="s">
        <v>31</v>
      </c>
      <c r="Q1102" t="s">
        <v>31</v>
      </c>
      <c r="R1102" t="s">
        <v>31</v>
      </c>
      <c r="S1102" t="s">
        <v>31</v>
      </c>
      <c r="T1102" t="s">
        <v>4154</v>
      </c>
    </row>
    <row r="1103" spans="1:20" hidden="1" x14ac:dyDescent="0.3">
      <c r="A1103" t="s">
        <v>1672</v>
      </c>
      <c r="B1103" t="s">
        <v>28</v>
      </c>
      <c r="C1103" t="s">
        <v>29</v>
      </c>
      <c r="D1103" t="s">
        <v>30</v>
      </c>
      <c r="E1103">
        <v>2011</v>
      </c>
      <c r="F1103">
        <v>70000</v>
      </c>
      <c r="G1103" t="s">
        <v>4155</v>
      </c>
      <c r="H1103" t="s">
        <v>2672</v>
      </c>
      <c r="I1103" t="s">
        <v>73</v>
      </c>
      <c r="J1103" t="s">
        <v>4156</v>
      </c>
      <c r="K1103" t="s">
        <v>31</v>
      </c>
      <c r="L1103" t="s">
        <v>82</v>
      </c>
      <c r="M1103" t="s">
        <v>27</v>
      </c>
      <c r="N1103" t="s">
        <v>27</v>
      </c>
      <c r="O1103" t="s">
        <v>27</v>
      </c>
      <c r="P1103" t="s">
        <v>31</v>
      </c>
      <c r="Q1103" t="s">
        <v>31</v>
      </c>
      <c r="R1103">
        <v>22.11</v>
      </c>
      <c r="S1103">
        <v>-98.75</v>
      </c>
      <c r="T1103" t="s">
        <v>31</v>
      </c>
    </row>
    <row r="1104" spans="1:20" hidden="1" x14ac:dyDescent="0.3">
      <c r="A1104" t="s">
        <v>1673</v>
      </c>
      <c r="B1104" t="s">
        <v>51</v>
      </c>
      <c r="C1104" t="s">
        <v>37</v>
      </c>
      <c r="D1104" t="s">
        <v>121</v>
      </c>
      <c r="E1104">
        <v>2011</v>
      </c>
      <c r="F1104">
        <v>31100</v>
      </c>
      <c r="G1104" t="s">
        <v>4157</v>
      </c>
      <c r="H1104" t="s">
        <v>2903</v>
      </c>
      <c r="I1104" t="s">
        <v>148</v>
      </c>
      <c r="J1104" t="s">
        <v>4158</v>
      </c>
      <c r="K1104" t="s">
        <v>31</v>
      </c>
      <c r="L1104" t="s">
        <v>54</v>
      </c>
      <c r="M1104" t="s">
        <v>27</v>
      </c>
      <c r="N1104" t="s">
        <v>27</v>
      </c>
      <c r="O1104" t="s">
        <v>27</v>
      </c>
      <c r="P1104" t="s">
        <v>31</v>
      </c>
      <c r="Q1104" t="s">
        <v>31</v>
      </c>
      <c r="R1104" t="s">
        <v>31</v>
      </c>
      <c r="S1104" t="s">
        <v>31</v>
      </c>
      <c r="T1104" t="s">
        <v>31</v>
      </c>
    </row>
    <row r="1105" spans="1:20" hidden="1" x14ac:dyDescent="0.3">
      <c r="A1105" t="s">
        <v>1674</v>
      </c>
      <c r="B1105" t="s">
        <v>51</v>
      </c>
      <c r="C1105" t="s">
        <v>37</v>
      </c>
      <c r="D1105" t="s">
        <v>121</v>
      </c>
      <c r="E1105">
        <v>2011</v>
      </c>
      <c r="F1105" t="s">
        <v>31</v>
      </c>
      <c r="G1105" t="s">
        <v>31</v>
      </c>
      <c r="H1105" t="s">
        <v>2656</v>
      </c>
      <c r="I1105" t="s">
        <v>119</v>
      </c>
      <c r="J1105" t="s">
        <v>2810</v>
      </c>
      <c r="K1105" t="s">
        <v>2725</v>
      </c>
      <c r="L1105" t="s">
        <v>54</v>
      </c>
      <c r="M1105" t="s">
        <v>27</v>
      </c>
      <c r="N1105" t="s">
        <v>27</v>
      </c>
      <c r="O1105" t="s">
        <v>33</v>
      </c>
      <c r="P1105" t="s">
        <v>31</v>
      </c>
      <c r="Q1105">
        <v>288020</v>
      </c>
      <c r="R1105" t="s">
        <v>31</v>
      </c>
      <c r="S1105" t="s">
        <v>31</v>
      </c>
      <c r="T1105" t="s">
        <v>31</v>
      </c>
    </row>
    <row r="1106" spans="1:20" hidden="1" x14ac:dyDescent="0.3">
      <c r="A1106" t="s">
        <v>1675</v>
      </c>
      <c r="B1106" t="s">
        <v>28</v>
      </c>
      <c r="C1106" t="s">
        <v>29</v>
      </c>
      <c r="D1106" t="s">
        <v>97</v>
      </c>
      <c r="E1106">
        <v>2011</v>
      </c>
      <c r="F1106" t="s">
        <v>31</v>
      </c>
      <c r="G1106" t="s">
        <v>31</v>
      </c>
      <c r="H1106" t="s">
        <v>2645</v>
      </c>
      <c r="I1106" t="s">
        <v>34</v>
      </c>
      <c r="J1106" t="s">
        <v>4159</v>
      </c>
      <c r="K1106" t="s">
        <v>31</v>
      </c>
      <c r="L1106" t="s">
        <v>100</v>
      </c>
      <c r="M1106" t="s">
        <v>27</v>
      </c>
      <c r="N1106" t="s">
        <v>27</v>
      </c>
      <c r="O1106" t="s">
        <v>33</v>
      </c>
      <c r="P1106" t="s">
        <v>31</v>
      </c>
      <c r="Q1106">
        <v>260</v>
      </c>
      <c r="R1106" t="s">
        <v>31</v>
      </c>
      <c r="S1106" t="s">
        <v>31</v>
      </c>
      <c r="T1106" t="s">
        <v>31</v>
      </c>
    </row>
    <row r="1107" spans="1:20" hidden="1" x14ac:dyDescent="0.3">
      <c r="A1107" t="s">
        <v>1676</v>
      </c>
      <c r="B1107" t="s">
        <v>28</v>
      </c>
      <c r="C1107" t="s">
        <v>2685</v>
      </c>
      <c r="D1107" t="s">
        <v>68</v>
      </c>
      <c r="E1107">
        <v>2011</v>
      </c>
      <c r="F1107" t="s">
        <v>31</v>
      </c>
      <c r="G1107" t="s">
        <v>31</v>
      </c>
      <c r="H1107" t="s">
        <v>2678</v>
      </c>
      <c r="I1107" t="s">
        <v>53</v>
      </c>
      <c r="J1107" t="s">
        <v>4160</v>
      </c>
      <c r="K1107" t="s">
        <v>31</v>
      </c>
      <c r="L1107" t="s">
        <v>31</v>
      </c>
      <c r="M1107" t="s">
        <v>27</v>
      </c>
      <c r="N1107" t="s">
        <v>27</v>
      </c>
      <c r="O1107" t="s">
        <v>27</v>
      </c>
      <c r="P1107" t="s">
        <v>31</v>
      </c>
      <c r="Q1107" t="s">
        <v>31</v>
      </c>
      <c r="R1107" t="s">
        <v>31</v>
      </c>
      <c r="S1107" t="s">
        <v>31</v>
      </c>
      <c r="T1107" t="s">
        <v>31</v>
      </c>
    </row>
    <row r="1108" spans="1:20" hidden="1" x14ac:dyDescent="0.3">
      <c r="A1108" t="s">
        <v>1677</v>
      </c>
      <c r="B1108" t="s">
        <v>51</v>
      </c>
      <c r="C1108" t="s">
        <v>37</v>
      </c>
      <c r="D1108" t="s">
        <v>121</v>
      </c>
      <c r="E1108">
        <v>2011</v>
      </c>
      <c r="F1108" t="s">
        <v>31</v>
      </c>
      <c r="G1108" t="s">
        <v>31</v>
      </c>
      <c r="H1108" t="s">
        <v>2656</v>
      </c>
      <c r="I1108" t="s">
        <v>119</v>
      </c>
      <c r="J1108" t="s">
        <v>4161</v>
      </c>
      <c r="K1108" t="s">
        <v>3054</v>
      </c>
      <c r="L1108" t="s">
        <v>54</v>
      </c>
      <c r="M1108" t="s">
        <v>27</v>
      </c>
      <c r="N1108" t="s">
        <v>27</v>
      </c>
      <c r="O1108" t="s">
        <v>33</v>
      </c>
      <c r="P1108" t="s">
        <v>31</v>
      </c>
      <c r="Q1108">
        <v>200669</v>
      </c>
      <c r="R1108">
        <v>-8.6504700000000003</v>
      </c>
      <c r="S1108">
        <v>-38.11</v>
      </c>
      <c r="T1108" t="s">
        <v>31</v>
      </c>
    </row>
    <row r="1109" spans="1:20" hidden="1" x14ac:dyDescent="0.3">
      <c r="A1109" t="s">
        <v>1678</v>
      </c>
      <c r="B1109" t="s">
        <v>28</v>
      </c>
      <c r="C1109" t="s">
        <v>29</v>
      </c>
      <c r="D1109" t="s">
        <v>30</v>
      </c>
      <c r="E1109">
        <v>2011</v>
      </c>
      <c r="F1109">
        <v>40000</v>
      </c>
      <c r="G1109" t="s">
        <v>4162</v>
      </c>
      <c r="H1109" t="s">
        <v>2804</v>
      </c>
      <c r="I1109" t="s">
        <v>102</v>
      </c>
      <c r="J1109" t="s">
        <v>31</v>
      </c>
      <c r="K1109" t="s">
        <v>31</v>
      </c>
      <c r="L1109" t="s">
        <v>31</v>
      </c>
      <c r="M1109" t="s">
        <v>33</v>
      </c>
      <c r="N1109" t="s">
        <v>27</v>
      </c>
      <c r="O1109" t="s">
        <v>27</v>
      </c>
      <c r="P1109" t="s">
        <v>31</v>
      </c>
      <c r="Q1109" t="s">
        <v>31</v>
      </c>
      <c r="R1109" t="s">
        <v>31</v>
      </c>
      <c r="S1109" t="s">
        <v>31</v>
      </c>
      <c r="T1109" t="s">
        <v>31</v>
      </c>
    </row>
    <row r="1110" spans="1:20" hidden="1" x14ac:dyDescent="0.3">
      <c r="A1110" t="s">
        <v>1679</v>
      </c>
      <c r="B1110" t="s">
        <v>28</v>
      </c>
      <c r="C1110" t="s">
        <v>29</v>
      </c>
      <c r="D1110" t="s">
        <v>30</v>
      </c>
      <c r="E1110">
        <v>2011</v>
      </c>
      <c r="F1110" t="s">
        <v>31</v>
      </c>
      <c r="G1110" t="s">
        <v>4162</v>
      </c>
      <c r="H1110" t="s">
        <v>2739</v>
      </c>
      <c r="I1110" t="s">
        <v>77</v>
      </c>
      <c r="J1110" t="s">
        <v>4163</v>
      </c>
      <c r="K1110" t="s">
        <v>31</v>
      </c>
      <c r="L1110" t="s">
        <v>37</v>
      </c>
      <c r="M1110" t="s">
        <v>27</v>
      </c>
      <c r="N1110" t="s">
        <v>27</v>
      </c>
      <c r="O1110" t="s">
        <v>27</v>
      </c>
      <c r="P1110" t="s">
        <v>31</v>
      </c>
      <c r="Q1110">
        <v>130</v>
      </c>
      <c r="R1110" t="s">
        <v>31</v>
      </c>
      <c r="S1110" t="s">
        <v>31</v>
      </c>
      <c r="T1110" t="s">
        <v>31</v>
      </c>
    </row>
    <row r="1111" spans="1:20" hidden="1" x14ac:dyDescent="0.3">
      <c r="A1111" t="s">
        <v>1680</v>
      </c>
      <c r="B1111" t="s">
        <v>28</v>
      </c>
      <c r="C1111" t="s">
        <v>29</v>
      </c>
      <c r="D1111" t="s">
        <v>30</v>
      </c>
      <c r="E1111">
        <v>2011</v>
      </c>
      <c r="F1111">
        <v>30000</v>
      </c>
      <c r="G1111" t="s">
        <v>4162</v>
      </c>
      <c r="H1111" t="s">
        <v>2888</v>
      </c>
      <c r="I1111" t="s">
        <v>75</v>
      </c>
      <c r="J1111" t="s">
        <v>4164</v>
      </c>
      <c r="K1111" t="s">
        <v>31</v>
      </c>
      <c r="L1111" t="s">
        <v>37</v>
      </c>
      <c r="M1111" t="s">
        <v>27</v>
      </c>
      <c r="N1111" t="s">
        <v>27</v>
      </c>
      <c r="O1111" t="s">
        <v>27</v>
      </c>
      <c r="P1111" t="s">
        <v>31</v>
      </c>
      <c r="Q1111" t="s">
        <v>31</v>
      </c>
      <c r="R1111" t="s">
        <v>31</v>
      </c>
      <c r="S1111" t="s">
        <v>31</v>
      </c>
      <c r="T1111" t="s">
        <v>31</v>
      </c>
    </row>
    <row r="1112" spans="1:20" hidden="1" x14ac:dyDescent="0.3">
      <c r="A1112" t="s">
        <v>1681</v>
      </c>
      <c r="B1112" t="s">
        <v>28</v>
      </c>
      <c r="C1112" t="s">
        <v>29</v>
      </c>
      <c r="D1112" t="s">
        <v>30</v>
      </c>
      <c r="E1112">
        <v>2011</v>
      </c>
      <c r="F1112" t="s">
        <v>31</v>
      </c>
      <c r="G1112" t="s">
        <v>4162</v>
      </c>
      <c r="H1112" t="s">
        <v>2749</v>
      </c>
      <c r="I1112" t="s">
        <v>45</v>
      </c>
      <c r="J1112" t="s">
        <v>4165</v>
      </c>
      <c r="K1112" t="s">
        <v>31</v>
      </c>
      <c r="L1112" t="s">
        <v>54</v>
      </c>
      <c r="M1112" t="s">
        <v>27</v>
      </c>
      <c r="N1112" t="s">
        <v>27</v>
      </c>
      <c r="O1112" t="s">
        <v>27</v>
      </c>
      <c r="P1112" t="s">
        <v>31</v>
      </c>
      <c r="Q1112" t="s">
        <v>31</v>
      </c>
      <c r="R1112" t="s">
        <v>31</v>
      </c>
      <c r="S1112" t="s">
        <v>31</v>
      </c>
      <c r="T1112" t="s">
        <v>31</v>
      </c>
    </row>
    <row r="1113" spans="1:20" hidden="1" x14ac:dyDescent="0.3">
      <c r="A1113" t="s">
        <v>1682</v>
      </c>
      <c r="B1113" t="s">
        <v>28</v>
      </c>
      <c r="C1113" t="s">
        <v>29</v>
      </c>
      <c r="D1113" t="s">
        <v>30</v>
      </c>
      <c r="E1113">
        <v>2011</v>
      </c>
      <c r="F1113">
        <v>500000</v>
      </c>
      <c r="G1113" t="s">
        <v>4162</v>
      </c>
      <c r="H1113" t="s">
        <v>2847</v>
      </c>
      <c r="I1113" t="s">
        <v>62</v>
      </c>
      <c r="J1113" t="s">
        <v>3077</v>
      </c>
      <c r="K1113" t="s">
        <v>31</v>
      </c>
      <c r="L1113" t="s">
        <v>37</v>
      </c>
      <c r="M1113" t="s">
        <v>27</v>
      </c>
      <c r="N1113" t="s">
        <v>27</v>
      </c>
      <c r="O1113" t="s">
        <v>33</v>
      </c>
      <c r="P1113" t="s">
        <v>31</v>
      </c>
      <c r="Q1113">
        <v>130</v>
      </c>
      <c r="R1113" t="s">
        <v>31</v>
      </c>
      <c r="S1113" t="s">
        <v>31</v>
      </c>
      <c r="T1113" t="s">
        <v>31</v>
      </c>
    </row>
    <row r="1114" spans="1:20" hidden="1" x14ac:dyDescent="0.3">
      <c r="A1114" t="s">
        <v>1683</v>
      </c>
      <c r="B1114" t="s">
        <v>39</v>
      </c>
      <c r="C1114" t="s">
        <v>40</v>
      </c>
      <c r="D1114" t="s">
        <v>41</v>
      </c>
      <c r="E1114">
        <v>2011</v>
      </c>
      <c r="F1114">
        <v>1000000</v>
      </c>
      <c r="G1114" t="s">
        <v>31</v>
      </c>
      <c r="H1114" t="s">
        <v>2645</v>
      </c>
      <c r="I1114" t="s">
        <v>34</v>
      </c>
      <c r="J1114" t="s">
        <v>4166</v>
      </c>
      <c r="K1114" t="s">
        <v>4167</v>
      </c>
      <c r="L1114" t="s">
        <v>31</v>
      </c>
      <c r="M1114" t="s">
        <v>27</v>
      </c>
      <c r="N1114" t="s">
        <v>27</v>
      </c>
      <c r="O1114" t="s">
        <v>27</v>
      </c>
      <c r="P1114" t="s">
        <v>31</v>
      </c>
      <c r="Q1114" t="s">
        <v>31</v>
      </c>
      <c r="R1114" t="s">
        <v>31</v>
      </c>
      <c r="S1114" t="s">
        <v>31</v>
      </c>
      <c r="T1114" t="s">
        <v>31</v>
      </c>
    </row>
    <row r="1115" spans="1:20" hidden="1" x14ac:dyDescent="0.3">
      <c r="A1115" t="s">
        <v>1684</v>
      </c>
      <c r="B1115" t="s">
        <v>51</v>
      </c>
      <c r="C1115" t="s">
        <v>2655</v>
      </c>
      <c r="D1115" t="s">
        <v>134</v>
      </c>
      <c r="E1115">
        <v>2011</v>
      </c>
      <c r="F1115" t="s">
        <v>31</v>
      </c>
      <c r="G1115" t="s">
        <v>31</v>
      </c>
      <c r="H1115" t="s">
        <v>2719</v>
      </c>
      <c r="I1115" t="s">
        <v>90</v>
      </c>
      <c r="J1115" t="s">
        <v>4168</v>
      </c>
      <c r="K1115" t="s">
        <v>2649</v>
      </c>
      <c r="L1115" t="s">
        <v>31</v>
      </c>
      <c r="M1115" t="s">
        <v>27</v>
      </c>
      <c r="N1115" t="s">
        <v>27</v>
      </c>
      <c r="O1115" t="s">
        <v>27</v>
      </c>
      <c r="P1115" t="s">
        <v>31</v>
      </c>
      <c r="Q1115" t="s">
        <v>31</v>
      </c>
      <c r="R1115" t="s">
        <v>31</v>
      </c>
      <c r="S1115" t="s">
        <v>31</v>
      </c>
      <c r="T1115" t="s">
        <v>31</v>
      </c>
    </row>
    <row r="1116" spans="1:20" hidden="1" x14ac:dyDescent="0.3">
      <c r="A1116" t="s">
        <v>1685</v>
      </c>
      <c r="B1116" t="s">
        <v>51</v>
      </c>
      <c r="C1116" t="s">
        <v>37</v>
      </c>
      <c r="D1116" t="s">
        <v>121</v>
      </c>
      <c r="E1116">
        <v>2011</v>
      </c>
      <c r="F1116" t="s">
        <v>31</v>
      </c>
      <c r="G1116" t="s">
        <v>4098</v>
      </c>
      <c r="H1116" t="s">
        <v>2753</v>
      </c>
      <c r="I1116" t="s">
        <v>49</v>
      </c>
      <c r="J1116" t="s">
        <v>4169</v>
      </c>
      <c r="K1116" t="s">
        <v>31</v>
      </c>
      <c r="L1116" t="s">
        <v>54</v>
      </c>
      <c r="M1116" t="s">
        <v>33</v>
      </c>
      <c r="N1116" t="s">
        <v>27</v>
      </c>
      <c r="O1116" t="s">
        <v>33</v>
      </c>
      <c r="P1116" t="s">
        <v>31</v>
      </c>
      <c r="Q1116" t="s">
        <v>31</v>
      </c>
      <c r="R1116" t="s">
        <v>31</v>
      </c>
      <c r="S1116" t="s">
        <v>31</v>
      </c>
      <c r="T1116" t="s">
        <v>31</v>
      </c>
    </row>
    <row r="1117" spans="1:20" hidden="1" x14ac:dyDescent="0.3">
      <c r="A1117" t="s">
        <v>1686</v>
      </c>
      <c r="B1117" t="s">
        <v>51</v>
      </c>
      <c r="C1117" t="s">
        <v>37</v>
      </c>
      <c r="D1117" t="s">
        <v>121</v>
      </c>
      <c r="E1117">
        <v>2011</v>
      </c>
      <c r="F1117" t="s">
        <v>31</v>
      </c>
      <c r="G1117" t="s">
        <v>4098</v>
      </c>
      <c r="H1117" t="s">
        <v>2675</v>
      </c>
      <c r="I1117" t="s">
        <v>81</v>
      </c>
      <c r="J1117" t="s">
        <v>4170</v>
      </c>
      <c r="K1117" t="s">
        <v>31</v>
      </c>
      <c r="L1117" t="s">
        <v>54</v>
      </c>
      <c r="M1117" t="s">
        <v>27</v>
      </c>
      <c r="N1117" t="s">
        <v>27</v>
      </c>
      <c r="O1117" t="s">
        <v>33</v>
      </c>
      <c r="P1117" t="s">
        <v>31</v>
      </c>
      <c r="Q1117" t="s">
        <v>31</v>
      </c>
      <c r="R1117" t="s">
        <v>31</v>
      </c>
      <c r="S1117" t="s">
        <v>31</v>
      </c>
      <c r="T1117" t="s">
        <v>31</v>
      </c>
    </row>
    <row r="1118" spans="1:20" hidden="1" x14ac:dyDescent="0.3">
      <c r="A1118" t="s">
        <v>1687</v>
      </c>
      <c r="B1118" t="s">
        <v>51</v>
      </c>
      <c r="C1118" t="s">
        <v>37</v>
      </c>
      <c r="D1118" t="s">
        <v>121</v>
      </c>
      <c r="E1118">
        <v>2011</v>
      </c>
      <c r="F1118">
        <v>1000000</v>
      </c>
      <c r="G1118" t="s">
        <v>4098</v>
      </c>
      <c r="H1118" t="s">
        <v>2680</v>
      </c>
      <c r="I1118" t="s">
        <v>115</v>
      </c>
      <c r="J1118" t="s">
        <v>4171</v>
      </c>
      <c r="K1118" t="s">
        <v>4172</v>
      </c>
      <c r="L1118" t="s">
        <v>54</v>
      </c>
      <c r="M1118" t="s">
        <v>33</v>
      </c>
      <c r="N1118" t="s">
        <v>27</v>
      </c>
      <c r="O1118" t="s">
        <v>33</v>
      </c>
      <c r="P1118" t="s">
        <v>31</v>
      </c>
      <c r="Q1118" t="s">
        <v>31</v>
      </c>
      <c r="R1118" t="s">
        <v>31</v>
      </c>
      <c r="S1118" t="s">
        <v>31</v>
      </c>
      <c r="T1118" t="s">
        <v>31</v>
      </c>
    </row>
    <row r="1119" spans="1:20" hidden="1" x14ac:dyDescent="0.3">
      <c r="A1119" t="s">
        <v>1688</v>
      </c>
      <c r="B1119" t="s">
        <v>51</v>
      </c>
      <c r="C1119" t="s">
        <v>37</v>
      </c>
      <c r="D1119" t="s">
        <v>121</v>
      </c>
      <c r="E1119">
        <v>2011</v>
      </c>
      <c r="F1119" t="s">
        <v>31</v>
      </c>
      <c r="G1119" t="s">
        <v>31</v>
      </c>
      <c r="H1119" t="s">
        <v>2645</v>
      </c>
      <c r="I1119" t="s">
        <v>34</v>
      </c>
      <c r="J1119" t="s">
        <v>4173</v>
      </c>
      <c r="K1119" t="s">
        <v>3054</v>
      </c>
      <c r="L1119" t="s">
        <v>31</v>
      </c>
      <c r="M1119" t="s">
        <v>27</v>
      </c>
      <c r="N1119" t="s">
        <v>27</v>
      </c>
      <c r="O1119" t="s">
        <v>27</v>
      </c>
      <c r="P1119" t="s">
        <v>31</v>
      </c>
      <c r="Q1119">
        <v>26044</v>
      </c>
      <c r="R1119">
        <v>35.805999999999997</v>
      </c>
      <c r="S1119">
        <v>-79.37</v>
      </c>
      <c r="T1119" t="s">
        <v>31</v>
      </c>
    </row>
    <row r="1120" spans="1:20" hidden="1" x14ac:dyDescent="0.3">
      <c r="A1120" t="s">
        <v>1689</v>
      </c>
      <c r="B1120" t="s">
        <v>91</v>
      </c>
      <c r="C1120" t="s">
        <v>92</v>
      </c>
      <c r="D1120" t="s">
        <v>93</v>
      </c>
      <c r="E1120">
        <v>2011</v>
      </c>
      <c r="F1120" t="s">
        <v>31</v>
      </c>
      <c r="G1120" t="s">
        <v>4174</v>
      </c>
      <c r="H1120" t="s">
        <v>2678</v>
      </c>
      <c r="I1120" t="s">
        <v>53</v>
      </c>
      <c r="J1120" t="s">
        <v>4175</v>
      </c>
      <c r="K1120" t="s">
        <v>31</v>
      </c>
      <c r="L1120" t="s">
        <v>31</v>
      </c>
      <c r="M1120" t="s">
        <v>27</v>
      </c>
      <c r="N1120" t="s">
        <v>27</v>
      </c>
      <c r="O1120" t="s">
        <v>27</v>
      </c>
      <c r="P1120" t="s">
        <v>31</v>
      </c>
      <c r="Q1120">
        <v>6.9</v>
      </c>
      <c r="R1120">
        <v>-14.438000000000001</v>
      </c>
      <c r="S1120">
        <v>-75.965999999999994</v>
      </c>
      <c r="T1120" t="s">
        <v>31</v>
      </c>
    </row>
    <row r="1121" spans="1:20" hidden="1" x14ac:dyDescent="0.3">
      <c r="A1121" t="s">
        <v>1690</v>
      </c>
      <c r="B1121" t="s">
        <v>91</v>
      </c>
      <c r="C1121" t="s">
        <v>92</v>
      </c>
      <c r="D1121" t="s">
        <v>93</v>
      </c>
      <c r="E1121">
        <v>2011</v>
      </c>
      <c r="F1121" t="s">
        <v>31</v>
      </c>
      <c r="G1121" t="s">
        <v>4176</v>
      </c>
      <c r="H1121" t="s">
        <v>2672</v>
      </c>
      <c r="I1121" t="s">
        <v>73</v>
      </c>
      <c r="J1121" t="s">
        <v>4177</v>
      </c>
      <c r="K1121" t="s">
        <v>31</v>
      </c>
      <c r="L1121" t="s">
        <v>31</v>
      </c>
      <c r="M1121" t="s">
        <v>27</v>
      </c>
      <c r="N1121" t="s">
        <v>27</v>
      </c>
      <c r="O1121" t="s">
        <v>27</v>
      </c>
      <c r="P1121" t="s">
        <v>31</v>
      </c>
      <c r="Q1121">
        <v>6.5</v>
      </c>
      <c r="R1121">
        <v>17.986000000000001</v>
      </c>
      <c r="S1121">
        <v>-99.789000000000001</v>
      </c>
      <c r="T1121" t="s">
        <v>31</v>
      </c>
    </row>
    <row r="1122" spans="1:20" hidden="1" x14ac:dyDescent="0.3">
      <c r="A1122" t="s">
        <v>1691</v>
      </c>
      <c r="B1122" t="s">
        <v>28</v>
      </c>
      <c r="C1122" t="s">
        <v>2685</v>
      </c>
      <c r="D1122" t="s">
        <v>68</v>
      </c>
      <c r="E1122">
        <v>2011</v>
      </c>
      <c r="F1122" t="s">
        <v>31</v>
      </c>
      <c r="G1122" t="s">
        <v>4178</v>
      </c>
      <c r="H1122" t="s">
        <v>2719</v>
      </c>
      <c r="I1122" t="s">
        <v>90</v>
      </c>
      <c r="J1122" t="s">
        <v>4179</v>
      </c>
      <c r="K1122" t="s">
        <v>31</v>
      </c>
      <c r="L1122" t="s">
        <v>31</v>
      </c>
      <c r="M1122" t="s">
        <v>27</v>
      </c>
      <c r="N1122" t="s">
        <v>27</v>
      </c>
      <c r="O1122" t="s">
        <v>27</v>
      </c>
      <c r="P1122" t="s">
        <v>31</v>
      </c>
      <c r="Q1122" t="s">
        <v>31</v>
      </c>
      <c r="R1122" t="s">
        <v>31</v>
      </c>
      <c r="S1122" t="s">
        <v>31</v>
      </c>
      <c r="T1122" t="s">
        <v>31</v>
      </c>
    </row>
    <row r="1123" spans="1:20" hidden="1" x14ac:dyDescent="0.3">
      <c r="A1123" t="s">
        <v>1692</v>
      </c>
      <c r="B1123" t="s">
        <v>39</v>
      </c>
      <c r="C1123" t="s">
        <v>40</v>
      </c>
      <c r="D1123" t="s">
        <v>41</v>
      </c>
      <c r="E1123">
        <v>2011</v>
      </c>
      <c r="F1123">
        <v>200000</v>
      </c>
      <c r="G1123" t="s">
        <v>4180</v>
      </c>
      <c r="H1123" t="s">
        <v>2701</v>
      </c>
      <c r="I1123" t="s">
        <v>60</v>
      </c>
      <c r="J1123" t="s">
        <v>4181</v>
      </c>
      <c r="K1123" t="s">
        <v>4182</v>
      </c>
      <c r="L1123" t="s">
        <v>31</v>
      </c>
      <c r="M1123" t="s">
        <v>27</v>
      </c>
      <c r="N1123" t="s">
        <v>27</v>
      </c>
      <c r="O1123" t="s">
        <v>33</v>
      </c>
      <c r="P1123" t="s">
        <v>31</v>
      </c>
      <c r="Q1123" t="s">
        <v>31</v>
      </c>
      <c r="R1123" t="s">
        <v>31</v>
      </c>
      <c r="S1123" t="s">
        <v>31</v>
      </c>
      <c r="T1123" t="s">
        <v>31</v>
      </c>
    </row>
    <row r="1124" spans="1:20" hidden="1" x14ac:dyDescent="0.3">
      <c r="A1124" t="s">
        <v>1693</v>
      </c>
      <c r="B1124" t="s">
        <v>51</v>
      </c>
      <c r="C1124" t="s">
        <v>37</v>
      </c>
      <c r="D1124" t="s">
        <v>121</v>
      </c>
      <c r="E1124">
        <v>2011</v>
      </c>
      <c r="F1124" t="s">
        <v>31</v>
      </c>
      <c r="G1124" t="s">
        <v>31</v>
      </c>
      <c r="H1124" t="s">
        <v>2719</v>
      </c>
      <c r="I1124" t="s">
        <v>90</v>
      </c>
      <c r="J1124" t="s">
        <v>4183</v>
      </c>
      <c r="K1124" t="s">
        <v>31</v>
      </c>
      <c r="L1124" t="s">
        <v>31</v>
      </c>
      <c r="M1124" t="s">
        <v>27</v>
      </c>
      <c r="N1124" t="s">
        <v>27</v>
      </c>
      <c r="O1124" t="s">
        <v>27</v>
      </c>
      <c r="P1124" t="s">
        <v>31</v>
      </c>
      <c r="Q1124" t="s">
        <v>31</v>
      </c>
      <c r="R1124" t="s">
        <v>31</v>
      </c>
      <c r="S1124" t="s">
        <v>31</v>
      </c>
      <c r="T1124" t="s">
        <v>31</v>
      </c>
    </row>
    <row r="1125" spans="1:20" hidden="1" x14ac:dyDescent="0.3">
      <c r="A1125" t="s">
        <v>1694</v>
      </c>
      <c r="B1125" t="s">
        <v>51</v>
      </c>
      <c r="C1125" t="s">
        <v>37</v>
      </c>
      <c r="D1125" t="s">
        <v>121</v>
      </c>
      <c r="E1125">
        <v>2011</v>
      </c>
      <c r="F1125" t="s">
        <v>31</v>
      </c>
      <c r="G1125" t="s">
        <v>31</v>
      </c>
      <c r="H1125" t="s">
        <v>2672</v>
      </c>
      <c r="I1125" t="s">
        <v>73</v>
      </c>
      <c r="J1125" t="s">
        <v>4184</v>
      </c>
      <c r="K1125" t="s">
        <v>2649</v>
      </c>
      <c r="L1125" t="s">
        <v>31</v>
      </c>
      <c r="M1125" t="s">
        <v>27</v>
      </c>
      <c r="N1125" t="s">
        <v>27</v>
      </c>
      <c r="O1125" t="s">
        <v>27</v>
      </c>
      <c r="P1125" t="s">
        <v>31</v>
      </c>
      <c r="Q1125" t="s">
        <v>31</v>
      </c>
      <c r="R1125" t="s">
        <v>31</v>
      </c>
      <c r="S1125" t="s">
        <v>31</v>
      </c>
      <c r="T1125" t="s">
        <v>31</v>
      </c>
    </row>
    <row r="1126" spans="1:20" hidden="1" x14ac:dyDescent="0.3">
      <c r="A1126" t="s">
        <v>1695</v>
      </c>
      <c r="B1126" t="s">
        <v>39</v>
      </c>
      <c r="C1126" t="s">
        <v>40</v>
      </c>
      <c r="D1126" t="s">
        <v>41</v>
      </c>
      <c r="E1126">
        <v>2011</v>
      </c>
      <c r="F1126">
        <v>1500000</v>
      </c>
      <c r="G1126" t="s">
        <v>31</v>
      </c>
      <c r="H1126" t="s">
        <v>2739</v>
      </c>
      <c r="I1126" t="s">
        <v>77</v>
      </c>
      <c r="J1126" t="s">
        <v>4185</v>
      </c>
      <c r="K1126" t="s">
        <v>4186</v>
      </c>
      <c r="L1126" t="s">
        <v>31</v>
      </c>
      <c r="M1126" t="s">
        <v>27</v>
      </c>
      <c r="N1126" t="s">
        <v>27</v>
      </c>
      <c r="O1126" t="s">
        <v>27</v>
      </c>
      <c r="P1126" t="s">
        <v>31</v>
      </c>
      <c r="Q1126" t="s">
        <v>31</v>
      </c>
      <c r="R1126" t="s">
        <v>31</v>
      </c>
      <c r="S1126" t="s">
        <v>31</v>
      </c>
      <c r="T1126" t="s">
        <v>31</v>
      </c>
    </row>
    <row r="1127" spans="1:20" hidden="1" x14ac:dyDescent="0.3">
      <c r="A1127" t="s">
        <v>2368</v>
      </c>
      <c r="B1127" t="s">
        <v>51</v>
      </c>
      <c r="C1127" t="s">
        <v>37</v>
      </c>
      <c r="D1127" t="s">
        <v>121</v>
      </c>
      <c r="E1127">
        <v>2011</v>
      </c>
      <c r="F1127" t="s">
        <v>31</v>
      </c>
      <c r="G1127" t="s">
        <v>4126</v>
      </c>
      <c r="H1127" t="s">
        <v>2749</v>
      </c>
      <c r="I1127" t="s">
        <v>45</v>
      </c>
      <c r="J1127" t="s">
        <v>4187</v>
      </c>
      <c r="K1127" t="s">
        <v>2649</v>
      </c>
      <c r="L1127" t="s">
        <v>54</v>
      </c>
      <c r="M1127" t="s">
        <v>27</v>
      </c>
      <c r="N1127" t="s">
        <v>27</v>
      </c>
      <c r="O1127" t="s">
        <v>27</v>
      </c>
      <c r="P1127" t="s">
        <v>31</v>
      </c>
      <c r="Q1127" t="s">
        <v>31</v>
      </c>
      <c r="R1127" t="s">
        <v>31</v>
      </c>
      <c r="S1127" t="s">
        <v>31</v>
      </c>
      <c r="T1127" t="s">
        <v>31</v>
      </c>
    </row>
    <row r="1128" spans="1:20" hidden="1" x14ac:dyDescent="0.3">
      <c r="A1128" t="s">
        <v>2379</v>
      </c>
      <c r="B1128" t="s">
        <v>51</v>
      </c>
      <c r="C1128" t="s">
        <v>37</v>
      </c>
      <c r="D1128" t="s">
        <v>121</v>
      </c>
      <c r="E1128">
        <v>2011</v>
      </c>
      <c r="F1128" t="s">
        <v>31</v>
      </c>
      <c r="G1128" t="s">
        <v>31</v>
      </c>
      <c r="H1128" t="s">
        <v>2678</v>
      </c>
      <c r="I1128" t="s">
        <v>53</v>
      </c>
      <c r="J1128" t="s">
        <v>4188</v>
      </c>
      <c r="K1128" t="s">
        <v>2649</v>
      </c>
      <c r="L1128" t="s">
        <v>54</v>
      </c>
      <c r="M1128" t="s">
        <v>27</v>
      </c>
      <c r="N1128" t="s">
        <v>27</v>
      </c>
      <c r="O1128" t="s">
        <v>27</v>
      </c>
      <c r="P1128" t="s">
        <v>31</v>
      </c>
      <c r="Q1128" t="s">
        <v>31</v>
      </c>
      <c r="R1128" t="s">
        <v>31</v>
      </c>
      <c r="S1128" t="s">
        <v>31</v>
      </c>
      <c r="T1128" t="s">
        <v>31</v>
      </c>
    </row>
    <row r="1129" spans="1:20" hidden="1" x14ac:dyDescent="0.3">
      <c r="A1129" t="s">
        <v>2381</v>
      </c>
      <c r="B1129" t="s">
        <v>28</v>
      </c>
      <c r="C1129" t="s">
        <v>29</v>
      </c>
      <c r="D1129" t="s">
        <v>97</v>
      </c>
      <c r="E1129">
        <v>2011</v>
      </c>
      <c r="F1129">
        <v>2000000</v>
      </c>
      <c r="G1129" t="s">
        <v>31</v>
      </c>
      <c r="H1129" t="s">
        <v>2645</v>
      </c>
      <c r="I1129" t="s">
        <v>34</v>
      </c>
      <c r="J1129" t="s">
        <v>4189</v>
      </c>
      <c r="K1129" t="s">
        <v>31</v>
      </c>
      <c r="L1129" t="s">
        <v>31</v>
      </c>
      <c r="M1129" t="s">
        <v>27</v>
      </c>
      <c r="N1129" t="s">
        <v>27</v>
      </c>
      <c r="O1129" t="s">
        <v>33</v>
      </c>
      <c r="P1129" t="s">
        <v>31</v>
      </c>
      <c r="Q1129">
        <v>260</v>
      </c>
      <c r="R1129" t="s">
        <v>31</v>
      </c>
      <c r="S1129" t="s">
        <v>31</v>
      </c>
      <c r="T1129" t="s">
        <v>31</v>
      </c>
    </row>
    <row r="1130" spans="1:20" hidden="1" x14ac:dyDescent="0.3">
      <c r="A1130" t="s">
        <v>2382</v>
      </c>
      <c r="B1130" t="s">
        <v>39</v>
      </c>
      <c r="C1130" t="s">
        <v>40</v>
      </c>
      <c r="D1130" t="s">
        <v>59</v>
      </c>
      <c r="E1130">
        <v>2011</v>
      </c>
      <c r="F1130" t="s">
        <v>31</v>
      </c>
      <c r="G1130" t="s">
        <v>31</v>
      </c>
      <c r="H1130" t="s">
        <v>2672</v>
      </c>
      <c r="I1130" t="s">
        <v>73</v>
      </c>
      <c r="J1130" t="s">
        <v>4190</v>
      </c>
      <c r="K1130" t="s">
        <v>4191</v>
      </c>
      <c r="L1130" t="s">
        <v>95</v>
      </c>
      <c r="M1130" t="s">
        <v>33</v>
      </c>
      <c r="N1130" t="s">
        <v>27</v>
      </c>
      <c r="O1130" t="s">
        <v>33</v>
      </c>
      <c r="P1130" t="s">
        <v>31</v>
      </c>
      <c r="Q1130" t="s">
        <v>31</v>
      </c>
      <c r="R1130" t="s">
        <v>31</v>
      </c>
      <c r="S1130" t="s">
        <v>31</v>
      </c>
      <c r="T1130" t="s">
        <v>31</v>
      </c>
    </row>
    <row r="1131" spans="1:20" hidden="1" x14ac:dyDescent="0.3">
      <c r="A1131" t="s">
        <v>2383</v>
      </c>
      <c r="B1131" t="s">
        <v>91</v>
      </c>
      <c r="C1131" t="s">
        <v>2712</v>
      </c>
      <c r="D1131" t="s">
        <v>105</v>
      </c>
      <c r="E1131">
        <v>2011</v>
      </c>
      <c r="F1131">
        <v>104000</v>
      </c>
      <c r="G1131" t="s">
        <v>31</v>
      </c>
      <c r="H1131" t="s">
        <v>2658</v>
      </c>
      <c r="I1131" t="s">
        <v>130</v>
      </c>
      <c r="J1131" t="s">
        <v>4192</v>
      </c>
      <c r="K1131" t="s">
        <v>31</v>
      </c>
      <c r="L1131" t="s">
        <v>31</v>
      </c>
      <c r="M1131" t="s">
        <v>27</v>
      </c>
      <c r="N1131" t="s">
        <v>27</v>
      </c>
      <c r="O1131" t="s">
        <v>33</v>
      </c>
      <c r="P1131" t="s">
        <v>31</v>
      </c>
      <c r="Q1131" t="s">
        <v>31</v>
      </c>
      <c r="R1131">
        <v>-40.590000000000003</v>
      </c>
      <c r="S1131">
        <v>-72.12</v>
      </c>
      <c r="T1131" t="s">
        <v>31</v>
      </c>
    </row>
    <row r="1132" spans="1:20" hidden="1" x14ac:dyDescent="0.3">
      <c r="A1132" t="s">
        <v>2384</v>
      </c>
      <c r="B1132" t="s">
        <v>91</v>
      </c>
      <c r="C1132" t="s">
        <v>2712</v>
      </c>
      <c r="D1132" t="s">
        <v>105</v>
      </c>
      <c r="E1132">
        <v>2011</v>
      </c>
      <c r="F1132" t="s">
        <v>31</v>
      </c>
      <c r="G1132" t="s">
        <v>31</v>
      </c>
      <c r="H1132" t="s">
        <v>2701</v>
      </c>
      <c r="I1132" t="s">
        <v>60</v>
      </c>
      <c r="J1132" t="s">
        <v>4193</v>
      </c>
      <c r="K1132" t="s">
        <v>31</v>
      </c>
      <c r="L1132" t="s">
        <v>31</v>
      </c>
      <c r="M1132" t="s">
        <v>27</v>
      </c>
      <c r="N1132" t="s">
        <v>27</v>
      </c>
      <c r="O1132" t="s">
        <v>27</v>
      </c>
      <c r="P1132" t="s">
        <v>31</v>
      </c>
      <c r="Q1132" t="s">
        <v>31</v>
      </c>
      <c r="R1132">
        <v>-40.590000000000003</v>
      </c>
      <c r="S1132">
        <v>-72.12</v>
      </c>
      <c r="T1132" t="s">
        <v>31</v>
      </c>
    </row>
    <row r="1133" spans="1:20" hidden="1" x14ac:dyDescent="0.3">
      <c r="A1133" t="s">
        <v>2385</v>
      </c>
      <c r="B1133" t="s">
        <v>28</v>
      </c>
      <c r="C1133" t="s">
        <v>2685</v>
      </c>
      <c r="D1133" t="s">
        <v>95</v>
      </c>
      <c r="E1133">
        <v>2011</v>
      </c>
      <c r="F1133" t="s">
        <v>31</v>
      </c>
      <c r="G1133" t="s">
        <v>31</v>
      </c>
      <c r="H1133" t="s">
        <v>2645</v>
      </c>
      <c r="I1133" t="s">
        <v>34</v>
      </c>
      <c r="J1133" t="s">
        <v>4194</v>
      </c>
      <c r="K1133" t="s">
        <v>31</v>
      </c>
      <c r="L1133" t="s">
        <v>31</v>
      </c>
      <c r="M1133" t="s">
        <v>27</v>
      </c>
      <c r="N1133" t="s">
        <v>27</v>
      </c>
      <c r="O1133" t="s">
        <v>27</v>
      </c>
      <c r="P1133" t="s">
        <v>31</v>
      </c>
      <c r="Q1133">
        <v>50</v>
      </c>
      <c r="R1133" t="s">
        <v>31</v>
      </c>
      <c r="S1133" t="s">
        <v>31</v>
      </c>
      <c r="T1133" t="s">
        <v>31</v>
      </c>
    </row>
    <row r="1134" spans="1:20" hidden="1" x14ac:dyDescent="0.3">
      <c r="A1134" t="s">
        <v>2386</v>
      </c>
      <c r="B1134" t="s">
        <v>28</v>
      </c>
      <c r="C1134" t="s">
        <v>29</v>
      </c>
      <c r="D1134" t="s">
        <v>30</v>
      </c>
      <c r="E1134">
        <v>2011</v>
      </c>
      <c r="F1134" t="s">
        <v>31</v>
      </c>
      <c r="G1134" t="s">
        <v>31</v>
      </c>
      <c r="H1134" t="s">
        <v>2672</v>
      </c>
      <c r="I1134" t="s">
        <v>73</v>
      </c>
      <c r="J1134" t="s">
        <v>4195</v>
      </c>
      <c r="K1134" t="s">
        <v>31</v>
      </c>
      <c r="L1134" t="s">
        <v>37</v>
      </c>
      <c r="M1134" t="s">
        <v>27</v>
      </c>
      <c r="N1134" t="s">
        <v>27</v>
      </c>
      <c r="O1134" t="s">
        <v>27</v>
      </c>
      <c r="P1134" t="s">
        <v>31</v>
      </c>
      <c r="Q1134">
        <v>150</v>
      </c>
      <c r="R1134" t="s">
        <v>31</v>
      </c>
      <c r="S1134" t="s">
        <v>31</v>
      </c>
      <c r="T1134" t="s">
        <v>31</v>
      </c>
    </row>
    <row r="1135" spans="1:20" hidden="1" x14ac:dyDescent="0.3">
      <c r="A1135" t="s">
        <v>2387</v>
      </c>
      <c r="B1135" t="s">
        <v>28</v>
      </c>
      <c r="C1135" t="s">
        <v>29</v>
      </c>
      <c r="D1135" t="s">
        <v>30</v>
      </c>
      <c r="E1135">
        <v>2011</v>
      </c>
      <c r="F1135" t="s">
        <v>31</v>
      </c>
      <c r="G1135" t="s">
        <v>4129</v>
      </c>
      <c r="H1135" t="s">
        <v>2749</v>
      </c>
      <c r="I1135" t="s">
        <v>45</v>
      </c>
      <c r="J1135" t="s">
        <v>4196</v>
      </c>
      <c r="K1135" t="s">
        <v>31</v>
      </c>
      <c r="L1135" t="s">
        <v>31</v>
      </c>
      <c r="M1135" t="s">
        <v>27</v>
      </c>
      <c r="N1135" t="s">
        <v>27</v>
      </c>
      <c r="O1135" t="s">
        <v>27</v>
      </c>
      <c r="P1135" t="s">
        <v>31</v>
      </c>
      <c r="Q1135" t="s">
        <v>31</v>
      </c>
      <c r="R1135" t="s">
        <v>31</v>
      </c>
      <c r="S1135" t="s">
        <v>31</v>
      </c>
      <c r="T1135" t="s">
        <v>31</v>
      </c>
    </row>
    <row r="1136" spans="1:20" hidden="1" x14ac:dyDescent="0.3">
      <c r="A1136" t="s">
        <v>2388</v>
      </c>
      <c r="B1136" t="s">
        <v>28</v>
      </c>
      <c r="C1136" t="s">
        <v>29</v>
      </c>
      <c r="D1136" t="s">
        <v>30</v>
      </c>
      <c r="E1136">
        <v>2011</v>
      </c>
      <c r="F1136" t="s">
        <v>31</v>
      </c>
      <c r="G1136" t="s">
        <v>4129</v>
      </c>
      <c r="H1136" t="s">
        <v>3557</v>
      </c>
      <c r="I1136" t="s">
        <v>244</v>
      </c>
      <c r="J1136" t="s">
        <v>3558</v>
      </c>
      <c r="K1136" t="s">
        <v>31</v>
      </c>
      <c r="L1136" t="s">
        <v>31</v>
      </c>
      <c r="M1136" t="s">
        <v>27</v>
      </c>
      <c r="N1136" t="s">
        <v>27</v>
      </c>
      <c r="O1136" t="s">
        <v>27</v>
      </c>
      <c r="P1136" t="s">
        <v>31</v>
      </c>
      <c r="Q1136" t="s">
        <v>31</v>
      </c>
      <c r="R1136" t="s">
        <v>31</v>
      </c>
      <c r="S1136" t="s">
        <v>31</v>
      </c>
      <c r="T1136" t="s">
        <v>31</v>
      </c>
    </row>
    <row r="1137" spans="1:20" hidden="1" x14ac:dyDescent="0.3">
      <c r="A1137" t="s">
        <v>2389</v>
      </c>
      <c r="B1137" t="s">
        <v>28</v>
      </c>
      <c r="C1137" t="s">
        <v>29</v>
      </c>
      <c r="D1137" t="s">
        <v>30</v>
      </c>
      <c r="E1137">
        <v>2011</v>
      </c>
      <c r="F1137">
        <v>7300000</v>
      </c>
      <c r="G1137" t="s">
        <v>4162</v>
      </c>
      <c r="H1137" t="s">
        <v>2645</v>
      </c>
      <c r="I1137" t="s">
        <v>34</v>
      </c>
      <c r="J1137" t="s">
        <v>4197</v>
      </c>
      <c r="K1137" t="s">
        <v>31</v>
      </c>
      <c r="L1137" t="s">
        <v>37</v>
      </c>
      <c r="M1137" t="s">
        <v>27</v>
      </c>
      <c r="N1137" t="s">
        <v>27</v>
      </c>
      <c r="O1137" t="s">
        <v>27</v>
      </c>
      <c r="P1137" t="s">
        <v>31</v>
      </c>
      <c r="Q1137" t="s">
        <v>31</v>
      </c>
      <c r="R1137">
        <v>40.186</v>
      </c>
      <c r="S1137">
        <v>-70.06</v>
      </c>
      <c r="T1137" t="s">
        <v>31</v>
      </c>
    </row>
    <row r="1138" spans="1:20" hidden="1" x14ac:dyDescent="0.3">
      <c r="A1138" t="s">
        <v>2390</v>
      </c>
      <c r="B1138" t="s">
        <v>51</v>
      </c>
      <c r="C1138" t="s">
        <v>37</v>
      </c>
      <c r="D1138" t="s">
        <v>121</v>
      </c>
      <c r="E1138">
        <v>2011</v>
      </c>
      <c r="F1138" t="s">
        <v>31</v>
      </c>
      <c r="G1138" t="s">
        <v>31</v>
      </c>
      <c r="H1138" t="s">
        <v>2656</v>
      </c>
      <c r="I1138" t="s">
        <v>119</v>
      </c>
      <c r="J1138" t="s">
        <v>4198</v>
      </c>
      <c r="K1138" t="s">
        <v>31</v>
      </c>
      <c r="L1138" t="s">
        <v>31</v>
      </c>
      <c r="M1138" t="s">
        <v>27</v>
      </c>
      <c r="N1138" t="s">
        <v>27</v>
      </c>
      <c r="O1138" t="s">
        <v>33</v>
      </c>
      <c r="P1138" t="s">
        <v>31</v>
      </c>
      <c r="Q1138" t="s">
        <v>31</v>
      </c>
      <c r="R1138" t="s">
        <v>31</v>
      </c>
      <c r="S1138" t="s">
        <v>31</v>
      </c>
      <c r="T1138" t="s">
        <v>31</v>
      </c>
    </row>
    <row r="1139" spans="1:20" hidden="1" x14ac:dyDescent="0.3">
      <c r="A1139" t="s">
        <v>2391</v>
      </c>
      <c r="B1139" t="s">
        <v>51</v>
      </c>
      <c r="C1139" t="s">
        <v>37</v>
      </c>
      <c r="D1139" t="s">
        <v>121</v>
      </c>
      <c r="E1139">
        <v>2011</v>
      </c>
      <c r="F1139" t="s">
        <v>31</v>
      </c>
      <c r="G1139" t="s">
        <v>4098</v>
      </c>
      <c r="H1139" t="s">
        <v>2695</v>
      </c>
      <c r="I1139" t="s">
        <v>161</v>
      </c>
      <c r="J1139" t="s">
        <v>4199</v>
      </c>
      <c r="K1139" t="s">
        <v>4172</v>
      </c>
      <c r="L1139" t="s">
        <v>54</v>
      </c>
      <c r="M1139" t="s">
        <v>27</v>
      </c>
      <c r="N1139" t="s">
        <v>27</v>
      </c>
      <c r="O1139" t="s">
        <v>27</v>
      </c>
      <c r="P1139" t="s">
        <v>31</v>
      </c>
      <c r="Q1139" t="s">
        <v>31</v>
      </c>
      <c r="R1139" t="s">
        <v>31</v>
      </c>
      <c r="S1139" t="s">
        <v>31</v>
      </c>
      <c r="T1139" t="s">
        <v>31</v>
      </c>
    </row>
    <row r="1140" spans="1:20" hidden="1" x14ac:dyDescent="0.3">
      <c r="A1140" t="s">
        <v>2392</v>
      </c>
      <c r="B1140" t="s">
        <v>28</v>
      </c>
      <c r="C1140" t="s">
        <v>29</v>
      </c>
      <c r="D1140" t="s">
        <v>30</v>
      </c>
      <c r="E1140">
        <v>2011</v>
      </c>
      <c r="F1140" t="s">
        <v>31</v>
      </c>
      <c r="G1140" t="s">
        <v>4200</v>
      </c>
      <c r="H1140" t="s">
        <v>3196</v>
      </c>
      <c r="I1140" t="s">
        <v>35</v>
      </c>
      <c r="J1140" t="s">
        <v>4201</v>
      </c>
      <c r="K1140" t="s">
        <v>31</v>
      </c>
      <c r="L1140" t="s">
        <v>37</v>
      </c>
      <c r="M1140" t="s">
        <v>27</v>
      </c>
      <c r="N1140" t="s">
        <v>27</v>
      </c>
      <c r="O1140" t="s">
        <v>27</v>
      </c>
      <c r="P1140" t="s">
        <v>31</v>
      </c>
      <c r="Q1140" t="s">
        <v>31</v>
      </c>
      <c r="R1140" t="s">
        <v>31</v>
      </c>
      <c r="S1140" t="s">
        <v>31</v>
      </c>
      <c r="T1140" t="s">
        <v>31</v>
      </c>
    </row>
    <row r="1141" spans="1:20" hidden="1" x14ac:dyDescent="0.3">
      <c r="A1141" t="s">
        <v>2393</v>
      </c>
      <c r="B1141" t="s">
        <v>28</v>
      </c>
      <c r="C1141" t="s">
        <v>29</v>
      </c>
      <c r="D1141" t="s">
        <v>189</v>
      </c>
      <c r="E1141">
        <v>2011</v>
      </c>
      <c r="F1141">
        <v>3500000</v>
      </c>
      <c r="G1141" t="s">
        <v>31</v>
      </c>
      <c r="H1141" t="s">
        <v>2645</v>
      </c>
      <c r="I1141" t="s">
        <v>34</v>
      </c>
      <c r="J1141" t="s">
        <v>4202</v>
      </c>
      <c r="K1141" t="s">
        <v>31</v>
      </c>
      <c r="L1141" t="s">
        <v>31</v>
      </c>
      <c r="M1141" t="s">
        <v>27</v>
      </c>
      <c r="N1141" t="s">
        <v>27</v>
      </c>
      <c r="O1141" t="s">
        <v>27</v>
      </c>
      <c r="P1141" t="s">
        <v>31</v>
      </c>
      <c r="Q1141" t="s">
        <v>31</v>
      </c>
      <c r="R1141" t="s">
        <v>31</v>
      </c>
      <c r="S1141" t="s">
        <v>31</v>
      </c>
      <c r="T1141" t="s">
        <v>31</v>
      </c>
    </row>
    <row r="1142" spans="1:20" hidden="1" x14ac:dyDescent="0.3">
      <c r="A1142" t="s">
        <v>2394</v>
      </c>
      <c r="B1142" t="s">
        <v>51</v>
      </c>
      <c r="C1142" t="s">
        <v>37</v>
      </c>
      <c r="D1142" t="s">
        <v>121</v>
      </c>
      <c r="E1142">
        <v>2011</v>
      </c>
      <c r="F1142">
        <v>4600000</v>
      </c>
      <c r="G1142" t="s">
        <v>31</v>
      </c>
      <c r="H1142" t="s">
        <v>2645</v>
      </c>
      <c r="I1142" t="s">
        <v>34</v>
      </c>
      <c r="J1142" t="s">
        <v>4203</v>
      </c>
      <c r="K1142" t="s">
        <v>4025</v>
      </c>
      <c r="L1142" t="s">
        <v>181</v>
      </c>
      <c r="M1142" t="s">
        <v>27</v>
      </c>
      <c r="N1142" t="s">
        <v>27</v>
      </c>
      <c r="O1142" t="s">
        <v>27</v>
      </c>
      <c r="P1142" t="s">
        <v>31</v>
      </c>
      <c r="Q1142" t="s">
        <v>31</v>
      </c>
      <c r="R1142" t="s">
        <v>31</v>
      </c>
      <c r="S1142" t="s">
        <v>31</v>
      </c>
      <c r="T1142" t="s">
        <v>31</v>
      </c>
    </row>
    <row r="1143" spans="1:20" hidden="1" x14ac:dyDescent="0.3">
      <c r="A1143" t="s">
        <v>2395</v>
      </c>
      <c r="B1143" t="s">
        <v>28</v>
      </c>
      <c r="C1143" t="s">
        <v>29</v>
      </c>
      <c r="D1143" t="s">
        <v>189</v>
      </c>
      <c r="E1143">
        <v>2011</v>
      </c>
      <c r="F1143" t="s">
        <v>31</v>
      </c>
      <c r="G1143" t="s">
        <v>31</v>
      </c>
      <c r="H1143" t="s">
        <v>2645</v>
      </c>
      <c r="I1143" t="s">
        <v>34</v>
      </c>
      <c r="J1143" t="s">
        <v>4204</v>
      </c>
      <c r="K1143" t="s">
        <v>31</v>
      </c>
      <c r="L1143" t="s">
        <v>31</v>
      </c>
      <c r="M1143" t="s">
        <v>27</v>
      </c>
      <c r="N1143" t="s">
        <v>27</v>
      </c>
      <c r="O1143" t="s">
        <v>27</v>
      </c>
      <c r="P1143" t="s">
        <v>31</v>
      </c>
      <c r="Q1143" t="s">
        <v>31</v>
      </c>
      <c r="R1143" t="s">
        <v>31</v>
      </c>
      <c r="S1143" t="s">
        <v>31</v>
      </c>
      <c r="T1143" t="s">
        <v>31</v>
      </c>
    </row>
    <row r="1144" spans="1:20" hidden="1" x14ac:dyDescent="0.3">
      <c r="A1144" t="s">
        <v>2396</v>
      </c>
      <c r="B1144" t="s">
        <v>51</v>
      </c>
      <c r="C1144" t="s">
        <v>37</v>
      </c>
      <c r="D1144" t="s">
        <v>56</v>
      </c>
      <c r="E1144">
        <v>2011</v>
      </c>
      <c r="F1144" t="s">
        <v>31</v>
      </c>
      <c r="G1144" t="s">
        <v>31</v>
      </c>
      <c r="H1144" t="s">
        <v>2709</v>
      </c>
      <c r="I1144" t="s">
        <v>70</v>
      </c>
      <c r="J1144" t="s">
        <v>4205</v>
      </c>
      <c r="K1144" t="s">
        <v>2725</v>
      </c>
      <c r="L1144" t="s">
        <v>31</v>
      </c>
      <c r="M1144" t="s">
        <v>27</v>
      </c>
      <c r="N1144" t="s">
        <v>27</v>
      </c>
      <c r="O1144" t="s">
        <v>27</v>
      </c>
      <c r="P1144" t="s">
        <v>31</v>
      </c>
      <c r="Q1144">
        <v>37648</v>
      </c>
      <c r="R1144">
        <v>7.6769999999999996</v>
      </c>
      <c r="S1144">
        <v>-64.77</v>
      </c>
      <c r="T1144" t="s">
        <v>31</v>
      </c>
    </row>
    <row r="1145" spans="1:20" hidden="1" x14ac:dyDescent="0.3">
      <c r="A1145" t="s">
        <v>2399</v>
      </c>
      <c r="B1145" t="s">
        <v>51</v>
      </c>
      <c r="C1145" t="s">
        <v>37</v>
      </c>
      <c r="D1145" t="s">
        <v>121</v>
      </c>
      <c r="E1145">
        <v>2011</v>
      </c>
      <c r="F1145">
        <v>16000</v>
      </c>
      <c r="G1145" t="s">
        <v>31</v>
      </c>
      <c r="H1145" t="s">
        <v>2709</v>
      </c>
      <c r="I1145" t="s">
        <v>70</v>
      </c>
      <c r="J1145" t="s">
        <v>4206</v>
      </c>
      <c r="K1145" t="s">
        <v>31</v>
      </c>
      <c r="L1145" t="s">
        <v>31</v>
      </c>
      <c r="M1145" t="s">
        <v>27</v>
      </c>
      <c r="N1145" t="s">
        <v>27</v>
      </c>
      <c r="O1145" t="s">
        <v>27</v>
      </c>
      <c r="P1145" t="s">
        <v>31</v>
      </c>
      <c r="Q1145" t="s">
        <v>31</v>
      </c>
      <c r="R1145" t="s">
        <v>31</v>
      </c>
      <c r="S1145" t="s">
        <v>31</v>
      </c>
      <c r="T1145" t="s">
        <v>31</v>
      </c>
    </row>
    <row r="1146" spans="1:20" hidden="1" x14ac:dyDescent="0.3">
      <c r="A1146" t="s">
        <v>414</v>
      </c>
      <c r="B1146" t="s">
        <v>39</v>
      </c>
      <c r="C1146" t="s">
        <v>157</v>
      </c>
      <c r="D1146" t="s">
        <v>157</v>
      </c>
      <c r="E1146">
        <v>2012</v>
      </c>
      <c r="F1146">
        <v>1460000</v>
      </c>
      <c r="G1146" t="s">
        <v>31</v>
      </c>
      <c r="H1146" t="s">
        <v>2656</v>
      </c>
      <c r="I1146" t="s">
        <v>119</v>
      </c>
      <c r="J1146" t="s">
        <v>4207</v>
      </c>
      <c r="K1146" t="s">
        <v>31</v>
      </c>
      <c r="L1146" t="s">
        <v>31</v>
      </c>
      <c r="M1146" t="s">
        <v>27</v>
      </c>
      <c r="N1146" t="s">
        <v>27</v>
      </c>
      <c r="O1146" t="s">
        <v>27</v>
      </c>
      <c r="P1146" t="s">
        <v>31</v>
      </c>
      <c r="Q1146" t="s">
        <v>31</v>
      </c>
      <c r="R1146" t="s">
        <v>31</v>
      </c>
      <c r="S1146" t="s">
        <v>31</v>
      </c>
      <c r="T1146" t="s">
        <v>31</v>
      </c>
    </row>
    <row r="1147" spans="1:20" hidden="1" x14ac:dyDescent="0.3">
      <c r="A1147" t="s">
        <v>415</v>
      </c>
      <c r="B1147" t="s">
        <v>28</v>
      </c>
      <c r="C1147" t="s">
        <v>29</v>
      </c>
      <c r="D1147" t="s">
        <v>99</v>
      </c>
      <c r="E1147">
        <v>2012</v>
      </c>
      <c r="F1147">
        <v>210000</v>
      </c>
      <c r="G1147" t="s">
        <v>31</v>
      </c>
      <c r="H1147" t="s">
        <v>2645</v>
      </c>
      <c r="I1147" t="s">
        <v>34</v>
      </c>
      <c r="J1147" t="s">
        <v>4208</v>
      </c>
      <c r="K1147" t="s">
        <v>31</v>
      </c>
      <c r="L1147" t="s">
        <v>31</v>
      </c>
      <c r="M1147" t="s">
        <v>27</v>
      </c>
      <c r="N1147" t="s">
        <v>27</v>
      </c>
      <c r="O1147" t="s">
        <v>27</v>
      </c>
      <c r="P1147" t="s">
        <v>31</v>
      </c>
      <c r="Q1147">
        <v>95</v>
      </c>
      <c r="R1147" t="s">
        <v>31</v>
      </c>
      <c r="S1147" t="s">
        <v>31</v>
      </c>
      <c r="T1147" t="s">
        <v>31</v>
      </c>
    </row>
    <row r="1148" spans="1:20" hidden="1" x14ac:dyDescent="0.3">
      <c r="A1148" t="s">
        <v>418</v>
      </c>
      <c r="B1148" t="s">
        <v>28</v>
      </c>
      <c r="C1148" t="s">
        <v>29</v>
      </c>
      <c r="D1148" t="s">
        <v>99</v>
      </c>
      <c r="E1148">
        <v>2012</v>
      </c>
      <c r="F1148">
        <v>3400000</v>
      </c>
      <c r="G1148" t="s">
        <v>4209</v>
      </c>
      <c r="H1148" t="s">
        <v>2645</v>
      </c>
      <c r="I1148" t="s">
        <v>34</v>
      </c>
      <c r="J1148" t="s">
        <v>4210</v>
      </c>
      <c r="K1148" t="s">
        <v>31</v>
      </c>
      <c r="L1148" t="s">
        <v>31</v>
      </c>
      <c r="M1148" t="s">
        <v>27</v>
      </c>
      <c r="N1148" t="s">
        <v>27</v>
      </c>
      <c r="O1148" t="s">
        <v>27</v>
      </c>
      <c r="P1148" t="s">
        <v>31</v>
      </c>
      <c r="Q1148" t="s">
        <v>31</v>
      </c>
      <c r="R1148" t="s">
        <v>31</v>
      </c>
      <c r="S1148" t="s">
        <v>31</v>
      </c>
      <c r="T1148" t="s">
        <v>31</v>
      </c>
    </row>
    <row r="1149" spans="1:20" hidden="1" x14ac:dyDescent="0.3">
      <c r="A1149" t="s">
        <v>419</v>
      </c>
      <c r="B1149" t="s">
        <v>51</v>
      </c>
      <c r="C1149" t="s">
        <v>37</v>
      </c>
      <c r="D1149" t="s">
        <v>121</v>
      </c>
      <c r="E1149">
        <v>2012</v>
      </c>
      <c r="F1149" t="s">
        <v>31</v>
      </c>
      <c r="G1149" t="s">
        <v>31</v>
      </c>
      <c r="H1149" t="s">
        <v>2658</v>
      </c>
      <c r="I1149" t="s">
        <v>130</v>
      </c>
      <c r="J1149" t="s">
        <v>4211</v>
      </c>
      <c r="K1149" t="s">
        <v>31</v>
      </c>
      <c r="L1149" t="s">
        <v>31</v>
      </c>
      <c r="M1149" t="s">
        <v>27</v>
      </c>
      <c r="N1149" t="s">
        <v>27</v>
      </c>
      <c r="O1149" t="s">
        <v>27</v>
      </c>
      <c r="P1149" t="s">
        <v>31</v>
      </c>
      <c r="Q1149">
        <v>377212</v>
      </c>
      <c r="R1149">
        <v>-27.5</v>
      </c>
      <c r="S1149">
        <v>-59.63</v>
      </c>
      <c r="T1149" t="s">
        <v>31</v>
      </c>
    </row>
    <row r="1150" spans="1:20" hidden="1" x14ac:dyDescent="0.3">
      <c r="A1150" t="s">
        <v>421</v>
      </c>
      <c r="B1150" t="s">
        <v>51</v>
      </c>
      <c r="C1150" t="s">
        <v>37</v>
      </c>
      <c r="D1150" t="s">
        <v>121</v>
      </c>
      <c r="E1150">
        <v>2012</v>
      </c>
      <c r="F1150" t="s">
        <v>31</v>
      </c>
      <c r="G1150" t="s">
        <v>4212</v>
      </c>
      <c r="H1150" t="s">
        <v>2774</v>
      </c>
      <c r="I1150" t="s">
        <v>166</v>
      </c>
      <c r="J1150" t="s">
        <v>4213</v>
      </c>
      <c r="K1150" t="s">
        <v>31</v>
      </c>
      <c r="L1150" t="s">
        <v>181</v>
      </c>
      <c r="M1150" t="s">
        <v>27</v>
      </c>
      <c r="N1150" t="s">
        <v>27</v>
      </c>
      <c r="O1150" t="s">
        <v>27</v>
      </c>
      <c r="P1150" t="s">
        <v>31</v>
      </c>
      <c r="Q1150" t="s">
        <v>31</v>
      </c>
      <c r="R1150" t="s">
        <v>31</v>
      </c>
      <c r="S1150" t="s">
        <v>31</v>
      </c>
      <c r="T1150" t="s">
        <v>4214</v>
      </c>
    </row>
    <row r="1151" spans="1:20" hidden="1" x14ac:dyDescent="0.3">
      <c r="A1151" t="s">
        <v>422</v>
      </c>
      <c r="B1151" t="s">
        <v>51</v>
      </c>
      <c r="C1151" t="s">
        <v>37</v>
      </c>
      <c r="D1151" t="s">
        <v>121</v>
      </c>
      <c r="E1151">
        <v>2012</v>
      </c>
      <c r="F1151" t="s">
        <v>31</v>
      </c>
      <c r="G1151" t="s">
        <v>31</v>
      </c>
      <c r="H1151" t="s">
        <v>2647</v>
      </c>
      <c r="I1151" t="s">
        <v>47</v>
      </c>
      <c r="J1151" t="s">
        <v>4215</v>
      </c>
      <c r="K1151" t="s">
        <v>31</v>
      </c>
      <c r="L1151" t="s">
        <v>31</v>
      </c>
      <c r="M1151" t="s">
        <v>27</v>
      </c>
      <c r="N1151" t="s">
        <v>27</v>
      </c>
      <c r="O1151" t="s">
        <v>27</v>
      </c>
      <c r="P1151" t="s">
        <v>31</v>
      </c>
      <c r="Q1151" t="s">
        <v>31</v>
      </c>
      <c r="R1151" t="s">
        <v>31</v>
      </c>
      <c r="S1151" t="s">
        <v>31</v>
      </c>
      <c r="T1151" t="s">
        <v>31</v>
      </c>
    </row>
    <row r="1152" spans="1:20" hidden="1" x14ac:dyDescent="0.3">
      <c r="A1152" t="s">
        <v>423</v>
      </c>
      <c r="B1152" t="s">
        <v>28</v>
      </c>
      <c r="C1152" t="s">
        <v>29</v>
      </c>
      <c r="D1152" t="s">
        <v>64</v>
      </c>
      <c r="E1152">
        <v>2012</v>
      </c>
      <c r="F1152">
        <v>2000</v>
      </c>
      <c r="G1152" t="s">
        <v>31</v>
      </c>
      <c r="H1152" t="s">
        <v>2658</v>
      </c>
      <c r="I1152" t="s">
        <v>130</v>
      </c>
      <c r="J1152" t="s">
        <v>4216</v>
      </c>
      <c r="K1152" t="s">
        <v>3054</v>
      </c>
      <c r="L1152" t="s">
        <v>37</v>
      </c>
      <c r="M1152" t="s">
        <v>27</v>
      </c>
      <c r="N1152" t="s">
        <v>27</v>
      </c>
      <c r="O1152" t="s">
        <v>27</v>
      </c>
      <c r="P1152" t="s">
        <v>31</v>
      </c>
      <c r="Q1152">
        <v>110</v>
      </c>
      <c r="R1152" t="s">
        <v>31</v>
      </c>
      <c r="S1152" t="s">
        <v>31</v>
      </c>
      <c r="T1152" t="s">
        <v>31</v>
      </c>
    </row>
    <row r="1153" spans="1:20" hidden="1" x14ac:dyDescent="0.3">
      <c r="A1153" t="s">
        <v>424</v>
      </c>
      <c r="B1153" t="s">
        <v>28</v>
      </c>
      <c r="C1153" t="s">
        <v>29</v>
      </c>
      <c r="D1153" t="s">
        <v>30</v>
      </c>
      <c r="E1153">
        <v>2012</v>
      </c>
      <c r="F1153" t="s">
        <v>31</v>
      </c>
      <c r="G1153" t="s">
        <v>4217</v>
      </c>
      <c r="H1153" t="s">
        <v>2888</v>
      </c>
      <c r="I1153" t="s">
        <v>75</v>
      </c>
      <c r="J1153" t="s">
        <v>4218</v>
      </c>
      <c r="K1153" t="s">
        <v>31</v>
      </c>
      <c r="L1153" t="s">
        <v>31</v>
      </c>
      <c r="M1153" t="s">
        <v>27</v>
      </c>
      <c r="N1153" t="s">
        <v>27</v>
      </c>
      <c r="O1153" t="s">
        <v>27</v>
      </c>
      <c r="P1153" t="s">
        <v>31</v>
      </c>
      <c r="Q1153" t="s">
        <v>31</v>
      </c>
      <c r="R1153" t="s">
        <v>31</v>
      </c>
      <c r="S1153" t="s">
        <v>31</v>
      </c>
      <c r="T1153" t="s">
        <v>31</v>
      </c>
    </row>
    <row r="1154" spans="1:20" hidden="1" x14ac:dyDescent="0.3">
      <c r="A1154" t="s">
        <v>425</v>
      </c>
      <c r="B1154" t="s">
        <v>28</v>
      </c>
      <c r="C1154" t="s">
        <v>29</v>
      </c>
      <c r="D1154" t="s">
        <v>30</v>
      </c>
      <c r="E1154">
        <v>2012</v>
      </c>
      <c r="F1154">
        <v>254000</v>
      </c>
      <c r="G1154" t="s">
        <v>4219</v>
      </c>
      <c r="H1154" t="s">
        <v>2749</v>
      </c>
      <c r="I1154" t="s">
        <v>45</v>
      </c>
      <c r="J1154" t="s">
        <v>4220</v>
      </c>
      <c r="K1154" t="s">
        <v>31</v>
      </c>
      <c r="L1154" t="s">
        <v>82</v>
      </c>
      <c r="M1154" t="s">
        <v>33</v>
      </c>
      <c r="N1154" t="s">
        <v>27</v>
      </c>
      <c r="O1154" t="s">
        <v>33</v>
      </c>
      <c r="P1154" t="s">
        <v>31</v>
      </c>
      <c r="Q1154" t="s">
        <v>31</v>
      </c>
      <c r="R1154" t="s">
        <v>31</v>
      </c>
      <c r="S1154" t="s">
        <v>31</v>
      </c>
      <c r="T1154" t="s">
        <v>31</v>
      </c>
    </row>
    <row r="1155" spans="1:20" hidden="1" x14ac:dyDescent="0.3">
      <c r="A1155" t="s">
        <v>426</v>
      </c>
      <c r="B1155" t="s">
        <v>28</v>
      </c>
      <c r="C1155" t="s">
        <v>29</v>
      </c>
      <c r="D1155" t="s">
        <v>30</v>
      </c>
      <c r="E1155">
        <v>2012</v>
      </c>
      <c r="F1155">
        <v>30000</v>
      </c>
      <c r="G1155" t="s">
        <v>4219</v>
      </c>
      <c r="H1155" t="s">
        <v>2888</v>
      </c>
      <c r="I1155" t="s">
        <v>75</v>
      </c>
      <c r="J1155" t="s">
        <v>4221</v>
      </c>
      <c r="K1155" t="s">
        <v>31</v>
      </c>
      <c r="L1155" t="s">
        <v>31</v>
      </c>
      <c r="M1155" t="s">
        <v>27</v>
      </c>
      <c r="N1155" t="s">
        <v>27</v>
      </c>
      <c r="O1155" t="s">
        <v>27</v>
      </c>
      <c r="P1155" t="s">
        <v>31</v>
      </c>
      <c r="Q1155" t="s">
        <v>31</v>
      </c>
      <c r="R1155" t="s">
        <v>31</v>
      </c>
      <c r="S1155" t="s">
        <v>31</v>
      </c>
      <c r="T1155" t="s">
        <v>31</v>
      </c>
    </row>
    <row r="1156" spans="1:20" hidden="1" x14ac:dyDescent="0.3">
      <c r="A1156" t="s">
        <v>427</v>
      </c>
      <c r="B1156" t="s">
        <v>91</v>
      </c>
      <c r="C1156" t="s">
        <v>2712</v>
      </c>
      <c r="D1156" t="s">
        <v>105</v>
      </c>
      <c r="E1156">
        <v>2012</v>
      </c>
      <c r="F1156" t="s">
        <v>31</v>
      </c>
      <c r="G1156" t="s">
        <v>31</v>
      </c>
      <c r="H1156" t="s">
        <v>2719</v>
      </c>
      <c r="I1156" t="s">
        <v>90</v>
      </c>
      <c r="J1156" t="s">
        <v>4222</v>
      </c>
      <c r="K1156" t="s">
        <v>31</v>
      </c>
      <c r="L1156" t="s">
        <v>31</v>
      </c>
      <c r="M1156" t="s">
        <v>27</v>
      </c>
      <c r="N1156" t="s">
        <v>27</v>
      </c>
      <c r="O1156" t="s">
        <v>27</v>
      </c>
      <c r="P1156" t="s">
        <v>31</v>
      </c>
      <c r="Q1156" t="s">
        <v>31</v>
      </c>
      <c r="R1156" t="s">
        <v>31</v>
      </c>
      <c r="S1156" t="s">
        <v>31</v>
      </c>
      <c r="T1156" t="s">
        <v>31</v>
      </c>
    </row>
    <row r="1157" spans="1:20" hidden="1" x14ac:dyDescent="0.3">
      <c r="A1157" t="s">
        <v>428</v>
      </c>
      <c r="B1157" t="s">
        <v>28</v>
      </c>
      <c r="C1157" t="s">
        <v>29</v>
      </c>
      <c r="D1157" t="s">
        <v>30</v>
      </c>
      <c r="E1157">
        <v>2012</v>
      </c>
      <c r="F1157" t="s">
        <v>31</v>
      </c>
      <c r="G1157" t="s">
        <v>4217</v>
      </c>
      <c r="H1157" t="s">
        <v>2749</v>
      </c>
      <c r="I1157" t="s">
        <v>45</v>
      </c>
      <c r="J1157" t="s">
        <v>4223</v>
      </c>
      <c r="K1157" t="s">
        <v>31</v>
      </c>
      <c r="L1157" t="s">
        <v>31</v>
      </c>
      <c r="M1157" t="s">
        <v>27</v>
      </c>
      <c r="N1157" t="s">
        <v>27</v>
      </c>
      <c r="O1157" t="s">
        <v>27</v>
      </c>
      <c r="P1157" t="s">
        <v>31</v>
      </c>
      <c r="Q1157" t="s">
        <v>31</v>
      </c>
      <c r="R1157">
        <v>19.1356</v>
      </c>
      <c r="S1157">
        <v>-72.28</v>
      </c>
      <c r="T1157" t="s">
        <v>31</v>
      </c>
    </row>
    <row r="1158" spans="1:20" hidden="1" x14ac:dyDescent="0.3">
      <c r="A1158" t="s">
        <v>765</v>
      </c>
      <c r="B1158" t="s">
        <v>28</v>
      </c>
      <c r="C1158" t="s">
        <v>29</v>
      </c>
      <c r="D1158" t="s">
        <v>97</v>
      </c>
      <c r="E1158">
        <v>2012</v>
      </c>
      <c r="F1158">
        <v>500000</v>
      </c>
      <c r="G1158" t="s">
        <v>31</v>
      </c>
      <c r="H1158" t="s">
        <v>2645</v>
      </c>
      <c r="I1158" t="s">
        <v>34</v>
      </c>
      <c r="J1158" t="s">
        <v>4224</v>
      </c>
      <c r="K1158" t="s">
        <v>31</v>
      </c>
      <c r="L1158" t="s">
        <v>31</v>
      </c>
      <c r="M1158" t="s">
        <v>27</v>
      </c>
      <c r="N1158" t="s">
        <v>27</v>
      </c>
      <c r="O1158" t="s">
        <v>33</v>
      </c>
      <c r="P1158" t="s">
        <v>31</v>
      </c>
      <c r="Q1158">
        <v>270</v>
      </c>
      <c r="R1158" t="s">
        <v>31</v>
      </c>
      <c r="S1158" t="s">
        <v>31</v>
      </c>
      <c r="T1158" t="s">
        <v>31</v>
      </c>
    </row>
    <row r="1159" spans="1:20" hidden="1" x14ac:dyDescent="0.3">
      <c r="A1159" t="s">
        <v>766</v>
      </c>
      <c r="B1159" t="s">
        <v>39</v>
      </c>
      <c r="C1159" t="s">
        <v>40</v>
      </c>
      <c r="D1159" t="s">
        <v>142</v>
      </c>
      <c r="E1159">
        <v>2012</v>
      </c>
      <c r="F1159">
        <v>600000</v>
      </c>
      <c r="G1159" t="s">
        <v>4225</v>
      </c>
      <c r="H1159" t="s">
        <v>2645</v>
      </c>
      <c r="I1159" t="s">
        <v>34</v>
      </c>
      <c r="J1159" t="s">
        <v>4226</v>
      </c>
      <c r="K1159" t="s">
        <v>31</v>
      </c>
      <c r="L1159" t="s">
        <v>31</v>
      </c>
      <c r="M1159" t="s">
        <v>27</v>
      </c>
      <c r="N1159" t="s">
        <v>27</v>
      </c>
      <c r="O1159" t="s">
        <v>33</v>
      </c>
      <c r="P1159" t="s">
        <v>31</v>
      </c>
      <c r="Q1159" t="s">
        <v>31</v>
      </c>
      <c r="R1159" t="s">
        <v>31</v>
      </c>
      <c r="S1159" t="s">
        <v>31</v>
      </c>
      <c r="T1159" t="s">
        <v>31</v>
      </c>
    </row>
    <row r="1160" spans="1:20" hidden="1" x14ac:dyDescent="0.3">
      <c r="A1160" t="s">
        <v>767</v>
      </c>
      <c r="B1160" t="s">
        <v>28</v>
      </c>
      <c r="C1160" t="s">
        <v>29</v>
      </c>
      <c r="D1160" t="s">
        <v>99</v>
      </c>
      <c r="E1160">
        <v>2012</v>
      </c>
      <c r="F1160" t="s">
        <v>31</v>
      </c>
      <c r="G1160" t="s">
        <v>31</v>
      </c>
      <c r="H1160" t="s">
        <v>2645</v>
      </c>
      <c r="I1160" t="s">
        <v>34</v>
      </c>
      <c r="J1160" t="s">
        <v>2790</v>
      </c>
      <c r="K1160" t="s">
        <v>31</v>
      </c>
      <c r="L1160" t="s">
        <v>31</v>
      </c>
      <c r="M1160" t="s">
        <v>27</v>
      </c>
      <c r="N1160" t="s">
        <v>27</v>
      </c>
      <c r="O1160" t="s">
        <v>33</v>
      </c>
      <c r="P1160" t="s">
        <v>31</v>
      </c>
      <c r="Q1160" t="s">
        <v>31</v>
      </c>
      <c r="R1160" t="s">
        <v>31</v>
      </c>
      <c r="S1160" t="s">
        <v>31</v>
      </c>
      <c r="T1160" t="s">
        <v>31</v>
      </c>
    </row>
    <row r="1161" spans="1:20" hidden="1" x14ac:dyDescent="0.3">
      <c r="A1161" t="s">
        <v>768</v>
      </c>
      <c r="B1161" t="s">
        <v>51</v>
      </c>
      <c r="C1161" t="s">
        <v>37</v>
      </c>
      <c r="D1161" t="s">
        <v>121</v>
      </c>
      <c r="E1161">
        <v>2012</v>
      </c>
      <c r="F1161">
        <v>4000</v>
      </c>
      <c r="G1161" t="s">
        <v>4227</v>
      </c>
      <c r="H1161" t="s">
        <v>2769</v>
      </c>
      <c r="I1161" t="s">
        <v>117</v>
      </c>
      <c r="J1161" t="s">
        <v>4228</v>
      </c>
      <c r="K1161" t="s">
        <v>2649</v>
      </c>
      <c r="L1161" t="s">
        <v>54</v>
      </c>
      <c r="M1161" t="s">
        <v>27</v>
      </c>
      <c r="N1161" t="s">
        <v>27</v>
      </c>
      <c r="O1161" t="s">
        <v>33</v>
      </c>
      <c r="P1161" t="s">
        <v>31</v>
      </c>
      <c r="Q1161" t="s">
        <v>31</v>
      </c>
      <c r="R1161" t="s">
        <v>31</v>
      </c>
      <c r="S1161" t="s">
        <v>31</v>
      </c>
      <c r="T1161" t="s">
        <v>4229</v>
      </c>
    </row>
    <row r="1162" spans="1:20" hidden="1" x14ac:dyDescent="0.3">
      <c r="A1162" t="s">
        <v>769</v>
      </c>
      <c r="B1162" t="s">
        <v>91</v>
      </c>
      <c r="C1162" t="s">
        <v>92</v>
      </c>
      <c r="D1162" t="s">
        <v>93</v>
      </c>
      <c r="E1162">
        <v>2012</v>
      </c>
      <c r="F1162">
        <v>100000</v>
      </c>
      <c r="G1162" t="s">
        <v>4230</v>
      </c>
      <c r="H1162" t="s">
        <v>2701</v>
      </c>
      <c r="I1162" t="s">
        <v>60</v>
      </c>
      <c r="J1162" t="s">
        <v>4231</v>
      </c>
      <c r="K1162" t="s">
        <v>31</v>
      </c>
      <c r="L1162" t="s">
        <v>31</v>
      </c>
      <c r="M1162" t="s">
        <v>27</v>
      </c>
      <c r="N1162" t="s">
        <v>27</v>
      </c>
      <c r="O1162" t="s">
        <v>27</v>
      </c>
      <c r="P1162" t="s">
        <v>31</v>
      </c>
      <c r="Q1162">
        <v>7.1</v>
      </c>
      <c r="R1162">
        <v>-35.200000000000003</v>
      </c>
      <c r="S1162">
        <v>-72.216999999999999</v>
      </c>
      <c r="T1162" t="s">
        <v>31</v>
      </c>
    </row>
    <row r="1163" spans="1:20" hidden="1" x14ac:dyDescent="0.3">
      <c r="A1163" t="s">
        <v>770</v>
      </c>
      <c r="B1163" t="s">
        <v>28</v>
      </c>
      <c r="C1163" t="s">
        <v>29</v>
      </c>
      <c r="D1163" t="s">
        <v>97</v>
      </c>
      <c r="E1163">
        <v>2012</v>
      </c>
      <c r="F1163">
        <v>1800000</v>
      </c>
      <c r="G1163" t="s">
        <v>4232</v>
      </c>
      <c r="H1163" t="s">
        <v>2645</v>
      </c>
      <c r="I1163" t="s">
        <v>34</v>
      </c>
      <c r="J1163" t="s">
        <v>4233</v>
      </c>
      <c r="K1163" t="s">
        <v>31</v>
      </c>
      <c r="L1163" t="s">
        <v>31</v>
      </c>
      <c r="M1163" t="s">
        <v>27</v>
      </c>
      <c r="N1163" t="s">
        <v>27</v>
      </c>
      <c r="O1163" t="s">
        <v>33</v>
      </c>
      <c r="P1163" t="s">
        <v>31</v>
      </c>
      <c r="Q1163" t="s">
        <v>31</v>
      </c>
      <c r="R1163" t="s">
        <v>31</v>
      </c>
      <c r="S1163" t="s">
        <v>31</v>
      </c>
      <c r="T1163" t="s">
        <v>31</v>
      </c>
    </row>
    <row r="1164" spans="1:20" x14ac:dyDescent="0.3">
      <c r="A1164" t="s">
        <v>771</v>
      </c>
      <c r="B1164" t="s">
        <v>51</v>
      </c>
      <c r="C1164" t="s">
        <v>37</v>
      </c>
      <c r="D1164" t="s">
        <v>121</v>
      </c>
      <c r="E1164">
        <v>2012</v>
      </c>
      <c r="F1164">
        <v>171000</v>
      </c>
      <c r="G1164" t="s">
        <v>31</v>
      </c>
      <c r="H1164" t="s">
        <v>2656</v>
      </c>
      <c r="I1164" t="s">
        <v>119</v>
      </c>
      <c r="J1164" t="s">
        <v>2598</v>
      </c>
      <c r="K1164" t="s">
        <v>2649</v>
      </c>
      <c r="L1164" t="s">
        <v>31</v>
      </c>
      <c r="M1164" t="s">
        <v>27</v>
      </c>
      <c r="N1164" t="s">
        <v>27</v>
      </c>
      <c r="O1164" t="s">
        <v>33</v>
      </c>
      <c r="P1164" t="s">
        <v>31</v>
      </c>
      <c r="Q1164">
        <v>127883</v>
      </c>
      <c r="R1164" t="s">
        <v>31</v>
      </c>
      <c r="S1164" t="s">
        <v>31</v>
      </c>
      <c r="T1164" t="s">
        <v>4234</v>
      </c>
    </row>
    <row r="1165" spans="1:20" hidden="1" x14ac:dyDescent="0.3">
      <c r="A1165" t="s">
        <v>772</v>
      </c>
      <c r="B1165" t="s">
        <v>51</v>
      </c>
      <c r="C1165" t="s">
        <v>37</v>
      </c>
      <c r="D1165" t="s">
        <v>121</v>
      </c>
      <c r="E1165">
        <v>2012</v>
      </c>
      <c r="F1165">
        <v>93000</v>
      </c>
      <c r="G1165" t="s">
        <v>4235</v>
      </c>
      <c r="H1165" t="s">
        <v>2709</v>
      </c>
      <c r="I1165" t="s">
        <v>70</v>
      </c>
      <c r="J1165" t="s">
        <v>4236</v>
      </c>
      <c r="K1165" t="s">
        <v>3063</v>
      </c>
      <c r="L1165" t="s">
        <v>31</v>
      </c>
      <c r="M1165" t="s">
        <v>27</v>
      </c>
      <c r="N1165" t="s">
        <v>27</v>
      </c>
      <c r="O1165" t="s">
        <v>27</v>
      </c>
      <c r="P1165" t="s">
        <v>31</v>
      </c>
      <c r="Q1165" t="s">
        <v>31</v>
      </c>
      <c r="R1165" t="s">
        <v>31</v>
      </c>
      <c r="S1165" t="s">
        <v>31</v>
      </c>
      <c r="T1165" t="s">
        <v>31</v>
      </c>
    </row>
    <row r="1166" spans="1:20" hidden="1" x14ac:dyDescent="0.3">
      <c r="A1166" t="s">
        <v>773</v>
      </c>
      <c r="B1166" t="s">
        <v>28</v>
      </c>
      <c r="C1166" t="s">
        <v>2685</v>
      </c>
      <c r="D1166" t="s">
        <v>68</v>
      </c>
      <c r="E1166">
        <v>2012</v>
      </c>
      <c r="F1166" t="s">
        <v>31</v>
      </c>
      <c r="G1166" t="s">
        <v>4237</v>
      </c>
      <c r="H1166" t="s">
        <v>2678</v>
      </c>
      <c r="I1166" t="s">
        <v>53</v>
      </c>
      <c r="J1166" t="s">
        <v>4238</v>
      </c>
      <c r="K1166" t="s">
        <v>31</v>
      </c>
      <c r="L1166" t="s">
        <v>31</v>
      </c>
      <c r="M1166" t="s">
        <v>27</v>
      </c>
      <c r="N1166" t="s">
        <v>27</v>
      </c>
      <c r="O1166" t="s">
        <v>27</v>
      </c>
      <c r="P1166" t="s">
        <v>31</v>
      </c>
      <c r="Q1166">
        <v>0</v>
      </c>
      <c r="R1166" t="s">
        <v>31</v>
      </c>
      <c r="S1166" t="s">
        <v>31</v>
      </c>
      <c r="T1166" t="s">
        <v>31</v>
      </c>
    </row>
    <row r="1167" spans="1:20" hidden="1" x14ac:dyDescent="0.3">
      <c r="A1167" t="s">
        <v>1092</v>
      </c>
      <c r="B1167" t="s">
        <v>43</v>
      </c>
      <c r="C1167" t="s">
        <v>2665</v>
      </c>
      <c r="D1167" t="s">
        <v>114</v>
      </c>
      <c r="E1167">
        <v>2012</v>
      </c>
      <c r="F1167" t="s">
        <v>31</v>
      </c>
      <c r="G1167" t="s">
        <v>31</v>
      </c>
      <c r="H1167" t="s">
        <v>2666</v>
      </c>
      <c r="I1167" t="s">
        <v>109</v>
      </c>
      <c r="J1167" t="s">
        <v>31</v>
      </c>
      <c r="K1167" t="s">
        <v>31</v>
      </c>
      <c r="L1167" t="s">
        <v>31</v>
      </c>
      <c r="M1167" t="s">
        <v>27</v>
      </c>
      <c r="N1167" t="s">
        <v>27</v>
      </c>
      <c r="O1167" t="s">
        <v>27</v>
      </c>
      <c r="P1167" t="s">
        <v>31</v>
      </c>
      <c r="Q1167" t="s">
        <v>31</v>
      </c>
      <c r="R1167" t="s">
        <v>31</v>
      </c>
      <c r="S1167" t="s">
        <v>31</v>
      </c>
      <c r="T1167" t="s">
        <v>31</v>
      </c>
    </row>
    <row r="1168" spans="1:20" hidden="1" x14ac:dyDescent="0.3">
      <c r="A1168" t="s">
        <v>1100</v>
      </c>
      <c r="B1168" t="s">
        <v>91</v>
      </c>
      <c r="C1168" t="s">
        <v>92</v>
      </c>
      <c r="D1168" t="s">
        <v>93</v>
      </c>
      <c r="E1168">
        <v>2012</v>
      </c>
      <c r="F1168" t="s">
        <v>31</v>
      </c>
      <c r="G1168" t="s">
        <v>4239</v>
      </c>
      <c r="H1168" t="s">
        <v>2678</v>
      </c>
      <c r="I1168" t="s">
        <v>53</v>
      </c>
      <c r="J1168" t="s">
        <v>4240</v>
      </c>
      <c r="K1168" t="s">
        <v>31</v>
      </c>
      <c r="L1168" t="s">
        <v>31</v>
      </c>
      <c r="M1168" t="s">
        <v>27</v>
      </c>
      <c r="N1168" t="s">
        <v>27</v>
      </c>
      <c r="O1168" t="s">
        <v>27</v>
      </c>
      <c r="P1168" t="s">
        <v>31</v>
      </c>
      <c r="Q1168">
        <v>6.4</v>
      </c>
      <c r="R1168">
        <v>-14.167999999999999</v>
      </c>
      <c r="S1168">
        <v>-75.635000000000005</v>
      </c>
      <c r="T1168" t="s">
        <v>31</v>
      </c>
    </row>
    <row r="1169" spans="1:20" hidden="1" x14ac:dyDescent="0.3">
      <c r="A1169" t="s">
        <v>1101</v>
      </c>
      <c r="B1169" t="s">
        <v>51</v>
      </c>
      <c r="C1169" t="s">
        <v>37</v>
      </c>
      <c r="D1169" t="s">
        <v>121</v>
      </c>
      <c r="E1169">
        <v>2012</v>
      </c>
      <c r="F1169" t="s">
        <v>31</v>
      </c>
      <c r="G1169" t="s">
        <v>4241</v>
      </c>
      <c r="H1169" t="s">
        <v>2669</v>
      </c>
      <c r="I1169" t="s">
        <v>111</v>
      </c>
      <c r="J1169" t="s">
        <v>2812</v>
      </c>
      <c r="K1169" t="s">
        <v>3993</v>
      </c>
      <c r="L1169" t="s">
        <v>31</v>
      </c>
      <c r="M1169" t="s">
        <v>27</v>
      </c>
      <c r="N1169" t="s">
        <v>27</v>
      </c>
      <c r="O1169" t="s">
        <v>33</v>
      </c>
      <c r="P1169" t="s">
        <v>31</v>
      </c>
      <c r="Q1169" t="s">
        <v>31</v>
      </c>
      <c r="R1169" t="s">
        <v>31</v>
      </c>
      <c r="S1169" t="s">
        <v>31</v>
      </c>
      <c r="T1169" t="s">
        <v>31</v>
      </c>
    </row>
    <row r="1170" spans="1:20" hidden="1" x14ac:dyDescent="0.3">
      <c r="A1170" t="s">
        <v>1102</v>
      </c>
      <c r="B1170" t="s">
        <v>51</v>
      </c>
      <c r="C1170" t="s">
        <v>37</v>
      </c>
      <c r="D1170" t="s">
        <v>121</v>
      </c>
      <c r="E1170">
        <v>2012</v>
      </c>
      <c r="F1170" t="s">
        <v>31</v>
      </c>
      <c r="G1170" t="s">
        <v>31</v>
      </c>
      <c r="H1170" t="s">
        <v>2749</v>
      </c>
      <c r="I1170" t="s">
        <v>45</v>
      </c>
      <c r="J1170" t="s">
        <v>4242</v>
      </c>
      <c r="K1170" t="s">
        <v>2649</v>
      </c>
      <c r="L1170" t="s">
        <v>54</v>
      </c>
      <c r="M1170" t="s">
        <v>27</v>
      </c>
      <c r="N1170" t="s">
        <v>27</v>
      </c>
      <c r="O1170" t="s">
        <v>27</v>
      </c>
      <c r="P1170" t="s">
        <v>31</v>
      </c>
      <c r="Q1170">
        <v>35151.93</v>
      </c>
      <c r="R1170">
        <v>19.443300000000001</v>
      </c>
      <c r="S1170">
        <v>-72.58</v>
      </c>
      <c r="T1170" t="s">
        <v>31</v>
      </c>
    </row>
    <row r="1171" spans="1:20" hidden="1" x14ac:dyDescent="0.3">
      <c r="A1171" t="s">
        <v>1103</v>
      </c>
      <c r="B1171" t="s">
        <v>91</v>
      </c>
      <c r="C1171" t="s">
        <v>92</v>
      </c>
      <c r="D1171" t="s">
        <v>93</v>
      </c>
      <c r="E1171">
        <v>2012</v>
      </c>
      <c r="F1171">
        <v>320000</v>
      </c>
      <c r="G1171" t="s">
        <v>4243</v>
      </c>
      <c r="H1171" t="s">
        <v>2672</v>
      </c>
      <c r="I1171" t="s">
        <v>73</v>
      </c>
      <c r="J1171" t="s">
        <v>4244</v>
      </c>
      <c r="K1171" t="s">
        <v>31</v>
      </c>
      <c r="L1171" t="s">
        <v>31</v>
      </c>
      <c r="M1171" t="s">
        <v>27</v>
      </c>
      <c r="N1171" t="s">
        <v>27</v>
      </c>
      <c r="O1171" t="s">
        <v>27</v>
      </c>
      <c r="P1171" t="s">
        <v>31</v>
      </c>
      <c r="Q1171">
        <v>7.4</v>
      </c>
      <c r="R1171">
        <v>16.492999999999999</v>
      </c>
      <c r="S1171">
        <v>-98.230999999999995</v>
      </c>
      <c r="T1171" t="s">
        <v>31</v>
      </c>
    </row>
    <row r="1172" spans="1:20" hidden="1" x14ac:dyDescent="0.3">
      <c r="A1172" t="s">
        <v>1104</v>
      </c>
      <c r="B1172" t="s">
        <v>28</v>
      </c>
      <c r="C1172" t="s">
        <v>29</v>
      </c>
      <c r="D1172" t="s">
        <v>30</v>
      </c>
      <c r="E1172">
        <v>2012</v>
      </c>
      <c r="F1172">
        <v>210000</v>
      </c>
      <c r="G1172" t="s">
        <v>31</v>
      </c>
      <c r="H1172" t="s">
        <v>2645</v>
      </c>
      <c r="I1172" t="s">
        <v>34</v>
      </c>
      <c r="J1172" t="s">
        <v>4245</v>
      </c>
      <c r="K1172" t="s">
        <v>31</v>
      </c>
      <c r="L1172" t="s">
        <v>31</v>
      </c>
      <c r="M1172" t="s">
        <v>27</v>
      </c>
      <c r="N1172" t="s">
        <v>27</v>
      </c>
      <c r="O1172" t="s">
        <v>27</v>
      </c>
      <c r="P1172" t="s">
        <v>31</v>
      </c>
      <c r="Q1172" t="s">
        <v>31</v>
      </c>
      <c r="R1172">
        <v>28.9635</v>
      </c>
      <c r="S1172">
        <v>-82.5</v>
      </c>
      <c r="T1172" t="s">
        <v>31</v>
      </c>
    </row>
    <row r="1173" spans="1:20" hidden="1" x14ac:dyDescent="0.3">
      <c r="A1173" t="s">
        <v>1105</v>
      </c>
      <c r="B1173" t="s">
        <v>51</v>
      </c>
      <c r="C1173" t="s">
        <v>37</v>
      </c>
      <c r="D1173" t="s">
        <v>121</v>
      </c>
      <c r="E1173">
        <v>2012</v>
      </c>
      <c r="F1173">
        <v>40000</v>
      </c>
      <c r="G1173" t="s">
        <v>31</v>
      </c>
      <c r="H1173" t="s">
        <v>2647</v>
      </c>
      <c r="I1173" t="s">
        <v>47</v>
      </c>
      <c r="J1173" t="s">
        <v>4246</v>
      </c>
      <c r="K1173" t="s">
        <v>2649</v>
      </c>
      <c r="L1173" t="s">
        <v>31</v>
      </c>
      <c r="M1173" t="s">
        <v>27</v>
      </c>
      <c r="N1173" t="s">
        <v>27</v>
      </c>
      <c r="O1173" t="s">
        <v>27</v>
      </c>
      <c r="P1173" t="s">
        <v>31</v>
      </c>
      <c r="Q1173">
        <v>74036</v>
      </c>
      <c r="R1173">
        <v>3.6059999999999999</v>
      </c>
      <c r="S1173">
        <v>-73.069999999999993</v>
      </c>
      <c r="T1173" t="s">
        <v>31</v>
      </c>
    </row>
    <row r="1174" spans="1:20" hidden="1" x14ac:dyDescent="0.3">
      <c r="A1174" t="s">
        <v>1106</v>
      </c>
      <c r="B1174" t="s">
        <v>51</v>
      </c>
      <c r="C1174" t="s">
        <v>37</v>
      </c>
      <c r="D1174" t="s">
        <v>121</v>
      </c>
      <c r="E1174">
        <v>2012</v>
      </c>
      <c r="F1174" t="s">
        <v>31</v>
      </c>
      <c r="G1174" t="s">
        <v>31</v>
      </c>
      <c r="H1174" t="s">
        <v>2888</v>
      </c>
      <c r="I1174" t="s">
        <v>75</v>
      </c>
      <c r="J1174" t="s">
        <v>4247</v>
      </c>
      <c r="K1174" t="s">
        <v>31</v>
      </c>
      <c r="L1174" t="s">
        <v>31</v>
      </c>
      <c r="M1174" t="s">
        <v>27</v>
      </c>
      <c r="N1174" t="s">
        <v>27</v>
      </c>
      <c r="O1174" t="s">
        <v>27</v>
      </c>
      <c r="P1174" t="s">
        <v>31</v>
      </c>
      <c r="Q1174" t="s">
        <v>31</v>
      </c>
      <c r="R1174" t="s">
        <v>31</v>
      </c>
      <c r="S1174" t="s">
        <v>31</v>
      </c>
      <c r="T1174" t="s">
        <v>31</v>
      </c>
    </row>
    <row r="1175" spans="1:20" hidden="1" x14ac:dyDescent="0.3">
      <c r="A1175" t="s">
        <v>1107</v>
      </c>
      <c r="B1175" t="s">
        <v>51</v>
      </c>
      <c r="C1175" t="s">
        <v>2655</v>
      </c>
      <c r="D1175" t="s">
        <v>134</v>
      </c>
      <c r="E1175">
        <v>2012</v>
      </c>
      <c r="F1175" t="s">
        <v>31</v>
      </c>
      <c r="G1175" t="s">
        <v>31</v>
      </c>
      <c r="H1175" t="s">
        <v>2678</v>
      </c>
      <c r="I1175" t="s">
        <v>53</v>
      </c>
      <c r="J1175" t="s">
        <v>4248</v>
      </c>
      <c r="K1175" t="s">
        <v>2649</v>
      </c>
      <c r="L1175" t="s">
        <v>31</v>
      </c>
      <c r="M1175" t="s">
        <v>27</v>
      </c>
      <c r="N1175" t="s">
        <v>27</v>
      </c>
      <c r="O1175" t="s">
        <v>27</v>
      </c>
      <c r="P1175" t="s">
        <v>31</v>
      </c>
      <c r="Q1175" t="s">
        <v>31</v>
      </c>
      <c r="R1175" t="s">
        <v>31</v>
      </c>
      <c r="S1175" t="s">
        <v>31</v>
      </c>
      <c r="T1175" t="s">
        <v>31</v>
      </c>
    </row>
    <row r="1176" spans="1:20" hidden="1" x14ac:dyDescent="0.3">
      <c r="A1176" t="s">
        <v>1108</v>
      </c>
      <c r="B1176" t="s">
        <v>51</v>
      </c>
      <c r="C1176" t="s">
        <v>37</v>
      </c>
      <c r="D1176" t="s">
        <v>121</v>
      </c>
      <c r="E1176">
        <v>2012</v>
      </c>
      <c r="F1176">
        <v>62000</v>
      </c>
      <c r="G1176" t="s">
        <v>4249</v>
      </c>
      <c r="H1176" t="s">
        <v>2647</v>
      </c>
      <c r="I1176" t="s">
        <v>47</v>
      </c>
      <c r="J1176" t="s">
        <v>4250</v>
      </c>
      <c r="K1176" t="s">
        <v>31</v>
      </c>
      <c r="L1176" t="s">
        <v>31</v>
      </c>
      <c r="M1176" t="s">
        <v>27</v>
      </c>
      <c r="N1176" t="s">
        <v>27</v>
      </c>
      <c r="O1176" t="s">
        <v>27</v>
      </c>
      <c r="P1176" t="s">
        <v>31</v>
      </c>
      <c r="Q1176" t="s">
        <v>31</v>
      </c>
      <c r="R1176" t="s">
        <v>31</v>
      </c>
      <c r="S1176" t="s">
        <v>31</v>
      </c>
      <c r="T1176" t="s">
        <v>31</v>
      </c>
    </row>
    <row r="1177" spans="1:20" hidden="1" x14ac:dyDescent="0.3">
      <c r="A1177" t="s">
        <v>1109</v>
      </c>
      <c r="B1177" t="s">
        <v>91</v>
      </c>
      <c r="C1177" t="s">
        <v>92</v>
      </c>
      <c r="D1177" t="s">
        <v>93</v>
      </c>
      <c r="E1177">
        <v>2012</v>
      </c>
      <c r="F1177">
        <v>45000</v>
      </c>
      <c r="G1177" t="s">
        <v>4251</v>
      </c>
      <c r="H1177" t="s">
        <v>2695</v>
      </c>
      <c r="I1177" t="s">
        <v>161</v>
      </c>
      <c r="J1177" t="s">
        <v>4252</v>
      </c>
      <c r="K1177" t="s">
        <v>31</v>
      </c>
      <c r="L1177" t="s">
        <v>31</v>
      </c>
      <c r="M1177" t="s">
        <v>27</v>
      </c>
      <c r="N1177" t="s">
        <v>27</v>
      </c>
      <c r="O1177" t="s">
        <v>27</v>
      </c>
      <c r="P1177" t="s">
        <v>31</v>
      </c>
      <c r="Q1177">
        <v>7.6</v>
      </c>
      <c r="R1177">
        <v>10.085000000000001</v>
      </c>
      <c r="S1177">
        <v>-85.314999999999998</v>
      </c>
      <c r="T1177" t="s">
        <v>31</v>
      </c>
    </row>
    <row r="1178" spans="1:20" hidden="1" x14ac:dyDescent="0.3">
      <c r="A1178" t="s">
        <v>1110</v>
      </c>
      <c r="B1178" t="s">
        <v>51</v>
      </c>
      <c r="C1178" t="s">
        <v>37</v>
      </c>
      <c r="D1178" t="s">
        <v>121</v>
      </c>
      <c r="E1178">
        <v>2012</v>
      </c>
      <c r="F1178" t="s">
        <v>31</v>
      </c>
      <c r="G1178" t="s">
        <v>31</v>
      </c>
      <c r="H1178" t="s">
        <v>2675</v>
      </c>
      <c r="I1178" t="s">
        <v>81</v>
      </c>
      <c r="J1178" t="s">
        <v>4253</v>
      </c>
      <c r="K1178" t="s">
        <v>31</v>
      </c>
      <c r="L1178" t="s">
        <v>31</v>
      </c>
      <c r="M1178" t="s">
        <v>27</v>
      </c>
      <c r="N1178" t="s">
        <v>27</v>
      </c>
      <c r="O1178" t="s">
        <v>27</v>
      </c>
      <c r="P1178" t="s">
        <v>31</v>
      </c>
      <c r="Q1178" t="s">
        <v>31</v>
      </c>
      <c r="R1178" t="s">
        <v>31</v>
      </c>
      <c r="S1178" t="s">
        <v>31</v>
      </c>
      <c r="T1178" t="s">
        <v>31</v>
      </c>
    </row>
    <row r="1179" spans="1:20" hidden="1" x14ac:dyDescent="0.3">
      <c r="A1179" t="s">
        <v>1111</v>
      </c>
      <c r="B1179" t="s">
        <v>91</v>
      </c>
      <c r="C1179" t="s">
        <v>92</v>
      </c>
      <c r="D1179" t="s">
        <v>93</v>
      </c>
      <c r="E1179">
        <v>2012</v>
      </c>
      <c r="F1179">
        <v>210000</v>
      </c>
      <c r="G1179" t="s">
        <v>4254</v>
      </c>
      <c r="H1179" t="s">
        <v>2719</v>
      </c>
      <c r="I1179" t="s">
        <v>90</v>
      </c>
      <c r="J1179" t="s">
        <v>4255</v>
      </c>
      <c r="K1179" t="s">
        <v>31</v>
      </c>
      <c r="L1179" t="s">
        <v>31</v>
      </c>
      <c r="M1179" t="s">
        <v>33</v>
      </c>
      <c r="N1179" t="s">
        <v>27</v>
      </c>
      <c r="O1179" t="s">
        <v>33</v>
      </c>
      <c r="P1179" t="s">
        <v>31</v>
      </c>
      <c r="Q1179">
        <v>7.4</v>
      </c>
      <c r="R1179">
        <v>13.988</v>
      </c>
      <c r="S1179">
        <v>-91.894999999999996</v>
      </c>
      <c r="T1179" t="s">
        <v>31</v>
      </c>
    </row>
    <row r="1180" spans="1:20" hidden="1" x14ac:dyDescent="0.3">
      <c r="A1180" t="s">
        <v>1112</v>
      </c>
      <c r="B1180" t="s">
        <v>28</v>
      </c>
      <c r="C1180" t="s">
        <v>29</v>
      </c>
      <c r="D1180" t="s">
        <v>64</v>
      </c>
      <c r="E1180">
        <v>2012</v>
      </c>
      <c r="F1180">
        <v>1050000</v>
      </c>
      <c r="G1180" t="s">
        <v>31</v>
      </c>
      <c r="H1180" t="s">
        <v>2739</v>
      </c>
      <c r="I1180" t="s">
        <v>77</v>
      </c>
      <c r="J1180" t="s">
        <v>4256</v>
      </c>
      <c r="K1180" t="s">
        <v>31</v>
      </c>
      <c r="L1180" t="s">
        <v>31</v>
      </c>
      <c r="M1180" t="s">
        <v>27</v>
      </c>
      <c r="N1180" t="s">
        <v>27</v>
      </c>
      <c r="O1180" t="s">
        <v>27</v>
      </c>
      <c r="P1180" t="s">
        <v>31</v>
      </c>
      <c r="Q1180" t="s">
        <v>31</v>
      </c>
      <c r="R1180" t="s">
        <v>31</v>
      </c>
      <c r="S1180" t="s">
        <v>31</v>
      </c>
      <c r="T1180" t="s">
        <v>31</v>
      </c>
    </row>
    <row r="1181" spans="1:20" hidden="1" x14ac:dyDescent="0.3">
      <c r="A1181" t="s">
        <v>1113</v>
      </c>
      <c r="B1181" t="s">
        <v>28</v>
      </c>
      <c r="C1181" t="s">
        <v>29</v>
      </c>
      <c r="D1181" t="s">
        <v>30</v>
      </c>
      <c r="E1181">
        <v>2012</v>
      </c>
      <c r="F1181" t="s">
        <v>31</v>
      </c>
      <c r="G1181" t="s">
        <v>4219</v>
      </c>
      <c r="H1181" t="s">
        <v>2804</v>
      </c>
      <c r="I1181" t="s">
        <v>102</v>
      </c>
      <c r="J1181" t="s">
        <v>31</v>
      </c>
      <c r="K1181" t="s">
        <v>31</v>
      </c>
      <c r="L1181" t="s">
        <v>31</v>
      </c>
      <c r="M1181" t="s">
        <v>27</v>
      </c>
      <c r="N1181" t="s">
        <v>27</v>
      </c>
      <c r="O1181" t="s">
        <v>27</v>
      </c>
      <c r="P1181" t="s">
        <v>31</v>
      </c>
      <c r="Q1181" t="s">
        <v>31</v>
      </c>
      <c r="R1181" t="s">
        <v>31</v>
      </c>
      <c r="S1181" t="s">
        <v>31</v>
      </c>
      <c r="T1181" t="s">
        <v>31</v>
      </c>
    </row>
    <row r="1182" spans="1:20" hidden="1" x14ac:dyDescent="0.3">
      <c r="A1182" t="s">
        <v>1114</v>
      </c>
      <c r="B1182" t="s">
        <v>28</v>
      </c>
      <c r="C1182" t="s">
        <v>29</v>
      </c>
      <c r="D1182" t="s">
        <v>30</v>
      </c>
      <c r="E1182">
        <v>2012</v>
      </c>
      <c r="F1182">
        <v>16542</v>
      </c>
      <c r="G1182" t="s">
        <v>4219</v>
      </c>
      <c r="H1182" t="s">
        <v>2751</v>
      </c>
      <c r="I1182" t="s">
        <v>234</v>
      </c>
      <c r="J1182" t="s">
        <v>4257</v>
      </c>
      <c r="K1182" t="s">
        <v>31</v>
      </c>
      <c r="L1182" t="s">
        <v>31</v>
      </c>
      <c r="M1182" t="s">
        <v>33</v>
      </c>
      <c r="N1182" t="s">
        <v>27</v>
      </c>
      <c r="O1182" t="s">
        <v>27</v>
      </c>
      <c r="P1182" t="s">
        <v>31</v>
      </c>
      <c r="Q1182" t="s">
        <v>31</v>
      </c>
      <c r="R1182" t="s">
        <v>31</v>
      </c>
      <c r="S1182" t="s">
        <v>31</v>
      </c>
      <c r="T1182" t="s">
        <v>31</v>
      </c>
    </row>
    <row r="1183" spans="1:20" hidden="1" x14ac:dyDescent="0.3">
      <c r="A1183" t="s">
        <v>1117</v>
      </c>
      <c r="B1183" t="s">
        <v>39</v>
      </c>
      <c r="C1183" t="s">
        <v>40</v>
      </c>
      <c r="D1183" t="s">
        <v>142</v>
      </c>
      <c r="E1183">
        <v>2012</v>
      </c>
      <c r="F1183">
        <v>200000</v>
      </c>
      <c r="G1183" t="s">
        <v>31</v>
      </c>
      <c r="H1183" t="s">
        <v>2645</v>
      </c>
      <c r="I1183" t="s">
        <v>34</v>
      </c>
      <c r="J1183" t="s">
        <v>4258</v>
      </c>
      <c r="K1183" t="s">
        <v>31</v>
      </c>
      <c r="L1183" t="s">
        <v>31</v>
      </c>
      <c r="M1183" t="s">
        <v>27</v>
      </c>
      <c r="N1183" t="s">
        <v>27</v>
      </c>
      <c r="O1183" t="s">
        <v>27</v>
      </c>
      <c r="P1183" t="s">
        <v>31</v>
      </c>
      <c r="Q1183" t="s">
        <v>31</v>
      </c>
      <c r="R1183" t="s">
        <v>31</v>
      </c>
      <c r="S1183" t="s">
        <v>31</v>
      </c>
      <c r="T1183" t="s">
        <v>31</v>
      </c>
    </row>
    <row r="1184" spans="1:20" hidden="1" x14ac:dyDescent="0.3">
      <c r="A1184" t="s">
        <v>1118</v>
      </c>
      <c r="B1184" t="s">
        <v>28</v>
      </c>
      <c r="C1184" t="s">
        <v>29</v>
      </c>
      <c r="D1184" t="s">
        <v>64</v>
      </c>
      <c r="E1184">
        <v>2012</v>
      </c>
      <c r="F1184">
        <v>4500000</v>
      </c>
      <c r="G1184" t="s">
        <v>31</v>
      </c>
      <c r="H1184" t="s">
        <v>2645</v>
      </c>
      <c r="I1184" t="s">
        <v>34</v>
      </c>
      <c r="J1184" t="s">
        <v>4259</v>
      </c>
      <c r="K1184" t="s">
        <v>31</v>
      </c>
      <c r="L1184" t="s">
        <v>31</v>
      </c>
      <c r="M1184" t="s">
        <v>27</v>
      </c>
      <c r="N1184" t="s">
        <v>27</v>
      </c>
      <c r="O1184" t="s">
        <v>27</v>
      </c>
      <c r="P1184" t="s">
        <v>31</v>
      </c>
      <c r="Q1184" t="s">
        <v>31</v>
      </c>
      <c r="R1184" t="s">
        <v>31</v>
      </c>
      <c r="S1184" t="s">
        <v>31</v>
      </c>
      <c r="T1184" t="s">
        <v>31</v>
      </c>
    </row>
    <row r="1185" spans="1:20" hidden="1" x14ac:dyDescent="0.3">
      <c r="A1185" t="s">
        <v>1119</v>
      </c>
      <c r="B1185" t="s">
        <v>39</v>
      </c>
      <c r="C1185" t="s">
        <v>40</v>
      </c>
      <c r="D1185" t="s">
        <v>142</v>
      </c>
      <c r="E1185">
        <v>2012</v>
      </c>
      <c r="F1185">
        <v>200000</v>
      </c>
      <c r="G1185" t="s">
        <v>31</v>
      </c>
      <c r="H1185" t="s">
        <v>2701</v>
      </c>
      <c r="I1185" t="s">
        <v>60</v>
      </c>
      <c r="J1185" t="s">
        <v>4260</v>
      </c>
      <c r="K1185" t="s">
        <v>31</v>
      </c>
      <c r="L1185" t="s">
        <v>31</v>
      </c>
      <c r="M1185" t="s">
        <v>27</v>
      </c>
      <c r="N1185" t="s">
        <v>27</v>
      </c>
      <c r="O1185" t="s">
        <v>27</v>
      </c>
      <c r="P1185" t="s">
        <v>31</v>
      </c>
      <c r="Q1185" t="s">
        <v>31</v>
      </c>
      <c r="R1185" t="s">
        <v>31</v>
      </c>
      <c r="S1185" t="s">
        <v>31</v>
      </c>
      <c r="T1185" t="s">
        <v>31</v>
      </c>
    </row>
    <row r="1186" spans="1:20" hidden="1" x14ac:dyDescent="0.3">
      <c r="A1186" t="s">
        <v>1120</v>
      </c>
      <c r="B1186" t="s">
        <v>39</v>
      </c>
      <c r="C1186" t="s">
        <v>157</v>
      </c>
      <c r="D1186" t="s">
        <v>157</v>
      </c>
      <c r="E1186">
        <v>2012</v>
      </c>
      <c r="F1186" t="s">
        <v>31</v>
      </c>
      <c r="G1186" t="s">
        <v>31</v>
      </c>
      <c r="H1186" t="s">
        <v>2645</v>
      </c>
      <c r="I1186" t="s">
        <v>34</v>
      </c>
      <c r="J1186" t="s">
        <v>2832</v>
      </c>
      <c r="K1186" t="s">
        <v>31</v>
      </c>
      <c r="L1186" t="s">
        <v>95</v>
      </c>
      <c r="M1186" t="s">
        <v>27</v>
      </c>
      <c r="N1186" t="s">
        <v>27</v>
      </c>
      <c r="O1186" t="s">
        <v>27</v>
      </c>
      <c r="P1186" t="s">
        <v>31</v>
      </c>
      <c r="Q1186" t="s">
        <v>31</v>
      </c>
      <c r="R1186" t="s">
        <v>31</v>
      </c>
      <c r="S1186" t="s">
        <v>31</v>
      </c>
      <c r="T1186" t="s">
        <v>31</v>
      </c>
    </row>
    <row r="1187" spans="1:20" hidden="1" x14ac:dyDescent="0.3">
      <c r="A1187" t="s">
        <v>1121</v>
      </c>
      <c r="B1187" t="s">
        <v>39</v>
      </c>
      <c r="C1187" t="s">
        <v>157</v>
      </c>
      <c r="D1187" t="s">
        <v>157</v>
      </c>
      <c r="E1187">
        <v>2012</v>
      </c>
      <c r="F1187" t="s">
        <v>31</v>
      </c>
      <c r="G1187" t="s">
        <v>31</v>
      </c>
      <c r="H1187" t="s">
        <v>2753</v>
      </c>
      <c r="I1187" t="s">
        <v>49</v>
      </c>
      <c r="J1187" t="s">
        <v>4261</v>
      </c>
      <c r="K1187" t="s">
        <v>31</v>
      </c>
      <c r="L1187" t="s">
        <v>31</v>
      </c>
      <c r="M1187" t="s">
        <v>27</v>
      </c>
      <c r="N1187" t="s">
        <v>27</v>
      </c>
      <c r="O1187" t="s">
        <v>27</v>
      </c>
      <c r="P1187" t="s">
        <v>31</v>
      </c>
      <c r="Q1187" t="s">
        <v>31</v>
      </c>
      <c r="R1187" t="s">
        <v>31</v>
      </c>
      <c r="S1187" t="s">
        <v>31</v>
      </c>
      <c r="T1187" t="s">
        <v>31</v>
      </c>
    </row>
    <row r="1188" spans="1:20" hidden="1" x14ac:dyDescent="0.3">
      <c r="A1188" t="s">
        <v>1122</v>
      </c>
      <c r="B1188" t="s">
        <v>39</v>
      </c>
      <c r="C1188" t="s">
        <v>157</v>
      </c>
      <c r="D1188" t="s">
        <v>157</v>
      </c>
      <c r="E1188">
        <v>2012</v>
      </c>
      <c r="F1188">
        <v>20000000</v>
      </c>
      <c r="G1188" t="s">
        <v>31</v>
      </c>
      <c r="H1188" t="s">
        <v>2645</v>
      </c>
      <c r="I1188" t="s">
        <v>34</v>
      </c>
      <c r="J1188" t="s">
        <v>4262</v>
      </c>
      <c r="K1188" t="s">
        <v>4263</v>
      </c>
      <c r="L1188" t="s">
        <v>95</v>
      </c>
      <c r="M1188" t="s">
        <v>27</v>
      </c>
      <c r="N1188" t="s">
        <v>27</v>
      </c>
      <c r="O1188" t="s">
        <v>33</v>
      </c>
      <c r="P1188" t="s">
        <v>31</v>
      </c>
      <c r="Q1188" t="s">
        <v>31</v>
      </c>
      <c r="R1188" t="s">
        <v>31</v>
      </c>
      <c r="S1188" t="s">
        <v>31</v>
      </c>
      <c r="T1188" t="s">
        <v>31</v>
      </c>
    </row>
    <row r="1189" spans="1:20" hidden="1" x14ac:dyDescent="0.3">
      <c r="A1189" t="s">
        <v>1696</v>
      </c>
      <c r="B1189" t="s">
        <v>28</v>
      </c>
      <c r="C1189" t="s">
        <v>29</v>
      </c>
      <c r="D1189" t="s">
        <v>97</v>
      </c>
      <c r="E1189">
        <v>2012</v>
      </c>
      <c r="F1189">
        <v>175000</v>
      </c>
      <c r="G1189" t="s">
        <v>31</v>
      </c>
      <c r="H1189" t="s">
        <v>2645</v>
      </c>
      <c r="I1189" t="s">
        <v>34</v>
      </c>
      <c r="J1189" t="s">
        <v>4264</v>
      </c>
      <c r="K1189" t="s">
        <v>31</v>
      </c>
      <c r="L1189" t="s">
        <v>31</v>
      </c>
      <c r="M1189" t="s">
        <v>27</v>
      </c>
      <c r="N1189" t="s">
        <v>27</v>
      </c>
      <c r="O1189" t="s">
        <v>33</v>
      </c>
      <c r="P1189" t="s">
        <v>31</v>
      </c>
      <c r="Q1189">
        <v>240</v>
      </c>
      <c r="R1189" t="s">
        <v>31</v>
      </c>
      <c r="S1189" t="s">
        <v>31</v>
      </c>
      <c r="T1189" t="s">
        <v>31</v>
      </c>
    </row>
    <row r="1190" spans="1:20" hidden="1" x14ac:dyDescent="0.3">
      <c r="A1190" t="s">
        <v>1697</v>
      </c>
      <c r="B1190" t="s">
        <v>51</v>
      </c>
      <c r="C1190" t="s">
        <v>37</v>
      </c>
      <c r="D1190" t="s">
        <v>121</v>
      </c>
      <c r="E1190">
        <v>2012</v>
      </c>
      <c r="F1190">
        <v>34000</v>
      </c>
      <c r="G1190" t="s">
        <v>31</v>
      </c>
      <c r="H1190" t="s">
        <v>2739</v>
      </c>
      <c r="I1190" t="s">
        <v>77</v>
      </c>
      <c r="J1190" t="s">
        <v>4265</v>
      </c>
      <c r="K1190" t="s">
        <v>4266</v>
      </c>
      <c r="L1190" t="s">
        <v>31</v>
      </c>
      <c r="M1190" t="s">
        <v>27</v>
      </c>
      <c r="N1190" t="s">
        <v>27</v>
      </c>
      <c r="O1190" t="s">
        <v>27</v>
      </c>
      <c r="P1190" t="s">
        <v>31</v>
      </c>
      <c r="Q1190">
        <v>544053</v>
      </c>
      <c r="R1190">
        <v>46.599400000000003</v>
      </c>
      <c r="S1190">
        <v>-67.5</v>
      </c>
      <c r="T1190" t="s">
        <v>31</v>
      </c>
    </row>
    <row r="1191" spans="1:20" hidden="1" x14ac:dyDescent="0.3">
      <c r="A1191" t="s">
        <v>1698</v>
      </c>
      <c r="B1191" t="s">
        <v>51</v>
      </c>
      <c r="C1191" t="s">
        <v>37</v>
      </c>
      <c r="D1191" t="s">
        <v>121</v>
      </c>
      <c r="E1191">
        <v>2012</v>
      </c>
      <c r="F1191">
        <v>3100</v>
      </c>
      <c r="G1191" t="s">
        <v>31</v>
      </c>
      <c r="H1191" t="s">
        <v>2701</v>
      </c>
      <c r="I1191" t="s">
        <v>60</v>
      </c>
      <c r="J1191" t="s">
        <v>4267</v>
      </c>
      <c r="K1191" t="s">
        <v>2649</v>
      </c>
      <c r="L1191" t="s">
        <v>31</v>
      </c>
      <c r="M1191" t="s">
        <v>27</v>
      </c>
      <c r="N1191" t="s">
        <v>27</v>
      </c>
      <c r="O1191" t="s">
        <v>27</v>
      </c>
      <c r="P1191" t="s">
        <v>31</v>
      </c>
      <c r="Q1191">
        <v>88870.6</v>
      </c>
      <c r="R1191">
        <v>-52.825600000000001</v>
      </c>
      <c r="S1191">
        <v>-69.41</v>
      </c>
      <c r="T1191" t="s">
        <v>31</v>
      </c>
    </row>
    <row r="1192" spans="1:20" hidden="1" x14ac:dyDescent="0.3">
      <c r="A1192" t="s">
        <v>1699</v>
      </c>
      <c r="B1192" t="s">
        <v>51</v>
      </c>
      <c r="C1192" t="s">
        <v>37</v>
      </c>
      <c r="D1192" t="s">
        <v>121</v>
      </c>
      <c r="E1192">
        <v>2012</v>
      </c>
      <c r="F1192" t="s">
        <v>31</v>
      </c>
      <c r="G1192" t="s">
        <v>4268</v>
      </c>
      <c r="H1192" t="s">
        <v>2666</v>
      </c>
      <c r="I1192" t="s">
        <v>109</v>
      </c>
      <c r="J1192" t="s">
        <v>4269</v>
      </c>
      <c r="K1192" t="s">
        <v>3993</v>
      </c>
      <c r="L1192" t="s">
        <v>54</v>
      </c>
      <c r="M1192" t="s">
        <v>27</v>
      </c>
      <c r="N1192" t="s">
        <v>27</v>
      </c>
      <c r="O1192" t="s">
        <v>33</v>
      </c>
      <c r="P1192" t="s">
        <v>31</v>
      </c>
      <c r="Q1192">
        <v>39793</v>
      </c>
      <c r="R1192">
        <v>-0.59870000000000001</v>
      </c>
      <c r="S1192">
        <v>-79.5</v>
      </c>
      <c r="T1192" t="s">
        <v>31</v>
      </c>
    </row>
    <row r="1193" spans="1:20" hidden="1" x14ac:dyDescent="0.3">
      <c r="A1193" t="s">
        <v>1700</v>
      </c>
      <c r="B1193" t="s">
        <v>28</v>
      </c>
      <c r="C1193" t="s">
        <v>29</v>
      </c>
      <c r="D1193" t="s">
        <v>189</v>
      </c>
      <c r="E1193">
        <v>2012</v>
      </c>
      <c r="F1193">
        <v>10000</v>
      </c>
      <c r="G1193" t="s">
        <v>4270</v>
      </c>
      <c r="H1193" t="s">
        <v>2658</v>
      </c>
      <c r="I1193" t="s">
        <v>130</v>
      </c>
      <c r="J1193" t="s">
        <v>4271</v>
      </c>
      <c r="K1193" t="s">
        <v>31</v>
      </c>
      <c r="L1193" t="s">
        <v>31</v>
      </c>
      <c r="M1193" t="s">
        <v>27</v>
      </c>
      <c r="N1193" t="s">
        <v>27</v>
      </c>
      <c r="O1193" t="s">
        <v>27</v>
      </c>
      <c r="P1193" t="s">
        <v>31</v>
      </c>
      <c r="Q1193">
        <v>150</v>
      </c>
      <c r="R1193" t="s">
        <v>31</v>
      </c>
      <c r="S1193" t="s">
        <v>31</v>
      </c>
      <c r="T1193" t="s">
        <v>31</v>
      </c>
    </row>
    <row r="1194" spans="1:20" hidden="1" x14ac:dyDescent="0.3">
      <c r="A1194" t="s">
        <v>1701</v>
      </c>
      <c r="B1194" t="s">
        <v>51</v>
      </c>
      <c r="C1194" t="s">
        <v>37</v>
      </c>
      <c r="D1194" t="s">
        <v>121</v>
      </c>
      <c r="E1194">
        <v>2012</v>
      </c>
      <c r="F1194" t="s">
        <v>31</v>
      </c>
      <c r="G1194" t="s">
        <v>31</v>
      </c>
      <c r="H1194" t="s">
        <v>2888</v>
      </c>
      <c r="I1194" t="s">
        <v>75</v>
      </c>
      <c r="J1194" t="s">
        <v>3329</v>
      </c>
      <c r="K1194" t="s">
        <v>31</v>
      </c>
      <c r="L1194" t="s">
        <v>31</v>
      </c>
      <c r="M1194" t="s">
        <v>27</v>
      </c>
      <c r="N1194" t="s">
        <v>27</v>
      </c>
      <c r="O1194" t="s">
        <v>27</v>
      </c>
      <c r="P1194" t="s">
        <v>31</v>
      </c>
      <c r="Q1194" t="s">
        <v>31</v>
      </c>
      <c r="R1194" t="s">
        <v>31</v>
      </c>
      <c r="S1194" t="s">
        <v>31</v>
      </c>
      <c r="T1194" t="s">
        <v>31</v>
      </c>
    </row>
    <row r="1195" spans="1:20" hidden="1" x14ac:dyDescent="0.3">
      <c r="A1195" t="s">
        <v>1702</v>
      </c>
      <c r="B1195" t="s">
        <v>51</v>
      </c>
      <c r="C1195" t="s">
        <v>37</v>
      </c>
      <c r="D1195" t="s">
        <v>121</v>
      </c>
      <c r="E1195">
        <v>2012</v>
      </c>
      <c r="F1195" t="s">
        <v>31</v>
      </c>
      <c r="G1195" t="s">
        <v>31</v>
      </c>
      <c r="H1195" t="s">
        <v>2716</v>
      </c>
      <c r="I1195" t="s">
        <v>242</v>
      </c>
      <c r="J1195" t="s">
        <v>4272</v>
      </c>
      <c r="K1195" t="s">
        <v>2649</v>
      </c>
      <c r="L1195" t="s">
        <v>31</v>
      </c>
      <c r="M1195" t="s">
        <v>27</v>
      </c>
      <c r="N1195" t="s">
        <v>27</v>
      </c>
      <c r="O1195" t="s">
        <v>27</v>
      </c>
      <c r="P1195" t="s">
        <v>31</v>
      </c>
      <c r="Q1195" t="s">
        <v>31</v>
      </c>
      <c r="R1195" t="s">
        <v>31</v>
      </c>
      <c r="S1195" t="s">
        <v>31</v>
      </c>
      <c r="T1195" t="s">
        <v>31</v>
      </c>
    </row>
    <row r="1196" spans="1:20" hidden="1" x14ac:dyDescent="0.3">
      <c r="A1196" t="s">
        <v>1703</v>
      </c>
      <c r="B1196" t="s">
        <v>28</v>
      </c>
      <c r="C1196" t="s">
        <v>2685</v>
      </c>
      <c r="D1196" t="s">
        <v>95</v>
      </c>
      <c r="E1196">
        <v>2012</v>
      </c>
      <c r="F1196" t="s">
        <v>31</v>
      </c>
      <c r="G1196" t="s">
        <v>31</v>
      </c>
      <c r="H1196" t="s">
        <v>2645</v>
      </c>
      <c r="I1196" t="s">
        <v>34</v>
      </c>
      <c r="J1196" t="s">
        <v>4273</v>
      </c>
      <c r="K1196" t="s">
        <v>31</v>
      </c>
      <c r="L1196" t="s">
        <v>31</v>
      </c>
      <c r="M1196" t="s">
        <v>27</v>
      </c>
      <c r="N1196" t="s">
        <v>27</v>
      </c>
      <c r="O1196" t="s">
        <v>27</v>
      </c>
      <c r="P1196" t="s">
        <v>31</v>
      </c>
      <c r="Q1196">
        <v>40</v>
      </c>
      <c r="R1196" t="s">
        <v>31</v>
      </c>
      <c r="S1196" t="s">
        <v>31</v>
      </c>
      <c r="T1196" t="s">
        <v>31</v>
      </c>
    </row>
    <row r="1197" spans="1:20" hidden="1" x14ac:dyDescent="0.3">
      <c r="A1197" t="s">
        <v>1704</v>
      </c>
      <c r="B1197" t="s">
        <v>28</v>
      </c>
      <c r="C1197" t="s">
        <v>29</v>
      </c>
      <c r="D1197" t="s">
        <v>30</v>
      </c>
      <c r="E1197">
        <v>2012</v>
      </c>
      <c r="F1197">
        <v>300000</v>
      </c>
      <c r="G1197" t="s">
        <v>4274</v>
      </c>
      <c r="H1197" t="s">
        <v>2672</v>
      </c>
      <c r="I1197" t="s">
        <v>73</v>
      </c>
      <c r="J1197" t="s">
        <v>4275</v>
      </c>
      <c r="K1197" t="s">
        <v>31</v>
      </c>
      <c r="L1197" t="s">
        <v>31</v>
      </c>
      <c r="M1197" t="s">
        <v>27</v>
      </c>
      <c r="N1197" t="s">
        <v>27</v>
      </c>
      <c r="O1197" t="s">
        <v>27</v>
      </c>
      <c r="P1197" t="s">
        <v>31</v>
      </c>
      <c r="Q1197" t="s">
        <v>31</v>
      </c>
      <c r="R1197" t="s">
        <v>31</v>
      </c>
      <c r="S1197" t="s">
        <v>31</v>
      </c>
      <c r="T1197" t="s">
        <v>31</v>
      </c>
    </row>
    <row r="1198" spans="1:20" hidden="1" x14ac:dyDescent="0.3">
      <c r="A1198" t="s">
        <v>1705</v>
      </c>
      <c r="B1198" t="s">
        <v>28</v>
      </c>
      <c r="C1198" t="s">
        <v>29</v>
      </c>
      <c r="D1198" t="s">
        <v>30</v>
      </c>
      <c r="E1198">
        <v>2012</v>
      </c>
      <c r="F1198">
        <v>555000</v>
      </c>
      <c r="G1198" t="s">
        <v>4276</v>
      </c>
      <c r="H1198" t="s">
        <v>2672</v>
      </c>
      <c r="I1198" t="s">
        <v>73</v>
      </c>
      <c r="J1198" t="s">
        <v>4277</v>
      </c>
      <c r="K1198" t="s">
        <v>31</v>
      </c>
      <c r="L1198" t="s">
        <v>31</v>
      </c>
      <c r="M1198" t="s">
        <v>27</v>
      </c>
      <c r="N1198" t="s">
        <v>27</v>
      </c>
      <c r="O1198" t="s">
        <v>27</v>
      </c>
      <c r="P1198" t="s">
        <v>31</v>
      </c>
      <c r="Q1198">
        <v>150</v>
      </c>
      <c r="R1198" t="s">
        <v>31</v>
      </c>
      <c r="S1198" t="s">
        <v>31</v>
      </c>
      <c r="T1198" t="s">
        <v>31</v>
      </c>
    </row>
    <row r="1199" spans="1:20" hidden="1" x14ac:dyDescent="0.3">
      <c r="A1199" t="s">
        <v>1706</v>
      </c>
      <c r="B1199" t="s">
        <v>51</v>
      </c>
      <c r="C1199" t="s">
        <v>37</v>
      </c>
      <c r="D1199" t="s">
        <v>121</v>
      </c>
      <c r="E1199">
        <v>2012</v>
      </c>
      <c r="F1199" t="s">
        <v>31</v>
      </c>
      <c r="G1199" t="s">
        <v>4212</v>
      </c>
      <c r="H1199" t="s">
        <v>2695</v>
      </c>
      <c r="I1199" t="s">
        <v>161</v>
      </c>
      <c r="J1199" t="s">
        <v>4278</v>
      </c>
      <c r="K1199" t="s">
        <v>4279</v>
      </c>
      <c r="L1199" t="s">
        <v>54</v>
      </c>
      <c r="M1199" t="s">
        <v>27</v>
      </c>
      <c r="N1199" t="s">
        <v>27</v>
      </c>
      <c r="O1199" t="s">
        <v>27</v>
      </c>
      <c r="P1199" t="s">
        <v>31</v>
      </c>
      <c r="Q1199" t="s">
        <v>31</v>
      </c>
      <c r="R1199" t="s">
        <v>31</v>
      </c>
      <c r="S1199" t="s">
        <v>31</v>
      </c>
      <c r="T1199" t="s">
        <v>31</v>
      </c>
    </row>
    <row r="1200" spans="1:20" hidden="1" x14ac:dyDescent="0.3">
      <c r="A1200" t="s">
        <v>1707</v>
      </c>
      <c r="B1200" t="s">
        <v>28</v>
      </c>
      <c r="C1200" t="s">
        <v>29</v>
      </c>
      <c r="D1200" t="s">
        <v>30</v>
      </c>
      <c r="E1200">
        <v>2012</v>
      </c>
      <c r="F1200" t="s">
        <v>31</v>
      </c>
      <c r="G1200" t="s">
        <v>4217</v>
      </c>
      <c r="H1200" t="s">
        <v>2847</v>
      </c>
      <c r="I1200" t="s">
        <v>62</v>
      </c>
      <c r="J1200" t="s">
        <v>3077</v>
      </c>
      <c r="K1200" t="s">
        <v>31</v>
      </c>
      <c r="L1200" t="s">
        <v>31</v>
      </c>
      <c r="M1200" t="s">
        <v>27</v>
      </c>
      <c r="N1200" t="s">
        <v>27</v>
      </c>
      <c r="O1200" t="s">
        <v>27</v>
      </c>
      <c r="P1200" t="s">
        <v>31</v>
      </c>
      <c r="Q1200" t="s">
        <v>31</v>
      </c>
      <c r="R1200" t="s">
        <v>31</v>
      </c>
      <c r="S1200" t="s">
        <v>31</v>
      </c>
      <c r="T1200" t="s">
        <v>31</v>
      </c>
    </row>
    <row r="1201" spans="1:20" hidden="1" x14ac:dyDescent="0.3">
      <c r="A1201" t="s">
        <v>1708</v>
      </c>
      <c r="B1201" t="s">
        <v>28</v>
      </c>
      <c r="C1201" t="s">
        <v>29</v>
      </c>
      <c r="D1201" t="s">
        <v>30</v>
      </c>
      <c r="E1201">
        <v>2012</v>
      </c>
      <c r="F1201">
        <v>2000000</v>
      </c>
      <c r="G1201" t="s">
        <v>4217</v>
      </c>
      <c r="H1201" t="s">
        <v>2645</v>
      </c>
      <c r="I1201" t="s">
        <v>34</v>
      </c>
      <c r="J1201" t="s">
        <v>4280</v>
      </c>
      <c r="K1201" t="s">
        <v>31</v>
      </c>
      <c r="L1201" t="s">
        <v>37</v>
      </c>
      <c r="M1201" t="s">
        <v>27</v>
      </c>
      <c r="N1201" t="s">
        <v>27</v>
      </c>
      <c r="O1201" t="s">
        <v>33</v>
      </c>
      <c r="P1201" t="s">
        <v>31</v>
      </c>
      <c r="Q1201" t="s">
        <v>31</v>
      </c>
      <c r="R1201">
        <v>30.503</v>
      </c>
      <c r="S1201">
        <v>-89.35</v>
      </c>
      <c r="T1201" t="s">
        <v>31</v>
      </c>
    </row>
    <row r="1202" spans="1:20" hidden="1" x14ac:dyDescent="0.3">
      <c r="A1202" t="s">
        <v>1709</v>
      </c>
      <c r="B1202" t="s">
        <v>28</v>
      </c>
      <c r="C1202" t="s">
        <v>29</v>
      </c>
      <c r="D1202" t="s">
        <v>30</v>
      </c>
      <c r="E1202">
        <v>2012</v>
      </c>
      <c r="F1202" t="s">
        <v>31</v>
      </c>
      <c r="G1202" t="s">
        <v>4219</v>
      </c>
      <c r="H1202" t="s">
        <v>2716</v>
      </c>
      <c r="I1202" t="s">
        <v>242</v>
      </c>
      <c r="J1202" t="s">
        <v>4281</v>
      </c>
      <c r="K1202" t="s">
        <v>31</v>
      </c>
      <c r="L1202" t="s">
        <v>37</v>
      </c>
      <c r="M1202" t="s">
        <v>27</v>
      </c>
      <c r="N1202" t="s">
        <v>27</v>
      </c>
      <c r="O1202" t="s">
        <v>27</v>
      </c>
      <c r="P1202" t="s">
        <v>31</v>
      </c>
      <c r="Q1202">
        <v>175</v>
      </c>
      <c r="R1202" t="s">
        <v>31</v>
      </c>
      <c r="S1202" t="s">
        <v>31</v>
      </c>
      <c r="T1202" t="s">
        <v>31</v>
      </c>
    </row>
    <row r="1203" spans="1:20" hidden="1" x14ac:dyDescent="0.3">
      <c r="A1203" t="s">
        <v>1710</v>
      </c>
      <c r="B1203" t="s">
        <v>28</v>
      </c>
      <c r="C1203" t="s">
        <v>29</v>
      </c>
      <c r="D1203" t="s">
        <v>30</v>
      </c>
      <c r="E1203">
        <v>2012</v>
      </c>
      <c r="F1203">
        <v>50000000</v>
      </c>
      <c r="G1203" t="s">
        <v>4219</v>
      </c>
      <c r="H1203" t="s">
        <v>2645</v>
      </c>
      <c r="I1203" t="s">
        <v>34</v>
      </c>
      <c r="J1203" t="s">
        <v>4282</v>
      </c>
      <c r="K1203" t="s">
        <v>31</v>
      </c>
      <c r="L1203" t="s">
        <v>1711</v>
      </c>
      <c r="M1203" t="s">
        <v>27</v>
      </c>
      <c r="N1203" t="s">
        <v>27</v>
      </c>
      <c r="O1203" t="s">
        <v>33</v>
      </c>
      <c r="P1203" t="s">
        <v>31</v>
      </c>
      <c r="Q1203" t="s">
        <v>31</v>
      </c>
      <c r="R1203" t="s">
        <v>31</v>
      </c>
      <c r="S1203" t="s">
        <v>31</v>
      </c>
      <c r="T1203" t="s">
        <v>31</v>
      </c>
    </row>
    <row r="1204" spans="1:20" hidden="1" x14ac:dyDescent="0.3">
      <c r="A1204" t="s">
        <v>1712</v>
      </c>
      <c r="B1204" t="s">
        <v>43</v>
      </c>
      <c r="C1204" t="s">
        <v>2665</v>
      </c>
      <c r="D1204" t="s">
        <v>44</v>
      </c>
      <c r="E1204">
        <v>2012</v>
      </c>
      <c r="F1204" t="s">
        <v>31</v>
      </c>
      <c r="G1204" t="s">
        <v>31</v>
      </c>
      <c r="H1204" t="s">
        <v>2749</v>
      </c>
      <c r="I1204" t="s">
        <v>45</v>
      </c>
      <c r="J1204" t="s">
        <v>31</v>
      </c>
      <c r="K1204" t="s">
        <v>31</v>
      </c>
      <c r="L1204" t="s">
        <v>31</v>
      </c>
      <c r="M1204" t="s">
        <v>27</v>
      </c>
      <c r="N1204" t="s">
        <v>27</v>
      </c>
      <c r="O1204" t="s">
        <v>27</v>
      </c>
      <c r="P1204" t="s">
        <v>31</v>
      </c>
      <c r="Q1204" t="s">
        <v>31</v>
      </c>
      <c r="R1204" t="s">
        <v>31</v>
      </c>
      <c r="S1204" t="s">
        <v>31</v>
      </c>
      <c r="T1204" t="s">
        <v>31</v>
      </c>
    </row>
    <row r="1205" spans="1:20" hidden="1" x14ac:dyDescent="0.3">
      <c r="A1205" t="s">
        <v>1713</v>
      </c>
      <c r="B1205" t="s">
        <v>28</v>
      </c>
      <c r="C1205" t="s">
        <v>29</v>
      </c>
      <c r="D1205" t="s">
        <v>64</v>
      </c>
      <c r="E1205">
        <v>2012</v>
      </c>
      <c r="F1205">
        <v>2000</v>
      </c>
      <c r="G1205" t="s">
        <v>4283</v>
      </c>
      <c r="H1205" t="s">
        <v>2769</v>
      </c>
      <c r="I1205" t="s">
        <v>117</v>
      </c>
      <c r="J1205" t="s">
        <v>4284</v>
      </c>
      <c r="K1205" t="s">
        <v>31</v>
      </c>
      <c r="L1205" t="s">
        <v>100</v>
      </c>
      <c r="M1205" t="s">
        <v>27</v>
      </c>
      <c r="N1205" t="s">
        <v>27</v>
      </c>
      <c r="O1205" t="s">
        <v>27</v>
      </c>
      <c r="P1205" t="s">
        <v>31</v>
      </c>
      <c r="Q1205">
        <v>180</v>
      </c>
      <c r="R1205" t="s">
        <v>31</v>
      </c>
      <c r="S1205" t="s">
        <v>31</v>
      </c>
      <c r="T1205" t="s">
        <v>31</v>
      </c>
    </row>
    <row r="1206" spans="1:20" hidden="1" x14ac:dyDescent="0.3">
      <c r="A1206" t="s">
        <v>1714</v>
      </c>
      <c r="B1206" t="s">
        <v>51</v>
      </c>
      <c r="C1206" t="s">
        <v>37</v>
      </c>
      <c r="D1206" t="s">
        <v>121</v>
      </c>
      <c r="E1206">
        <v>2012</v>
      </c>
      <c r="F1206">
        <v>2000</v>
      </c>
      <c r="G1206" t="s">
        <v>4285</v>
      </c>
      <c r="H1206" t="s">
        <v>2774</v>
      </c>
      <c r="I1206" t="s">
        <v>166</v>
      </c>
      <c r="J1206" t="s">
        <v>4286</v>
      </c>
      <c r="K1206" t="s">
        <v>2649</v>
      </c>
      <c r="L1206" t="s">
        <v>54</v>
      </c>
      <c r="M1206" t="s">
        <v>27</v>
      </c>
      <c r="N1206" t="s">
        <v>27</v>
      </c>
      <c r="O1206" t="s">
        <v>33</v>
      </c>
      <c r="P1206" t="s">
        <v>31</v>
      </c>
      <c r="Q1206" t="s">
        <v>31</v>
      </c>
      <c r="R1206" t="s">
        <v>31</v>
      </c>
      <c r="S1206" t="s">
        <v>31</v>
      </c>
      <c r="T1206" t="s">
        <v>31</v>
      </c>
    </row>
    <row r="1207" spans="1:20" hidden="1" x14ac:dyDescent="0.3">
      <c r="A1207" t="s">
        <v>1715</v>
      </c>
      <c r="B1207" t="s">
        <v>28</v>
      </c>
      <c r="C1207" t="s">
        <v>29</v>
      </c>
      <c r="D1207" t="s">
        <v>67</v>
      </c>
      <c r="E1207">
        <v>2012</v>
      </c>
      <c r="F1207">
        <v>2000</v>
      </c>
      <c r="G1207" t="s">
        <v>31</v>
      </c>
      <c r="H1207" t="s">
        <v>2645</v>
      </c>
      <c r="I1207" t="s">
        <v>34</v>
      </c>
      <c r="J1207" t="s">
        <v>4287</v>
      </c>
      <c r="K1207" t="s">
        <v>31</v>
      </c>
      <c r="L1207" t="s">
        <v>31</v>
      </c>
      <c r="M1207" t="s">
        <v>27</v>
      </c>
      <c r="N1207" t="s">
        <v>27</v>
      </c>
      <c r="O1207" t="s">
        <v>27</v>
      </c>
      <c r="P1207" t="s">
        <v>31</v>
      </c>
      <c r="Q1207">
        <v>100</v>
      </c>
      <c r="R1207" t="s">
        <v>31</v>
      </c>
      <c r="S1207" t="s">
        <v>31</v>
      </c>
      <c r="T1207" t="s">
        <v>31</v>
      </c>
    </row>
    <row r="1208" spans="1:20" hidden="1" x14ac:dyDescent="0.3">
      <c r="A1208" t="s">
        <v>1716</v>
      </c>
      <c r="B1208" t="s">
        <v>28</v>
      </c>
      <c r="C1208" t="s">
        <v>29</v>
      </c>
      <c r="D1208" t="s">
        <v>67</v>
      </c>
      <c r="E1208">
        <v>2012</v>
      </c>
      <c r="F1208" t="s">
        <v>31</v>
      </c>
      <c r="G1208" t="s">
        <v>31</v>
      </c>
      <c r="H1208" t="s">
        <v>2739</v>
      </c>
      <c r="I1208" t="s">
        <v>77</v>
      </c>
      <c r="J1208" t="s">
        <v>4288</v>
      </c>
      <c r="K1208" t="s">
        <v>31</v>
      </c>
      <c r="L1208" t="s">
        <v>31</v>
      </c>
      <c r="M1208" t="s">
        <v>27</v>
      </c>
      <c r="N1208" t="s">
        <v>27</v>
      </c>
      <c r="O1208" t="s">
        <v>27</v>
      </c>
      <c r="P1208" t="s">
        <v>31</v>
      </c>
      <c r="Q1208" t="s">
        <v>31</v>
      </c>
      <c r="R1208" t="s">
        <v>31</v>
      </c>
      <c r="S1208" t="s">
        <v>31</v>
      </c>
      <c r="T1208" t="s">
        <v>31</v>
      </c>
    </row>
    <row r="1209" spans="1:20" hidden="1" x14ac:dyDescent="0.3">
      <c r="A1209" t="s">
        <v>1717</v>
      </c>
      <c r="B1209" t="s">
        <v>28</v>
      </c>
      <c r="C1209" t="s">
        <v>29</v>
      </c>
      <c r="D1209" t="s">
        <v>67</v>
      </c>
      <c r="E1209">
        <v>2012</v>
      </c>
      <c r="F1209">
        <v>100000</v>
      </c>
      <c r="G1209" t="s">
        <v>31</v>
      </c>
      <c r="H1209" t="s">
        <v>2645</v>
      </c>
      <c r="I1209" t="s">
        <v>34</v>
      </c>
      <c r="J1209" t="s">
        <v>4289</v>
      </c>
      <c r="K1209" t="s">
        <v>31</v>
      </c>
      <c r="L1209" t="s">
        <v>31</v>
      </c>
      <c r="M1209" t="s">
        <v>27</v>
      </c>
      <c r="N1209" t="s">
        <v>27</v>
      </c>
      <c r="O1209" t="s">
        <v>27</v>
      </c>
      <c r="P1209" t="s">
        <v>31</v>
      </c>
      <c r="Q1209" t="s">
        <v>31</v>
      </c>
      <c r="R1209" t="s">
        <v>31</v>
      </c>
      <c r="S1209" t="s">
        <v>31</v>
      </c>
      <c r="T1209" t="s">
        <v>31</v>
      </c>
    </row>
    <row r="1210" spans="1:20" hidden="1" x14ac:dyDescent="0.3">
      <c r="A1210" t="s">
        <v>1720</v>
      </c>
      <c r="B1210" t="s">
        <v>28</v>
      </c>
      <c r="C1210" t="s">
        <v>29</v>
      </c>
      <c r="D1210" t="s">
        <v>67</v>
      </c>
      <c r="E1210">
        <v>2012</v>
      </c>
      <c r="F1210">
        <v>100000</v>
      </c>
      <c r="G1210" t="s">
        <v>31</v>
      </c>
      <c r="H1210" t="s">
        <v>2645</v>
      </c>
      <c r="I1210" t="s">
        <v>34</v>
      </c>
      <c r="J1210" t="s">
        <v>3469</v>
      </c>
      <c r="K1210" t="s">
        <v>31</v>
      </c>
      <c r="L1210" t="s">
        <v>31</v>
      </c>
      <c r="M1210" t="s">
        <v>27</v>
      </c>
      <c r="N1210" t="s">
        <v>27</v>
      </c>
      <c r="O1210" t="s">
        <v>27</v>
      </c>
      <c r="P1210" t="s">
        <v>31</v>
      </c>
      <c r="Q1210" t="s">
        <v>31</v>
      </c>
      <c r="R1210" t="s">
        <v>31</v>
      </c>
      <c r="S1210" t="s">
        <v>31</v>
      </c>
      <c r="T1210" t="s">
        <v>31</v>
      </c>
    </row>
    <row r="1211" spans="1:20" hidden="1" x14ac:dyDescent="0.3">
      <c r="A1211" t="s">
        <v>1721</v>
      </c>
      <c r="B1211" t="s">
        <v>28</v>
      </c>
      <c r="C1211" t="s">
        <v>29</v>
      </c>
      <c r="D1211" t="s">
        <v>99</v>
      </c>
      <c r="E1211">
        <v>2012</v>
      </c>
      <c r="F1211">
        <v>1400000</v>
      </c>
      <c r="G1211" t="s">
        <v>4290</v>
      </c>
      <c r="H1211" t="s">
        <v>2645</v>
      </c>
      <c r="I1211" t="s">
        <v>34</v>
      </c>
      <c r="J1211" t="s">
        <v>4291</v>
      </c>
      <c r="K1211" t="s">
        <v>31</v>
      </c>
      <c r="L1211" t="s">
        <v>31</v>
      </c>
      <c r="M1211" t="s">
        <v>27</v>
      </c>
      <c r="N1211" t="s">
        <v>27</v>
      </c>
      <c r="O1211" t="s">
        <v>27</v>
      </c>
      <c r="P1211" t="s">
        <v>31</v>
      </c>
      <c r="Q1211" t="s">
        <v>31</v>
      </c>
      <c r="R1211" t="s">
        <v>31</v>
      </c>
      <c r="S1211" t="s">
        <v>31</v>
      </c>
      <c r="T1211" t="s">
        <v>31</v>
      </c>
    </row>
    <row r="1212" spans="1:20" hidden="1" x14ac:dyDescent="0.3">
      <c r="A1212" t="s">
        <v>1722</v>
      </c>
      <c r="B1212" t="s">
        <v>28</v>
      </c>
      <c r="C1212" t="s">
        <v>29</v>
      </c>
      <c r="D1212" t="s">
        <v>99</v>
      </c>
      <c r="E1212">
        <v>2012</v>
      </c>
      <c r="F1212">
        <v>700000</v>
      </c>
      <c r="G1212" t="s">
        <v>31</v>
      </c>
      <c r="H1212" t="s">
        <v>2645</v>
      </c>
      <c r="I1212" t="s">
        <v>34</v>
      </c>
      <c r="J1212" t="s">
        <v>4292</v>
      </c>
      <c r="K1212" t="s">
        <v>31</v>
      </c>
      <c r="L1212" t="s">
        <v>31</v>
      </c>
      <c r="M1212" t="s">
        <v>27</v>
      </c>
      <c r="N1212" t="s">
        <v>27</v>
      </c>
      <c r="O1212" t="s">
        <v>27</v>
      </c>
      <c r="P1212" t="s">
        <v>31</v>
      </c>
      <c r="Q1212" t="s">
        <v>31</v>
      </c>
      <c r="R1212" t="s">
        <v>31</v>
      </c>
      <c r="S1212" t="s">
        <v>31</v>
      </c>
      <c r="T1212" t="s">
        <v>31</v>
      </c>
    </row>
    <row r="1213" spans="1:20" hidden="1" x14ac:dyDescent="0.3">
      <c r="A1213" t="s">
        <v>2397</v>
      </c>
      <c r="B1213" t="s">
        <v>28</v>
      </c>
      <c r="C1213" t="s">
        <v>29</v>
      </c>
      <c r="D1213" t="s">
        <v>97</v>
      </c>
      <c r="E1213">
        <v>2012</v>
      </c>
      <c r="F1213">
        <v>5000000</v>
      </c>
      <c r="G1213" t="s">
        <v>4293</v>
      </c>
      <c r="H1213" t="s">
        <v>2645</v>
      </c>
      <c r="I1213" t="s">
        <v>34</v>
      </c>
      <c r="J1213" t="s">
        <v>4294</v>
      </c>
      <c r="K1213" t="s">
        <v>31</v>
      </c>
      <c r="L1213" t="s">
        <v>100</v>
      </c>
      <c r="M1213" t="s">
        <v>27</v>
      </c>
      <c r="N1213" t="s">
        <v>27</v>
      </c>
      <c r="O1213" t="s">
        <v>33</v>
      </c>
      <c r="P1213" t="s">
        <v>31</v>
      </c>
      <c r="Q1213">
        <v>112</v>
      </c>
      <c r="R1213" t="s">
        <v>31</v>
      </c>
      <c r="S1213" t="s">
        <v>31</v>
      </c>
      <c r="T1213" t="s">
        <v>31</v>
      </c>
    </row>
    <row r="1214" spans="1:20" hidden="1" x14ac:dyDescent="0.3">
      <c r="A1214" t="s">
        <v>2400</v>
      </c>
      <c r="B1214" t="s">
        <v>51</v>
      </c>
      <c r="C1214" t="s">
        <v>37</v>
      </c>
      <c r="D1214" t="s">
        <v>121</v>
      </c>
      <c r="E1214">
        <v>2012</v>
      </c>
      <c r="F1214" t="s">
        <v>31</v>
      </c>
      <c r="G1214" t="s">
        <v>31</v>
      </c>
      <c r="H1214" t="s">
        <v>2656</v>
      </c>
      <c r="I1214" t="s">
        <v>119</v>
      </c>
      <c r="J1214" t="s">
        <v>4295</v>
      </c>
      <c r="K1214" t="s">
        <v>2649</v>
      </c>
      <c r="L1214" t="s">
        <v>31</v>
      </c>
      <c r="M1214" t="s">
        <v>27</v>
      </c>
      <c r="N1214" t="s">
        <v>27</v>
      </c>
      <c r="O1214" t="s">
        <v>27</v>
      </c>
      <c r="P1214" t="s">
        <v>31</v>
      </c>
      <c r="Q1214">
        <v>172063</v>
      </c>
      <c r="R1214">
        <v>-10.489699999999999</v>
      </c>
      <c r="S1214">
        <v>-67.989999999999995</v>
      </c>
      <c r="T1214" t="s">
        <v>4296</v>
      </c>
    </row>
    <row r="1215" spans="1:20" hidden="1" x14ac:dyDescent="0.3">
      <c r="A1215" t="s">
        <v>2401</v>
      </c>
      <c r="B1215" t="s">
        <v>43</v>
      </c>
      <c r="C1215" t="s">
        <v>2665</v>
      </c>
      <c r="D1215" t="s">
        <v>114</v>
      </c>
      <c r="E1215">
        <v>2012</v>
      </c>
      <c r="F1215" t="s">
        <v>31</v>
      </c>
      <c r="G1215" t="s">
        <v>31</v>
      </c>
      <c r="H1215" t="s">
        <v>2647</v>
      </c>
      <c r="I1215" t="s">
        <v>47</v>
      </c>
      <c r="J1215" t="s">
        <v>31</v>
      </c>
      <c r="K1215" t="s">
        <v>31</v>
      </c>
      <c r="L1215" t="s">
        <v>31</v>
      </c>
      <c r="M1215" t="s">
        <v>27</v>
      </c>
      <c r="N1215" t="s">
        <v>27</v>
      </c>
      <c r="O1215" t="s">
        <v>27</v>
      </c>
      <c r="P1215" t="s">
        <v>31</v>
      </c>
      <c r="Q1215" t="s">
        <v>31</v>
      </c>
      <c r="R1215" t="s">
        <v>31</v>
      </c>
      <c r="S1215" t="s">
        <v>31</v>
      </c>
      <c r="T1215" t="s">
        <v>31</v>
      </c>
    </row>
    <row r="1216" spans="1:20" hidden="1" x14ac:dyDescent="0.3">
      <c r="A1216" t="s">
        <v>2402</v>
      </c>
      <c r="B1216" t="s">
        <v>28</v>
      </c>
      <c r="C1216" t="s">
        <v>29</v>
      </c>
      <c r="D1216" t="s">
        <v>97</v>
      </c>
      <c r="E1216">
        <v>2012</v>
      </c>
      <c r="F1216">
        <v>1550000</v>
      </c>
      <c r="G1216" t="s">
        <v>4297</v>
      </c>
      <c r="H1216" t="s">
        <v>2645</v>
      </c>
      <c r="I1216" t="s">
        <v>34</v>
      </c>
      <c r="J1216" t="s">
        <v>4298</v>
      </c>
      <c r="K1216" t="s">
        <v>31</v>
      </c>
      <c r="L1216" t="s">
        <v>31</v>
      </c>
      <c r="M1216" t="s">
        <v>27</v>
      </c>
      <c r="N1216" t="s">
        <v>27</v>
      </c>
      <c r="O1216" t="s">
        <v>27</v>
      </c>
      <c r="P1216" t="s">
        <v>31</v>
      </c>
      <c r="Q1216" t="s">
        <v>31</v>
      </c>
      <c r="R1216" t="s">
        <v>31</v>
      </c>
      <c r="S1216" t="s">
        <v>31</v>
      </c>
      <c r="T1216" t="s">
        <v>31</v>
      </c>
    </row>
    <row r="1217" spans="1:20" hidden="1" x14ac:dyDescent="0.3">
      <c r="A1217" t="s">
        <v>2403</v>
      </c>
      <c r="B1217" t="s">
        <v>43</v>
      </c>
      <c r="C1217" t="s">
        <v>2665</v>
      </c>
      <c r="D1217" t="s">
        <v>44</v>
      </c>
      <c r="E1217">
        <v>2012</v>
      </c>
      <c r="F1217" t="s">
        <v>31</v>
      </c>
      <c r="G1217" t="s">
        <v>4299</v>
      </c>
      <c r="H1217" t="s">
        <v>2888</v>
      </c>
      <c r="I1217" t="s">
        <v>75</v>
      </c>
      <c r="J1217" t="s">
        <v>4300</v>
      </c>
      <c r="K1217" t="s">
        <v>4301</v>
      </c>
      <c r="L1217" t="s">
        <v>31</v>
      </c>
      <c r="M1217" t="s">
        <v>27</v>
      </c>
      <c r="N1217" t="s">
        <v>27</v>
      </c>
      <c r="O1217" t="s">
        <v>27</v>
      </c>
      <c r="P1217" t="s">
        <v>31</v>
      </c>
      <c r="Q1217" t="s">
        <v>31</v>
      </c>
      <c r="R1217" t="s">
        <v>31</v>
      </c>
      <c r="S1217" t="s">
        <v>31</v>
      </c>
      <c r="T1217" t="s">
        <v>31</v>
      </c>
    </row>
    <row r="1218" spans="1:20" hidden="1" x14ac:dyDescent="0.3">
      <c r="A1218" t="s">
        <v>2404</v>
      </c>
      <c r="B1218" t="s">
        <v>51</v>
      </c>
      <c r="C1218" t="s">
        <v>37</v>
      </c>
      <c r="D1218" t="s">
        <v>121</v>
      </c>
      <c r="E1218">
        <v>2012</v>
      </c>
      <c r="F1218">
        <v>174000</v>
      </c>
      <c r="G1218" t="s">
        <v>31</v>
      </c>
      <c r="H1218" t="s">
        <v>2645</v>
      </c>
      <c r="I1218" t="s">
        <v>34</v>
      </c>
      <c r="J1218" t="s">
        <v>4302</v>
      </c>
      <c r="K1218" t="s">
        <v>2725</v>
      </c>
      <c r="L1218" t="s">
        <v>31</v>
      </c>
      <c r="M1218" t="s">
        <v>27</v>
      </c>
      <c r="N1218" t="s">
        <v>27</v>
      </c>
      <c r="O1218" t="s">
        <v>27</v>
      </c>
      <c r="P1218" t="s">
        <v>31</v>
      </c>
      <c r="Q1218">
        <v>20116</v>
      </c>
      <c r="R1218">
        <v>30.363199999999999</v>
      </c>
      <c r="S1218">
        <v>-58.51</v>
      </c>
      <c r="T1218" t="s">
        <v>31</v>
      </c>
    </row>
    <row r="1219" spans="1:20" hidden="1" x14ac:dyDescent="0.3">
      <c r="A1219" t="s">
        <v>2405</v>
      </c>
      <c r="B1219" t="s">
        <v>51</v>
      </c>
      <c r="C1219" t="s">
        <v>37</v>
      </c>
      <c r="D1219" t="s">
        <v>121</v>
      </c>
      <c r="E1219">
        <v>2012</v>
      </c>
      <c r="F1219" t="s">
        <v>31</v>
      </c>
      <c r="G1219" t="s">
        <v>31</v>
      </c>
      <c r="H1219" t="s">
        <v>2749</v>
      </c>
      <c r="I1219" t="s">
        <v>45</v>
      </c>
      <c r="J1219" t="s">
        <v>4303</v>
      </c>
      <c r="K1219" t="s">
        <v>4304</v>
      </c>
      <c r="L1219" t="s">
        <v>31</v>
      </c>
      <c r="M1219" t="s">
        <v>27</v>
      </c>
      <c r="N1219" t="s">
        <v>27</v>
      </c>
      <c r="O1219" t="s">
        <v>27</v>
      </c>
      <c r="P1219" t="s">
        <v>31</v>
      </c>
      <c r="Q1219" t="s">
        <v>31</v>
      </c>
      <c r="R1219" t="s">
        <v>31</v>
      </c>
      <c r="S1219" t="s">
        <v>31</v>
      </c>
      <c r="T1219" t="s">
        <v>31</v>
      </c>
    </row>
    <row r="1220" spans="1:20" hidden="1" x14ac:dyDescent="0.3">
      <c r="A1220" t="s">
        <v>2406</v>
      </c>
      <c r="B1220" t="s">
        <v>28</v>
      </c>
      <c r="C1220" t="s">
        <v>29</v>
      </c>
      <c r="D1220" t="s">
        <v>30</v>
      </c>
      <c r="E1220">
        <v>2012</v>
      </c>
      <c r="F1220" t="s">
        <v>31</v>
      </c>
      <c r="G1220" t="s">
        <v>4217</v>
      </c>
      <c r="H1220" t="s">
        <v>2716</v>
      </c>
      <c r="I1220" t="s">
        <v>242</v>
      </c>
      <c r="J1220" t="s">
        <v>4305</v>
      </c>
      <c r="K1220" t="s">
        <v>31</v>
      </c>
      <c r="L1220" t="s">
        <v>31</v>
      </c>
      <c r="M1220" t="s">
        <v>27</v>
      </c>
      <c r="N1220" t="s">
        <v>27</v>
      </c>
      <c r="O1220" t="s">
        <v>27</v>
      </c>
      <c r="P1220" t="s">
        <v>31</v>
      </c>
      <c r="Q1220" t="s">
        <v>31</v>
      </c>
      <c r="R1220" t="s">
        <v>31</v>
      </c>
      <c r="S1220" t="s">
        <v>31</v>
      </c>
      <c r="T1220" t="s">
        <v>31</v>
      </c>
    </row>
    <row r="1221" spans="1:20" hidden="1" x14ac:dyDescent="0.3">
      <c r="A1221" t="s">
        <v>2407</v>
      </c>
      <c r="B1221" t="s">
        <v>51</v>
      </c>
      <c r="C1221" t="s">
        <v>37</v>
      </c>
      <c r="D1221" t="s">
        <v>121</v>
      </c>
      <c r="E1221">
        <v>2012</v>
      </c>
      <c r="F1221" t="s">
        <v>31</v>
      </c>
      <c r="G1221" t="s">
        <v>31</v>
      </c>
      <c r="H1221" t="s">
        <v>2678</v>
      </c>
      <c r="I1221" t="s">
        <v>53</v>
      </c>
      <c r="J1221" t="s">
        <v>2969</v>
      </c>
      <c r="K1221" t="s">
        <v>31</v>
      </c>
      <c r="L1221" t="s">
        <v>473</v>
      </c>
      <c r="M1221" t="s">
        <v>27</v>
      </c>
      <c r="N1221" t="s">
        <v>27</v>
      </c>
      <c r="O1221" t="s">
        <v>33</v>
      </c>
      <c r="P1221" t="s">
        <v>31</v>
      </c>
      <c r="Q1221" t="s">
        <v>31</v>
      </c>
      <c r="R1221" t="s">
        <v>31</v>
      </c>
      <c r="S1221" t="s">
        <v>31</v>
      </c>
      <c r="T1221" t="s">
        <v>31</v>
      </c>
    </row>
    <row r="1222" spans="1:20" hidden="1" x14ac:dyDescent="0.3">
      <c r="A1222" t="s">
        <v>2408</v>
      </c>
      <c r="B1222" t="s">
        <v>43</v>
      </c>
      <c r="C1222" t="s">
        <v>2665</v>
      </c>
      <c r="D1222" t="s">
        <v>44</v>
      </c>
      <c r="E1222">
        <v>2012</v>
      </c>
      <c r="F1222" t="s">
        <v>31</v>
      </c>
      <c r="G1222" t="s">
        <v>31</v>
      </c>
      <c r="H1222" t="s">
        <v>2749</v>
      </c>
      <c r="I1222" t="s">
        <v>45</v>
      </c>
      <c r="J1222" t="s">
        <v>31</v>
      </c>
      <c r="K1222" t="s">
        <v>31</v>
      </c>
      <c r="L1222" t="s">
        <v>31</v>
      </c>
      <c r="M1222" t="s">
        <v>27</v>
      </c>
      <c r="N1222" t="s">
        <v>27</v>
      </c>
      <c r="O1222" t="s">
        <v>27</v>
      </c>
      <c r="P1222" t="s">
        <v>31</v>
      </c>
      <c r="Q1222" t="s">
        <v>31</v>
      </c>
      <c r="R1222" t="s">
        <v>31</v>
      </c>
      <c r="S1222" t="s">
        <v>31</v>
      </c>
      <c r="T1222" t="s">
        <v>31</v>
      </c>
    </row>
    <row r="1223" spans="1:20" hidden="1" x14ac:dyDescent="0.3">
      <c r="A1223" t="s">
        <v>2409</v>
      </c>
      <c r="B1223" t="s">
        <v>28</v>
      </c>
      <c r="C1223" t="s">
        <v>29</v>
      </c>
      <c r="D1223" t="s">
        <v>64</v>
      </c>
      <c r="E1223">
        <v>2012</v>
      </c>
      <c r="F1223">
        <v>4000000</v>
      </c>
      <c r="G1223" t="s">
        <v>31</v>
      </c>
      <c r="H1223" t="s">
        <v>2645</v>
      </c>
      <c r="I1223" t="s">
        <v>34</v>
      </c>
      <c r="J1223" t="s">
        <v>4306</v>
      </c>
      <c r="K1223" t="s">
        <v>31</v>
      </c>
      <c r="L1223" t="s">
        <v>31</v>
      </c>
      <c r="M1223" t="s">
        <v>27</v>
      </c>
      <c r="N1223" t="s">
        <v>27</v>
      </c>
      <c r="O1223" t="s">
        <v>27</v>
      </c>
      <c r="P1223" t="s">
        <v>31</v>
      </c>
      <c r="Q1223">
        <v>146</v>
      </c>
      <c r="R1223" t="s">
        <v>31</v>
      </c>
      <c r="S1223" t="s">
        <v>31</v>
      </c>
      <c r="T1223" t="s">
        <v>31</v>
      </c>
    </row>
    <row r="1224" spans="1:20" hidden="1" x14ac:dyDescent="0.3">
      <c r="A1224" t="s">
        <v>2411</v>
      </c>
      <c r="B1224" t="s">
        <v>51</v>
      </c>
      <c r="C1224" t="s">
        <v>37</v>
      </c>
      <c r="D1224" t="s">
        <v>121</v>
      </c>
      <c r="E1224">
        <v>2012</v>
      </c>
      <c r="F1224" t="s">
        <v>31</v>
      </c>
      <c r="G1224" t="s">
        <v>4307</v>
      </c>
      <c r="H1224" t="s">
        <v>2749</v>
      </c>
      <c r="I1224" t="s">
        <v>45</v>
      </c>
      <c r="J1224" t="s">
        <v>4308</v>
      </c>
      <c r="K1224" t="s">
        <v>2725</v>
      </c>
      <c r="L1224" t="s">
        <v>31</v>
      </c>
      <c r="M1224" t="s">
        <v>27</v>
      </c>
      <c r="N1224" t="s">
        <v>27</v>
      </c>
      <c r="O1224" t="s">
        <v>27</v>
      </c>
      <c r="P1224" t="s">
        <v>31</v>
      </c>
      <c r="Q1224" t="s">
        <v>31</v>
      </c>
      <c r="R1224" t="s">
        <v>31</v>
      </c>
      <c r="S1224" t="s">
        <v>31</v>
      </c>
      <c r="T1224" t="s">
        <v>31</v>
      </c>
    </row>
    <row r="1225" spans="1:20" hidden="1" x14ac:dyDescent="0.3">
      <c r="A1225" t="s">
        <v>2412</v>
      </c>
      <c r="B1225" t="s">
        <v>43</v>
      </c>
      <c r="C1225" t="s">
        <v>2665</v>
      </c>
      <c r="D1225" t="s">
        <v>114</v>
      </c>
      <c r="E1225">
        <v>2012</v>
      </c>
      <c r="F1225" t="s">
        <v>31</v>
      </c>
      <c r="G1225" t="s">
        <v>31</v>
      </c>
      <c r="H1225" t="s">
        <v>2678</v>
      </c>
      <c r="I1225" t="s">
        <v>53</v>
      </c>
      <c r="J1225" t="s">
        <v>4309</v>
      </c>
      <c r="K1225" t="s">
        <v>31</v>
      </c>
      <c r="L1225" t="s">
        <v>31</v>
      </c>
      <c r="M1225" t="s">
        <v>27</v>
      </c>
      <c r="N1225" t="s">
        <v>27</v>
      </c>
      <c r="O1225" t="s">
        <v>33</v>
      </c>
      <c r="P1225" t="s">
        <v>31</v>
      </c>
      <c r="Q1225" t="s">
        <v>31</v>
      </c>
      <c r="R1225" t="s">
        <v>31</v>
      </c>
      <c r="S1225" t="s">
        <v>31</v>
      </c>
      <c r="T1225" t="s">
        <v>31</v>
      </c>
    </row>
    <row r="1226" spans="1:20" hidden="1" x14ac:dyDescent="0.3">
      <c r="A1226" t="s">
        <v>2413</v>
      </c>
      <c r="B1226" t="s">
        <v>39</v>
      </c>
      <c r="C1226" t="s">
        <v>40</v>
      </c>
      <c r="D1226" t="s">
        <v>41</v>
      </c>
      <c r="E1226">
        <v>2012</v>
      </c>
      <c r="F1226" t="s">
        <v>31</v>
      </c>
      <c r="G1226" t="s">
        <v>4310</v>
      </c>
      <c r="H1226" t="s">
        <v>2666</v>
      </c>
      <c r="I1226" t="s">
        <v>109</v>
      </c>
      <c r="J1226" t="s">
        <v>4311</v>
      </c>
      <c r="K1226" t="s">
        <v>31</v>
      </c>
      <c r="L1226" t="s">
        <v>31</v>
      </c>
      <c r="M1226" t="s">
        <v>33</v>
      </c>
      <c r="N1226" t="s">
        <v>33</v>
      </c>
      <c r="O1226" t="s">
        <v>27</v>
      </c>
      <c r="P1226" t="s">
        <v>31</v>
      </c>
      <c r="Q1226" t="s">
        <v>31</v>
      </c>
      <c r="R1226" t="s">
        <v>31</v>
      </c>
      <c r="S1226" t="s">
        <v>31</v>
      </c>
      <c r="T1226" t="s">
        <v>31</v>
      </c>
    </row>
    <row r="1227" spans="1:20" hidden="1" x14ac:dyDescent="0.3">
      <c r="A1227" t="s">
        <v>2414</v>
      </c>
      <c r="B1227" t="s">
        <v>28</v>
      </c>
      <c r="C1227" t="s">
        <v>29</v>
      </c>
      <c r="D1227" t="s">
        <v>99</v>
      </c>
      <c r="E1227">
        <v>2012</v>
      </c>
      <c r="F1227">
        <v>1900000</v>
      </c>
      <c r="G1227" t="s">
        <v>31</v>
      </c>
      <c r="H1227" t="s">
        <v>2645</v>
      </c>
      <c r="I1227" t="s">
        <v>34</v>
      </c>
      <c r="J1227" t="s">
        <v>4312</v>
      </c>
      <c r="K1227" t="s">
        <v>31</v>
      </c>
      <c r="L1227" t="s">
        <v>31</v>
      </c>
      <c r="M1227" t="s">
        <v>27</v>
      </c>
      <c r="N1227" t="s">
        <v>27</v>
      </c>
      <c r="O1227" t="s">
        <v>27</v>
      </c>
      <c r="P1227" t="s">
        <v>31</v>
      </c>
      <c r="Q1227" t="s">
        <v>31</v>
      </c>
      <c r="R1227" t="s">
        <v>31</v>
      </c>
      <c r="S1227" t="s">
        <v>31</v>
      </c>
      <c r="T1227" t="s">
        <v>31</v>
      </c>
    </row>
    <row r="1228" spans="1:20" hidden="1" x14ac:dyDescent="0.3">
      <c r="A1228" t="s">
        <v>2415</v>
      </c>
      <c r="B1228" t="s">
        <v>39</v>
      </c>
      <c r="C1228" t="s">
        <v>157</v>
      </c>
      <c r="D1228" t="s">
        <v>157</v>
      </c>
      <c r="E1228">
        <v>2012</v>
      </c>
      <c r="F1228" t="s">
        <v>31</v>
      </c>
      <c r="G1228" t="s">
        <v>4313</v>
      </c>
      <c r="H1228" t="s">
        <v>2769</v>
      </c>
      <c r="I1228" t="s">
        <v>117</v>
      </c>
      <c r="J1228" t="s">
        <v>4314</v>
      </c>
      <c r="K1228" t="s">
        <v>4315</v>
      </c>
      <c r="L1228" t="s">
        <v>196</v>
      </c>
      <c r="M1228" t="s">
        <v>27</v>
      </c>
      <c r="N1228" t="s">
        <v>27</v>
      </c>
      <c r="O1228" t="s">
        <v>33</v>
      </c>
      <c r="P1228">
        <v>132</v>
      </c>
      <c r="Q1228" t="s">
        <v>31</v>
      </c>
      <c r="R1228" t="s">
        <v>31</v>
      </c>
      <c r="S1228" t="s">
        <v>31</v>
      </c>
      <c r="T1228" t="s">
        <v>31</v>
      </c>
    </row>
    <row r="1229" spans="1:20" hidden="1" x14ac:dyDescent="0.3">
      <c r="A1229" t="s">
        <v>2416</v>
      </c>
      <c r="B1229" t="s">
        <v>39</v>
      </c>
      <c r="C1229" t="s">
        <v>157</v>
      </c>
      <c r="D1229" t="s">
        <v>157</v>
      </c>
      <c r="E1229">
        <v>2012</v>
      </c>
      <c r="F1229" t="s">
        <v>31</v>
      </c>
      <c r="G1229" t="s">
        <v>31</v>
      </c>
      <c r="H1229" t="s">
        <v>2719</v>
      </c>
      <c r="I1229" t="s">
        <v>90</v>
      </c>
      <c r="J1229" t="s">
        <v>4316</v>
      </c>
      <c r="K1229" t="s">
        <v>31</v>
      </c>
      <c r="L1229" t="s">
        <v>95</v>
      </c>
      <c r="M1229" t="s">
        <v>27</v>
      </c>
      <c r="N1229" t="s">
        <v>27</v>
      </c>
      <c r="O1229" t="s">
        <v>27</v>
      </c>
      <c r="P1229" t="s">
        <v>31</v>
      </c>
      <c r="Q1229" t="s">
        <v>31</v>
      </c>
      <c r="R1229" t="s">
        <v>31</v>
      </c>
      <c r="S1229" t="s">
        <v>31</v>
      </c>
      <c r="T1229" t="s">
        <v>31</v>
      </c>
    </row>
    <row r="1230" spans="1:20" hidden="1" x14ac:dyDescent="0.3">
      <c r="A1230" t="s">
        <v>284</v>
      </c>
      <c r="B1230" t="s">
        <v>43</v>
      </c>
      <c r="C1230" t="s">
        <v>2665</v>
      </c>
      <c r="D1230" t="s">
        <v>114</v>
      </c>
      <c r="E1230">
        <v>2013</v>
      </c>
      <c r="F1230" t="s">
        <v>31</v>
      </c>
      <c r="G1230" t="s">
        <v>31</v>
      </c>
      <c r="H1230" t="s">
        <v>2675</v>
      </c>
      <c r="I1230" t="s">
        <v>81</v>
      </c>
      <c r="J1230" t="s">
        <v>31</v>
      </c>
      <c r="K1230" t="s">
        <v>31</v>
      </c>
      <c r="L1230" t="s">
        <v>31</v>
      </c>
      <c r="M1230" t="s">
        <v>27</v>
      </c>
      <c r="N1230" t="s">
        <v>27</v>
      </c>
      <c r="O1230" t="s">
        <v>27</v>
      </c>
      <c r="P1230" t="s">
        <v>31</v>
      </c>
      <c r="Q1230" t="s">
        <v>31</v>
      </c>
      <c r="R1230" t="s">
        <v>31</v>
      </c>
      <c r="S1230" t="s">
        <v>31</v>
      </c>
      <c r="T1230" t="s">
        <v>31</v>
      </c>
    </row>
    <row r="1231" spans="1:20" hidden="1" x14ac:dyDescent="0.3">
      <c r="A1231" t="s">
        <v>400</v>
      </c>
      <c r="B1231" t="s">
        <v>39</v>
      </c>
      <c r="C1231" t="s">
        <v>157</v>
      </c>
      <c r="D1231" t="s">
        <v>157</v>
      </c>
      <c r="E1231">
        <v>2013</v>
      </c>
      <c r="F1231" t="s">
        <v>31</v>
      </c>
      <c r="G1231" t="s">
        <v>4317</v>
      </c>
      <c r="H1231" t="s">
        <v>2666</v>
      </c>
      <c r="I1231" t="s">
        <v>109</v>
      </c>
      <c r="J1231" t="s">
        <v>4318</v>
      </c>
      <c r="K1231" t="s">
        <v>31</v>
      </c>
      <c r="L1231" t="s">
        <v>31</v>
      </c>
      <c r="M1231" t="s">
        <v>27</v>
      </c>
      <c r="N1231" t="s">
        <v>27</v>
      </c>
      <c r="O1231" t="s">
        <v>27</v>
      </c>
      <c r="P1231" t="s">
        <v>31</v>
      </c>
      <c r="Q1231" t="s">
        <v>31</v>
      </c>
      <c r="R1231" t="s">
        <v>31</v>
      </c>
      <c r="S1231" t="s">
        <v>31</v>
      </c>
      <c r="T1231" t="s">
        <v>31</v>
      </c>
    </row>
    <row r="1232" spans="1:20" hidden="1" x14ac:dyDescent="0.3">
      <c r="A1232" t="s">
        <v>401</v>
      </c>
      <c r="B1232" t="s">
        <v>51</v>
      </c>
      <c r="C1232" t="s">
        <v>37</v>
      </c>
      <c r="D1232" t="s">
        <v>121</v>
      </c>
      <c r="E1232">
        <v>2013</v>
      </c>
      <c r="F1232" t="s">
        <v>31</v>
      </c>
      <c r="G1232" t="s">
        <v>31</v>
      </c>
      <c r="H1232" t="s">
        <v>2678</v>
      </c>
      <c r="I1232" t="s">
        <v>53</v>
      </c>
      <c r="J1232" t="s">
        <v>4319</v>
      </c>
      <c r="K1232" t="s">
        <v>3054</v>
      </c>
      <c r="L1232" t="s">
        <v>402</v>
      </c>
      <c r="M1232" t="s">
        <v>27</v>
      </c>
      <c r="N1232" t="s">
        <v>27</v>
      </c>
      <c r="O1232" t="s">
        <v>27</v>
      </c>
      <c r="P1232" t="s">
        <v>31</v>
      </c>
      <c r="Q1232" t="s">
        <v>31</v>
      </c>
      <c r="R1232" t="s">
        <v>31</v>
      </c>
      <c r="S1232" t="s">
        <v>31</v>
      </c>
      <c r="T1232" t="s">
        <v>4320</v>
      </c>
    </row>
    <row r="1233" spans="1:20" hidden="1" x14ac:dyDescent="0.3">
      <c r="A1233" t="s">
        <v>403</v>
      </c>
      <c r="B1233" t="s">
        <v>28</v>
      </c>
      <c r="C1233" t="s">
        <v>29</v>
      </c>
      <c r="D1233" t="s">
        <v>99</v>
      </c>
      <c r="E1233">
        <v>2013</v>
      </c>
      <c r="F1233">
        <v>2000</v>
      </c>
      <c r="G1233" t="s">
        <v>31</v>
      </c>
      <c r="H1233" t="s">
        <v>2658</v>
      </c>
      <c r="I1233" t="s">
        <v>130</v>
      </c>
      <c r="J1233" t="s">
        <v>4321</v>
      </c>
      <c r="K1233" t="s">
        <v>31</v>
      </c>
      <c r="L1233" t="s">
        <v>31</v>
      </c>
      <c r="M1233" t="s">
        <v>27</v>
      </c>
      <c r="N1233" t="s">
        <v>27</v>
      </c>
      <c r="O1233" t="s">
        <v>27</v>
      </c>
      <c r="P1233" t="s">
        <v>31</v>
      </c>
      <c r="Q1233" t="s">
        <v>31</v>
      </c>
      <c r="R1233" t="s">
        <v>31</v>
      </c>
      <c r="S1233" t="s">
        <v>31</v>
      </c>
      <c r="T1233" t="s">
        <v>31</v>
      </c>
    </row>
    <row r="1234" spans="1:20" hidden="1" x14ac:dyDescent="0.3">
      <c r="A1234" t="s">
        <v>404</v>
      </c>
      <c r="B1234" t="s">
        <v>51</v>
      </c>
      <c r="C1234" t="s">
        <v>37</v>
      </c>
      <c r="D1234" t="s">
        <v>121</v>
      </c>
      <c r="E1234">
        <v>2013</v>
      </c>
      <c r="F1234" t="s">
        <v>31</v>
      </c>
      <c r="G1234" t="s">
        <v>4322</v>
      </c>
      <c r="H1234" t="s">
        <v>2669</v>
      </c>
      <c r="I1234" t="s">
        <v>111</v>
      </c>
      <c r="J1234" t="s">
        <v>2812</v>
      </c>
      <c r="K1234" t="s">
        <v>2649</v>
      </c>
      <c r="L1234" t="s">
        <v>405</v>
      </c>
      <c r="M1234" t="s">
        <v>27</v>
      </c>
      <c r="N1234" t="s">
        <v>27</v>
      </c>
      <c r="O1234" t="s">
        <v>33</v>
      </c>
      <c r="P1234" t="s">
        <v>31</v>
      </c>
      <c r="Q1234" t="s">
        <v>31</v>
      </c>
      <c r="R1234" t="s">
        <v>31</v>
      </c>
      <c r="S1234" t="s">
        <v>31</v>
      </c>
      <c r="T1234" t="s">
        <v>4323</v>
      </c>
    </row>
    <row r="1235" spans="1:20" hidden="1" x14ac:dyDescent="0.3">
      <c r="A1235" t="s">
        <v>406</v>
      </c>
      <c r="B1235" t="s">
        <v>43</v>
      </c>
      <c r="C1235" t="s">
        <v>2665</v>
      </c>
      <c r="D1235" t="s">
        <v>114</v>
      </c>
      <c r="E1235">
        <v>2013</v>
      </c>
      <c r="F1235" t="s">
        <v>31</v>
      </c>
      <c r="G1235" t="s">
        <v>31</v>
      </c>
      <c r="H1235" t="s">
        <v>2695</v>
      </c>
      <c r="I1235" t="s">
        <v>161</v>
      </c>
      <c r="J1235" t="s">
        <v>4324</v>
      </c>
      <c r="K1235" t="s">
        <v>31</v>
      </c>
      <c r="L1235" t="s">
        <v>31</v>
      </c>
      <c r="M1235" t="s">
        <v>27</v>
      </c>
      <c r="N1235" t="s">
        <v>27</v>
      </c>
      <c r="O1235" t="s">
        <v>27</v>
      </c>
      <c r="P1235" t="s">
        <v>31</v>
      </c>
      <c r="Q1235" t="s">
        <v>31</v>
      </c>
      <c r="R1235" t="s">
        <v>31</v>
      </c>
      <c r="S1235" t="s">
        <v>31</v>
      </c>
      <c r="T1235" t="s">
        <v>31</v>
      </c>
    </row>
    <row r="1236" spans="1:20" hidden="1" x14ac:dyDescent="0.3">
      <c r="A1236" t="s">
        <v>407</v>
      </c>
      <c r="B1236" t="s">
        <v>28</v>
      </c>
      <c r="C1236" t="s">
        <v>2685</v>
      </c>
      <c r="D1236" t="s">
        <v>278</v>
      </c>
      <c r="E1236">
        <v>2013</v>
      </c>
      <c r="F1236">
        <v>200000</v>
      </c>
      <c r="G1236" t="s">
        <v>31</v>
      </c>
      <c r="H1236" t="s">
        <v>2645</v>
      </c>
      <c r="I1236" t="s">
        <v>34</v>
      </c>
      <c r="J1236" t="s">
        <v>4325</v>
      </c>
      <c r="K1236" t="s">
        <v>31</v>
      </c>
      <c r="L1236" t="s">
        <v>31</v>
      </c>
      <c r="M1236" t="s">
        <v>27</v>
      </c>
      <c r="N1236" t="s">
        <v>27</v>
      </c>
      <c r="O1236" t="s">
        <v>27</v>
      </c>
      <c r="P1236" t="s">
        <v>31</v>
      </c>
      <c r="Q1236" t="s">
        <v>31</v>
      </c>
      <c r="R1236" t="s">
        <v>31</v>
      </c>
      <c r="S1236" t="s">
        <v>31</v>
      </c>
      <c r="T1236" t="s">
        <v>31</v>
      </c>
    </row>
    <row r="1237" spans="1:20" hidden="1" x14ac:dyDescent="0.3">
      <c r="A1237" t="s">
        <v>408</v>
      </c>
      <c r="B1237" t="s">
        <v>28</v>
      </c>
      <c r="C1237" t="s">
        <v>2685</v>
      </c>
      <c r="D1237" t="s">
        <v>278</v>
      </c>
      <c r="E1237">
        <v>2013</v>
      </c>
      <c r="F1237">
        <v>200000</v>
      </c>
      <c r="G1237" t="s">
        <v>31</v>
      </c>
      <c r="H1237" t="s">
        <v>2739</v>
      </c>
      <c r="I1237" t="s">
        <v>77</v>
      </c>
      <c r="J1237" t="s">
        <v>3593</v>
      </c>
      <c r="K1237" t="s">
        <v>31</v>
      </c>
      <c r="L1237" t="s">
        <v>31</v>
      </c>
      <c r="M1237" t="s">
        <v>27</v>
      </c>
      <c r="N1237" t="s">
        <v>27</v>
      </c>
      <c r="O1237" t="s">
        <v>27</v>
      </c>
      <c r="P1237" t="s">
        <v>31</v>
      </c>
      <c r="Q1237" t="s">
        <v>31</v>
      </c>
      <c r="R1237" t="s">
        <v>31</v>
      </c>
      <c r="S1237" t="s">
        <v>31</v>
      </c>
      <c r="T1237" t="s">
        <v>31</v>
      </c>
    </row>
    <row r="1238" spans="1:20" hidden="1" x14ac:dyDescent="0.3">
      <c r="A1238" t="s">
        <v>409</v>
      </c>
      <c r="B1238" t="s">
        <v>28</v>
      </c>
      <c r="C1238" t="s">
        <v>29</v>
      </c>
      <c r="D1238" t="s">
        <v>67</v>
      </c>
      <c r="E1238">
        <v>2013</v>
      </c>
      <c r="F1238">
        <v>2000</v>
      </c>
      <c r="G1238" t="s">
        <v>31</v>
      </c>
      <c r="H1238" t="s">
        <v>2645</v>
      </c>
      <c r="I1238" t="s">
        <v>34</v>
      </c>
      <c r="J1238" t="s">
        <v>4326</v>
      </c>
      <c r="K1238" t="s">
        <v>31</v>
      </c>
      <c r="L1238" t="s">
        <v>37</v>
      </c>
      <c r="M1238" t="s">
        <v>27</v>
      </c>
      <c r="N1238" t="s">
        <v>27</v>
      </c>
      <c r="O1238" t="s">
        <v>27</v>
      </c>
      <c r="P1238" t="s">
        <v>31</v>
      </c>
      <c r="Q1238" t="s">
        <v>31</v>
      </c>
      <c r="R1238" t="s">
        <v>31</v>
      </c>
      <c r="S1238" t="s">
        <v>31</v>
      </c>
      <c r="T1238" t="s">
        <v>31</v>
      </c>
    </row>
    <row r="1239" spans="1:20" hidden="1" x14ac:dyDescent="0.3">
      <c r="A1239" t="s">
        <v>410</v>
      </c>
      <c r="B1239" t="s">
        <v>51</v>
      </c>
      <c r="C1239" t="s">
        <v>37</v>
      </c>
      <c r="D1239" t="s">
        <v>121</v>
      </c>
      <c r="E1239">
        <v>2013</v>
      </c>
      <c r="F1239" t="s">
        <v>31</v>
      </c>
      <c r="G1239" t="s">
        <v>31</v>
      </c>
      <c r="H1239" t="s">
        <v>2672</v>
      </c>
      <c r="I1239" t="s">
        <v>73</v>
      </c>
      <c r="J1239" t="s">
        <v>4327</v>
      </c>
      <c r="K1239" t="s">
        <v>2649</v>
      </c>
      <c r="L1239" t="s">
        <v>54</v>
      </c>
      <c r="M1239" t="s">
        <v>27</v>
      </c>
      <c r="N1239" t="s">
        <v>27</v>
      </c>
      <c r="O1239" t="s">
        <v>27</v>
      </c>
      <c r="P1239" t="s">
        <v>31</v>
      </c>
      <c r="Q1239" t="s">
        <v>31</v>
      </c>
      <c r="R1239" t="s">
        <v>31</v>
      </c>
      <c r="S1239" t="s">
        <v>31</v>
      </c>
      <c r="T1239" t="s">
        <v>31</v>
      </c>
    </row>
    <row r="1240" spans="1:20" hidden="1" x14ac:dyDescent="0.3">
      <c r="A1240" t="s">
        <v>411</v>
      </c>
      <c r="B1240" t="s">
        <v>51</v>
      </c>
      <c r="C1240" t="s">
        <v>37</v>
      </c>
      <c r="D1240" t="s">
        <v>121</v>
      </c>
      <c r="E1240">
        <v>2013</v>
      </c>
      <c r="F1240" t="s">
        <v>31</v>
      </c>
      <c r="G1240" t="s">
        <v>4328</v>
      </c>
      <c r="H1240" t="s">
        <v>2749</v>
      </c>
      <c r="I1240" t="s">
        <v>45</v>
      </c>
      <c r="J1240" t="s">
        <v>4329</v>
      </c>
      <c r="K1240" t="s">
        <v>2649</v>
      </c>
      <c r="L1240" t="s">
        <v>31</v>
      </c>
      <c r="M1240" t="s">
        <v>27</v>
      </c>
      <c r="N1240" t="s">
        <v>27</v>
      </c>
      <c r="O1240" t="s">
        <v>27</v>
      </c>
      <c r="P1240" t="s">
        <v>31</v>
      </c>
      <c r="Q1240" t="s">
        <v>31</v>
      </c>
      <c r="R1240" t="s">
        <v>31</v>
      </c>
      <c r="S1240" t="s">
        <v>31</v>
      </c>
      <c r="T1240" t="s">
        <v>31</v>
      </c>
    </row>
    <row r="1241" spans="1:20" hidden="1" x14ac:dyDescent="0.3">
      <c r="A1241" t="s">
        <v>412</v>
      </c>
      <c r="B1241" t="s">
        <v>28</v>
      </c>
      <c r="C1241" t="s">
        <v>29</v>
      </c>
      <c r="D1241" t="s">
        <v>30</v>
      </c>
      <c r="E1241">
        <v>2013</v>
      </c>
      <c r="F1241" t="s">
        <v>31</v>
      </c>
      <c r="G1241" t="s">
        <v>31</v>
      </c>
      <c r="H1241" t="s">
        <v>2672</v>
      </c>
      <c r="I1241" t="s">
        <v>73</v>
      </c>
      <c r="J1241" t="s">
        <v>3297</v>
      </c>
      <c r="K1241" t="s">
        <v>31</v>
      </c>
      <c r="L1241" t="s">
        <v>31</v>
      </c>
      <c r="M1241" t="s">
        <v>27</v>
      </c>
      <c r="N1241" t="s">
        <v>27</v>
      </c>
      <c r="O1241" t="s">
        <v>27</v>
      </c>
      <c r="P1241" t="s">
        <v>31</v>
      </c>
      <c r="Q1241" t="s">
        <v>31</v>
      </c>
      <c r="R1241" t="s">
        <v>31</v>
      </c>
      <c r="S1241" t="s">
        <v>31</v>
      </c>
      <c r="T1241" t="s">
        <v>31</v>
      </c>
    </row>
    <row r="1242" spans="1:20" hidden="1" x14ac:dyDescent="0.3">
      <c r="A1242" t="s">
        <v>1098</v>
      </c>
      <c r="B1242" t="s">
        <v>28</v>
      </c>
      <c r="C1242" t="s">
        <v>29</v>
      </c>
      <c r="D1242" t="s">
        <v>64</v>
      </c>
      <c r="E1242">
        <v>2013</v>
      </c>
      <c r="F1242">
        <v>1600000</v>
      </c>
      <c r="G1242" t="s">
        <v>4330</v>
      </c>
      <c r="H1242" t="s">
        <v>2645</v>
      </c>
      <c r="I1242" t="s">
        <v>34</v>
      </c>
      <c r="J1242" t="s">
        <v>4331</v>
      </c>
      <c r="K1242" t="s">
        <v>31</v>
      </c>
      <c r="L1242" t="s">
        <v>31</v>
      </c>
      <c r="M1242" t="s">
        <v>27</v>
      </c>
      <c r="N1242" t="s">
        <v>27</v>
      </c>
      <c r="O1242" t="s">
        <v>27</v>
      </c>
      <c r="P1242" t="s">
        <v>31</v>
      </c>
      <c r="Q1242" t="s">
        <v>31</v>
      </c>
      <c r="R1242" t="s">
        <v>31</v>
      </c>
      <c r="S1242" t="s">
        <v>31</v>
      </c>
      <c r="T1242" t="s">
        <v>31</v>
      </c>
    </row>
    <row r="1243" spans="1:20" hidden="1" x14ac:dyDescent="0.3">
      <c r="A1243" t="s">
        <v>1099</v>
      </c>
      <c r="B1243" t="s">
        <v>28</v>
      </c>
      <c r="C1243" t="s">
        <v>29</v>
      </c>
      <c r="D1243" t="s">
        <v>64</v>
      </c>
      <c r="E1243">
        <v>2013</v>
      </c>
      <c r="F1243">
        <v>1100000</v>
      </c>
      <c r="G1243" t="s">
        <v>31</v>
      </c>
      <c r="H1243" t="s">
        <v>2645</v>
      </c>
      <c r="I1243" t="s">
        <v>34</v>
      </c>
      <c r="J1243" t="s">
        <v>4332</v>
      </c>
      <c r="K1243" t="s">
        <v>31</v>
      </c>
      <c r="L1243" t="s">
        <v>37</v>
      </c>
      <c r="M1243" t="s">
        <v>27</v>
      </c>
      <c r="N1243" t="s">
        <v>27</v>
      </c>
      <c r="O1243" t="s">
        <v>27</v>
      </c>
      <c r="P1243" t="s">
        <v>31</v>
      </c>
      <c r="Q1243" t="s">
        <v>31</v>
      </c>
      <c r="R1243" t="s">
        <v>31</v>
      </c>
      <c r="S1243" t="s">
        <v>31</v>
      </c>
      <c r="T1243" t="s">
        <v>31</v>
      </c>
    </row>
    <row r="1244" spans="1:20" hidden="1" x14ac:dyDescent="0.3">
      <c r="A1244" t="s">
        <v>1115</v>
      </c>
      <c r="B1244" t="s">
        <v>39</v>
      </c>
      <c r="C1244" t="s">
        <v>40</v>
      </c>
      <c r="D1244" t="s">
        <v>41</v>
      </c>
      <c r="E1244">
        <v>2013</v>
      </c>
      <c r="F1244">
        <v>2000</v>
      </c>
      <c r="G1244" t="s">
        <v>31</v>
      </c>
      <c r="H1244" t="s">
        <v>2645</v>
      </c>
      <c r="I1244" t="s">
        <v>34</v>
      </c>
      <c r="J1244" t="s">
        <v>4333</v>
      </c>
      <c r="K1244" t="s">
        <v>31</v>
      </c>
      <c r="L1244" t="s">
        <v>31</v>
      </c>
      <c r="M1244" t="s">
        <v>27</v>
      </c>
      <c r="N1244" t="s">
        <v>27</v>
      </c>
      <c r="O1244" t="s">
        <v>27</v>
      </c>
      <c r="P1244" t="s">
        <v>31</v>
      </c>
      <c r="Q1244" t="s">
        <v>31</v>
      </c>
      <c r="R1244" t="s">
        <v>31</v>
      </c>
      <c r="S1244" t="s">
        <v>31</v>
      </c>
      <c r="T1244" t="s">
        <v>31</v>
      </c>
    </row>
    <row r="1245" spans="1:20" hidden="1" x14ac:dyDescent="0.3">
      <c r="A1245" t="s">
        <v>1116</v>
      </c>
      <c r="B1245" t="s">
        <v>51</v>
      </c>
      <c r="C1245" t="s">
        <v>37</v>
      </c>
      <c r="D1245" t="s">
        <v>121</v>
      </c>
      <c r="E1245">
        <v>2013</v>
      </c>
      <c r="F1245">
        <v>2000</v>
      </c>
      <c r="G1245" t="s">
        <v>31</v>
      </c>
      <c r="H1245" t="s">
        <v>2645</v>
      </c>
      <c r="I1245" t="s">
        <v>34</v>
      </c>
      <c r="J1245" t="s">
        <v>4334</v>
      </c>
      <c r="K1245" t="s">
        <v>2649</v>
      </c>
      <c r="L1245" t="s">
        <v>31</v>
      </c>
      <c r="M1245" t="s">
        <v>27</v>
      </c>
      <c r="N1245" t="s">
        <v>27</v>
      </c>
      <c r="O1245" t="s">
        <v>27</v>
      </c>
      <c r="P1245" t="s">
        <v>31</v>
      </c>
      <c r="Q1245">
        <v>33907.85</v>
      </c>
      <c r="R1245">
        <v>28.899000000000001</v>
      </c>
      <c r="S1245">
        <v>-98.89</v>
      </c>
      <c r="T1245" t="s">
        <v>31</v>
      </c>
    </row>
    <row r="1246" spans="1:20" x14ac:dyDescent="0.3">
      <c r="A1246" t="s">
        <v>1123</v>
      </c>
      <c r="B1246" t="s">
        <v>51</v>
      </c>
      <c r="C1246" t="s">
        <v>37</v>
      </c>
      <c r="D1246" t="s">
        <v>121</v>
      </c>
      <c r="E1246">
        <v>2013</v>
      </c>
      <c r="F1246">
        <v>2000</v>
      </c>
      <c r="G1246" t="s">
        <v>31</v>
      </c>
      <c r="H1246" t="s">
        <v>2656</v>
      </c>
      <c r="I1246" t="s">
        <v>119</v>
      </c>
      <c r="J1246" t="s">
        <v>2604</v>
      </c>
      <c r="K1246" t="s">
        <v>2649</v>
      </c>
      <c r="L1246" t="s">
        <v>54</v>
      </c>
      <c r="M1246" t="s">
        <v>27</v>
      </c>
      <c r="N1246" t="s">
        <v>27</v>
      </c>
      <c r="O1246" t="s">
        <v>27</v>
      </c>
      <c r="P1246" t="s">
        <v>31</v>
      </c>
      <c r="Q1246" t="s">
        <v>31</v>
      </c>
      <c r="R1246" t="s">
        <v>31</v>
      </c>
      <c r="S1246" t="s">
        <v>31</v>
      </c>
      <c r="T1246" t="s">
        <v>4335</v>
      </c>
    </row>
    <row r="1247" spans="1:20" hidden="1" x14ac:dyDescent="0.3">
      <c r="A1247" t="s">
        <v>1124</v>
      </c>
      <c r="B1247" t="s">
        <v>51</v>
      </c>
      <c r="C1247" t="s">
        <v>2655</v>
      </c>
      <c r="D1247" t="s">
        <v>134</v>
      </c>
      <c r="E1247">
        <v>2013</v>
      </c>
      <c r="F1247" t="s">
        <v>31</v>
      </c>
      <c r="G1247" t="s">
        <v>31</v>
      </c>
      <c r="H1247" t="s">
        <v>2666</v>
      </c>
      <c r="I1247" t="s">
        <v>109</v>
      </c>
      <c r="J1247" t="s">
        <v>4336</v>
      </c>
      <c r="K1247" t="s">
        <v>2649</v>
      </c>
      <c r="L1247" t="s">
        <v>31</v>
      </c>
      <c r="M1247" t="s">
        <v>27</v>
      </c>
      <c r="N1247" t="s">
        <v>27</v>
      </c>
      <c r="O1247" t="s">
        <v>27</v>
      </c>
      <c r="P1247" t="s">
        <v>31</v>
      </c>
      <c r="Q1247" t="s">
        <v>31</v>
      </c>
      <c r="R1247" t="s">
        <v>31</v>
      </c>
      <c r="S1247" t="s">
        <v>31</v>
      </c>
      <c r="T1247" t="s">
        <v>31</v>
      </c>
    </row>
    <row r="1248" spans="1:20" hidden="1" x14ac:dyDescent="0.3">
      <c r="A1248" t="s">
        <v>1125</v>
      </c>
      <c r="B1248" t="s">
        <v>91</v>
      </c>
      <c r="C1248" t="s">
        <v>92</v>
      </c>
      <c r="D1248" t="s">
        <v>93</v>
      </c>
      <c r="E1248">
        <v>2013</v>
      </c>
      <c r="F1248">
        <v>4000</v>
      </c>
      <c r="G1248" t="s">
        <v>4337</v>
      </c>
      <c r="H1248" t="s">
        <v>2647</v>
      </c>
      <c r="I1248" t="s">
        <v>47</v>
      </c>
      <c r="J1248" t="s">
        <v>4338</v>
      </c>
      <c r="K1248" t="s">
        <v>31</v>
      </c>
      <c r="L1248" t="s">
        <v>31</v>
      </c>
      <c r="M1248" t="s">
        <v>27</v>
      </c>
      <c r="N1248" t="s">
        <v>27</v>
      </c>
      <c r="O1248" t="s">
        <v>27</v>
      </c>
      <c r="P1248" t="s">
        <v>31</v>
      </c>
      <c r="Q1248">
        <v>6.9</v>
      </c>
      <c r="R1248">
        <v>1.135</v>
      </c>
      <c r="S1248">
        <v>-77.393000000000001</v>
      </c>
      <c r="T1248" t="s">
        <v>31</v>
      </c>
    </row>
    <row r="1249" spans="1:20" hidden="1" x14ac:dyDescent="0.3">
      <c r="A1249" t="s">
        <v>1126</v>
      </c>
      <c r="B1249" t="s">
        <v>28</v>
      </c>
      <c r="C1249" t="s">
        <v>29</v>
      </c>
      <c r="D1249" t="s">
        <v>97</v>
      </c>
      <c r="E1249">
        <v>2013</v>
      </c>
      <c r="F1249">
        <v>3100000</v>
      </c>
      <c r="G1249" t="s">
        <v>4339</v>
      </c>
      <c r="H1249" t="s">
        <v>2645</v>
      </c>
      <c r="I1249" t="s">
        <v>34</v>
      </c>
      <c r="J1249" t="s">
        <v>4340</v>
      </c>
      <c r="K1249" t="s">
        <v>31</v>
      </c>
      <c r="L1249" t="s">
        <v>65</v>
      </c>
      <c r="M1249" t="s">
        <v>27</v>
      </c>
      <c r="N1249" t="s">
        <v>27</v>
      </c>
      <c r="O1249" t="s">
        <v>33</v>
      </c>
      <c r="P1249" t="s">
        <v>31</v>
      </c>
      <c r="Q1249" t="s">
        <v>31</v>
      </c>
      <c r="R1249" t="s">
        <v>31</v>
      </c>
      <c r="S1249" t="s">
        <v>31</v>
      </c>
      <c r="T1249" t="s">
        <v>31</v>
      </c>
    </row>
    <row r="1250" spans="1:20" hidden="1" x14ac:dyDescent="0.3">
      <c r="A1250" t="s">
        <v>1127</v>
      </c>
      <c r="B1250" t="s">
        <v>28</v>
      </c>
      <c r="C1250" t="s">
        <v>29</v>
      </c>
      <c r="D1250" t="s">
        <v>97</v>
      </c>
      <c r="E1250">
        <v>2013</v>
      </c>
      <c r="F1250">
        <v>2100000</v>
      </c>
      <c r="G1250" t="s">
        <v>4341</v>
      </c>
      <c r="H1250" t="s">
        <v>2645</v>
      </c>
      <c r="I1250" t="s">
        <v>34</v>
      </c>
      <c r="J1250" t="s">
        <v>4342</v>
      </c>
      <c r="K1250" t="s">
        <v>31</v>
      </c>
      <c r="L1250" t="s">
        <v>31</v>
      </c>
      <c r="M1250" t="s">
        <v>27</v>
      </c>
      <c r="N1250" t="s">
        <v>27</v>
      </c>
      <c r="O1250" t="s">
        <v>27</v>
      </c>
      <c r="P1250" t="s">
        <v>31</v>
      </c>
      <c r="Q1250" t="s">
        <v>31</v>
      </c>
      <c r="R1250" t="s">
        <v>31</v>
      </c>
      <c r="S1250" t="s">
        <v>31</v>
      </c>
      <c r="T1250" t="s">
        <v>31</v>
      </c>
    </row>
    <row r="1251" spans="1:20" hidden="1" x14ac:dyDescent="0.3">
      <c r="A1251" t="s">
        <v>1128</v>
      </c>
      <c r="B1251" t="s">
        <v>51</v>
      </c>
      <c r="C1251" t="s">
        <v>37</v>
      </c>
      <c r="D1251" t="s">
        <v>121</v>
      </c>
      <c r="E1251">
        <v>2013</v>
      </c>
      <c r="F1251" t="s">
        <v>31</v>
      </c>
      <c r="G1251" t="s">
        <v>4343</v>
      </c>
      <c r="H1251" t="s">
        <v>2769</v>
      </c>
      <c r="I1251" t="s">
        <v>117</v>
      </c>
      <c r="J1251" t="s">
        <v>4344</v>
      </c>
      <c r="K1251" t="s">
        <v>4345</v>
      </c>
      <c r="L1251" t="s">
        <v>31</v>
      </c>
      <c r="M1251" t="s">
        <v>33</v>
      </c>
      <c r="N1251" t="s">
        <v>27</v>
      </c>
      <c r="O1251" t="s">
        <v>33</v>
      </c>
      <c r="P1251" t="s">
        <v>31</v>
      </c>
      <c r="Q1251">
        <v>131222.51999999999</v>
      </c>
      <c r="R1251">
        <v>-24.146000000000001</v>
      </c>
      <c r="S1251">
        <v>-57.65</v>
      </c>
      <c r="T1251" t="s">
        <v>4346</v>
      </c>
    </row>
    <row r="1252" spans="1:20" hidden="1" x14ac:dyDescent="0.3">
      <c r="A1252" t="s">
        <v>1129</v>
      </c>
      <c r="B1252" t="s">
        <v>51</v>
      </c>
      <c r="C1252" t="s">
        <v>37</v>
      </c>
      <c r="D1252" t="s">
        <v>121</v>
      </c>
      <c r="E1252">
        <v>2013</v>
      </c>
      <c r="F1252">
        <v>25000</v>
      </c>
      <c r="G1252" t="s">
        <v>31</v>
      </c>
      <c r="H1252" t="s">
        <v>2645</v>
      </c>
      <c r="I1252" t="s">
        <v>34</v>
      </c>
      <c r="J1252" t="s">
        <v>4347</v>
      </c>
      <c r="K1252" t="s">
        <v>4348</v>
      </c>
      <c r="L1252" t="s">
        <v>31</v>
      </c>
      <c r="M1252" t="s">
        <v>27</v>
      </c>
      <c r="N1252" t="s">
        <v>27</v>
      </c>
      <c r="O1252" t="s">
        <v>27</v>
      </c>
      <c r="P1252" t="s">
        <v>31</v>
      </c>
      <c r="Q1252" t="s">
        <v>31</v>
      </c>
      <c r="R1252" t="s">
        <v>31</v>
      </c>
      <c r="S1252" t="s">
        <v>31</v>
      </c>
      <c r="T1252" t="s">
        <v>31</v>
      </c>
    </row>
    <row r="1253" spans="1:20" hidden="1" x14ac:dyDescent="0.3">
      <c r="A1253" t="s">
        <v>1130</v>
      </c>
      <c r="B1253" t="s">
        <v>28</v>
      </c>
      <c r="C1253" t="s">
        <v>29</v>
      </c>
      <c r="D1253" t="s">
        <v>30</v>
      </c>
      <c r="E1253">
        <v>2013</v>
      </c>
      <c r="F1253">
        <v>2000</v>
      </c>
      <c r="G1253" t="s">
        <v>31</v>
      </c>
      <c r="H1253" t="s">
        <v>2672</v>
      </c>
      <c r="I1253" t="s">
        <v>73</v>
      </c>
      <c r="J1253" t="s">
        <v>4349</v>
      </c>
      <c r="K1253" t="s">
        <v>31</v>
      </c>
      <c r="L1253" t="s">
        <v>82</v>
      </c>
      <c r="M1253" t="s">
        <v>27</v>
      </c>
      <c r="N1253" t="s">
        <v>27</v>
      </c>
      <c r="O1253" t="s">
        <v>33</v>
      </c>
      <c r="P1253" t="s">
        <v>31</v>
      </c>
      <c r="Q1253" t="s">
        <v>31</v>
      </c>
      <c r="R1253" t="s">
        <v>31</v>
      </c>
      <c r="S1253" t="s">
        <v>31</v>
      </c>
      <c r="T1253" t="s">
        <v>31</v>
      </c>
    </row>
    <row r="1254" spans="1:20" hidden="1" x14ac:dyDescent="0.3">
      <c r="A1254" t="s">
        <v>1131</v>
      </c>
      <c r="B1254" t="s">
        <v>91</v>
      </c>
      <c r="C1254" t="s">
        <v>2712</v>
      </c>
      <c r="D1254" t="s">
        <v>105</v>
      </c>
      <c r="E1254">
        <v>2013</v>
      </c>
      <c r="F1254" t="s">
        <v>31</v>
      </c>
      <c r="G1254" t="s">
        <v>31</v>
      </c>
      <c r="H1254" t="s">
        <v>2678</v>
      </c>
      <c r="I1254" t="s">
        <v>53</v>
      </c>
      <c r="J1254" t="s">
        <v>4350</v>
      </c>
      <c r="K1254" t="s">
        <v>31</v>
      </c>
      <c r="L1254" t="s">
        <v>31</v>
      </c>
      <c r="M1254" t="s">
        <v>27</v>
      </c>
      <c r="N1254" t="s">
        <v>27</v>
      </c>
      <c r="O1254" t="s">
        <v>33</v>
      </c>
      <c r="P1254" t="s">
        <v>31</v>
      </c>
      <c r="Q1254" t="s">
        <v>31</v>
      </c>
      <c r="R1254" t="s">
        <v>31</v>
      </c>
      <c r="S1254" t="s">
        <v>31</v>
      </c>
      <c r="T1254" t="s">
        <v>31</v>
      </c>
    </row>
    <row r="1255" spans="1:20" hidden="1" x14ac:dyDescent="0.3">
      <c r="A1255" t="s">
        <v>1132</v>
      </c>
      <c r="B1255" t="s">
        <v>28</v>
      </c>
      <c r="C1255" t="s">
        <v>29</v>
      </c>
      <c r="D1255" t="s">
        <v>30</v>
      </c>
      <c r="E1255">
        <v>2013</v>
      </c>
      <c r="F1255">
        <v>4200000</v>
      </c>
      <c r="G1255" t="s">
        <v>4351</v>
      </c>
      <c r="H1255" t="s">
        <v>2672</v>
      </c>
      <c r="I1255" t="s">
        <v>73</v>
      </c>
      <c r="J1255" t="s">
        <v>4352</v>
      </c>
      <c r="K1255" t="s">
        <v>31</v>
      </c>
      <c r="L1255" t="s">
        <v>82</v>
      </c>
      <c r="M1255" t="s">
        <v>33</v>
      </c>
      <c r="N1255" t="s">
        <v>27</v>
      </c>
      <c r="O1255" t="s">
        <v>33</v>
      </c>
      <c r="P1255" t="s">
        <v>31</v>
      </c>
      <c r="Q1255" t="s">
        <v>31</v>
      </c>
      <c r="R1255" t="s">
        <v>31</v>
      </c>
      <c r="S1255" t="s">
        <v>31</v>
      </c>
      <c r="T1255" t="s">
        <v>31</v>
      </c>
    </row>
    <row r="1256" spans="1:20" hidden="1" x14ac:dyDescent="0.3">
      <c r="A1256" t="s">
        <v>1133</v>
      </c>
      <c r="B1256" t="s">
        <v>43</v>
      </c>
      <c r="C1256" t="s">
        <v>2665</v>
      </c>
      <c r="D1256" t="s">
        <v>114</v>
      </c>
      <c r="E1256">
        <v>2013</v>
      </c>
      <c r="F1256" t="s">
        <v>31</v>
      </c>
      <c r="G1256" t="s">
        <v>31</v>
      </c>
      <c r="H1256" t="s">
        <v>2753</v>
      </c>
      <c r="I1256" t="s">
        <v>49</v>
      </c>
      <c r="J1256" t="s">
        <v>4353</v>
      </c>
      <c r="K1256" t="s">
        <v>31</v>
      </c>
      <c r="L1256" t="s">
        <v>31</v>
      </c>
      <c r="M1256" t="s">
        <v>27</v>
      </c>
      <c r="N1256" t="s">
        <v>27</v>
      </c>
      <c r="O1256" t="s">
        <v>27</v>
      </c>
      <c r="P1256" t="s">
        <v>31</v>
      </c>
      <c r="Q1256" t="s">
        <v>31</v>
      </c>
      <c r="R1256" t="s">
        <v>31</v>
      </c>
      <c r="S1256" t="s">
        <v>31</v>
      </c>
      <c r="T1256" t="s">
        <v>31</v>
      </c>
    </row>
    <row r="1257" spans="1:20" hidden="1" x14ac:dyDescent="0.3">
      <c r="A1257" t="s">
        <v>1134</v>
      </c>
      <c r="B1257" t="s">
        <v>51</v>
      </c>
      <c r="C1257" t="s">
        <v>2655</v>
      </c>
      <c r="D1257" t="s">
        <v>134</v>
      </c>
      <c r="E1257">
        <v>2013</v>
      </c>
      <c r="F1257" t="s">
        <v>31</v>
      </c>
      <c r="G1257" t="s">
        <v>31</v>
      </c>
      <c r="H1257" t="s">
        <v>2669</v>
      </c>
      <c r="I1257" t="s">
        <v>111</v>
      </c>
      <c r="J1257" t="s">
        <v>4354</v>
      </c>
      <c r="K1257" t="s">
        <v>4355</v>
      </c>
      <c r="L1257" t="s">
        <v>31</v>
      </c>
      <c r="M1257" t="s">
        <v>27</v>
      </c>
      <c r="N1257" t="s">
        <v>27</v>
      </c>
      <c r="O1257" t="s">
        <v>27</v>
      </c>
      <c r="P1257" t="s">
        <v>31</v>
      </c>
      <c r="Q1257" t="s">
        <v>31</v>
      </c>
      <c r="R1257" t="s">
        <v>31</v>
      </c>
      <c r="S1257" t="s">
        <v>31</v>
      </c>
      <c r="T1257" t="s">
        <v>31</v>
      </c>
    </row>
    <row r="1258" spans="1:20" hidden="1" x14ac:dyDescent="0.3">
      <c r="A1258" t="s">
        <v>1135</v>
      </c>
      <c r="B1258" t="s">
        <v>51</v>
      </c>
      <c r="C1258" t="s">
        <v>37</v>
      </c>
      <c r="D1258" t="s">
        <v>121</v>
      </c>
      <c r="E1258">
        <v>2013</v>
      </c>
      <c r="F1258" t="s">
        <v>31</v>
      </c>
      <c r="G1258" t="s">
        <v>31</v>
      </c>
      <c r="H1258" t="s">
        <v>2716</v>
      </c>
      <c r="I1258" t="s">
        <v>242</v>
      </c>
      <c r="J1258" t="s">
        <v>4356</v>
      </c>
      <c r="K1258" t="s">
        <v>2649</v>
      </c>
      <c r="L1258" t="s">
        <v>31</v>
      </c>
      <c r="M1258" t="s">
        <v>27</v>
      </c>
      <c r="N1258" t="s">
        <v>27</v>
      </c>
      <c r="O1258" t="s">
        <v>27</v>
      </c>
      <c r="P1258" t="s">
        <v>31</v>
      </c>
      <c r="Q1258">
        <v>7627.3</v>
      </c>
      <c r="R1258">
        <v>22.904299999999999</v>
      </c>
      <c r="S1258">
        <v>-81.400000000000006</v>
      </c>
      <c r="T1258" t="s">
        <v>31</v>
      </c>
    </row>
    <row r="1259" spans="1:20" hidden="1" x14ac:dyDescent="0.3">
      <c r="A1259" t="s">
        <v>1136</v>
      </c>
      <c r="B1259" t="s">
        <v>28</v>
      </c>
      <c r="C1259" t="s">
        <v>29</v>
      </c>
      <c r="D1259" t="s">
        <v>30</v>
      </c>
      <c r="E1259">
        <v>2013</v>
      </c>
      <c r="F1259">
        <v>1500000</v>
      </c>
      <c r="G1259" t="s">
        <v>31</v>
      </c>
      <c r="H1259" t="s">
        <v>2672</v>
      </c>
      <c r="I1259" t="s">
        <v>73</v>
      </c>
      <c r="J1259" t="s">
        <v>4357</v>
      </c>
      <c r="K1259" t="s">
        <v>31</v>
      </c>
      <c r="L1259" t="s">
        <v>82</v>
      </c>
      <c r="M1259" t="s">
        <v>27</v>
      </c>
      <c r="N1259" t="s">
        <v>27</v>
      </c>
      <c r="O1259" t="s">
        <v>27</v>
      </c>
      <c r="P1259" t="s">
        <v>31</v>
      </c>
      <c r="Q1259" t="s">
        <v>31</v>
      </c>
      <c r="R1259" t="s">
        <v>31</v>
      </c>
      <c r="S1259" t="s">
        <v>31</v>
      </c>
      <c r="T1259" t="s">
        <v>31</v>
      </c>
    </row>
    <row r="1260" spans="1:20" hidden="1" x14ac:dyDescent="0.3">
      <c r="A1260" t="s">
        <v>1137</v>
      </c>
      <c r="B1260" t="s">
        <v>51</v>
      </c>
      <c r="C1260" t="s">
        <v>37</v>
      </c>
      <c r="D1260" t="s">
        <v>121</v>
      </c>
      <c r="E1260">
        <v>2013</v>
      </c>
      <c r="F1260">
        <v>2000</v>
      </c>
      <c r="G1260" t="s">
        <v>4358</v>
      </c>
      <c r="H1260" t="s">
        <v>2647</v>
      </c>
      <c r="I1260" t="s">
        <v>47</v>
      </c>
      <c r="J1260" t="s">
        <v>4359</v>
      </c>
      <c r="K1260" t="s">
        <v>31</v>
      </c>
      <c r="L1260" t="s">
        <v>155</v>
      </c>
      <c r="M1260" t="s">
        <v>27</v>
      </c>
      <c r="N1260" t="s">
        <v>27</v>
      </c>
      <c r="O1260" t="s">
        <v>27</v>
      </c>
      <c r="P1260" t="s">
        <v>31</v>
      </c>
      <c r="Q1260" t="s">
        <v>31</v>
      </c>
      <c r="R1260" t="s">
        <v>31</v>
      </c>
      <c r="S1260" t="s">
        <v>31</v>
      </c>
      <c r="T1260" t="s">
        <v>31</v>
      </c>
    </row>
    <row r="1261" spans="1:20" hidden="1" x14ac:dyDescent="0.3">
      <c r="A1261" t="s">
        <v>1138</v>
      </c>
      <c r="B1261" t="s">
        <v>51</v>
      </c>
      <c r="C1261" t="s">
        <v>37</v>
      </c>
      <c r="D1261" t="s">
        <v>121</v>
      </c>
      <c r="E1261">
        <v>2013</v>
      </c>
      <c r="F1261" t="s">
        <v>31</v>
      </c>
      <c r="G1261" t="s">
        <v>4360</v>
      </c>
      <c r="H1261" t="s">
        <v>3184</v>
      </c>
      <c r="I1261" t="s">
        <v>246</v>
      </c>
      <c r="J1261" t="s">
        <v>4361</v>
      </c>
      <c r="K1261" t="s">
        <v>4362</v>
      </c>
      <c r="L1261" t="s">
        <v>82</v>
      </c>
      <c r="M1261" t="s">
        <v>27</v>
      </c>
      <c r="N1261" t="s">
        <v>27</v>
      </c>
      <c r="O1261" t="s">
        <v>27</v>
      </c>
      <c r="P1261" t="s">
        <v>31</v>
      </c>
      <c r="Q1261" t="s">
        <v>31</v>
      </c>
      <c r="R1261" t="s">
        <v>31</v>
      </c>
      <c r="S1261" t="s">
        <v>31</v>
      </c>
      <c r="T1261" t="s">
        <v>31</v>
      </c>
    </row>
    <row r="1262" spans="1:20" hidden="1" x14ac:dyDescent="0.3">
      <c r="A1262" t="s">
        <v>1139</v>
      </c>
      <c r="B1262" t="s">
        <v>28</v>
      </c>
      <c r="C1262" t="s">
        <v>29</v>
      </c>
      <c r="D1262" t="s">
        <v>99</v>
      </c>
      <c r="E1262">
        <v>2013</v>
      </c>
      <c r="F1262">
        <v>1410000</v>
      </c>
      <c r="G1262" t="s">
        <v>31</v>
      </c>
      <c r="H1262" t="s">
        <v>2739</v>
      </c>
      <c r="I1262" t="s">
        <v>77</v>
      </c>
      <c r="J1262" t="s">
        <v>4363</v>
      </c>
      <c r="K1262" t="s">
        <v>31</v>
      </c>
      <c r="L1262" t="s">
        <v>37</v>
      </c>
      <c r="M1262" t="s">
        <v>27</v>
      </c>
      <c r="N1262" t="s">
        <v>27</v>
      </c>
      <c r="O1262" t="s">
        <v>27</v>
      </c>
      <c r="P1262" t="s">
        <v>31</v>
      </c>
      <c r="Q1262" t="s">
        <v>31</v>
      </c>
      <c r="R1262" t="s">
        <v>31</v>
      </c>
      <c r="S1262" t="s">
        <v>31</v>
      </c>
      <c r="T1262" t="s">
        <v>31</v>
      </c>
    </row>
    <row r="1263" spans="1:20" x14ac:dyDescent="0.3">
      <c r="A1263" t="s">
        <v>1140</v>
      </c>
      <c r="B1263" t="s">
        <v>51</v>
      </c>
      <c r="C1263" t="s">
        <v>37</v>
      </c>
      <c r="D1263" t="s">
        <v>121</v>
      </c>
      <c r="E1263">
        <v>2013</v>
      </c>
      <c r="F1263">
        <v>2000</v>
      </c>
      <c r="G1263" t="s">
        <v>4364</v>
      </c>
      <c r="H1263" t="s">
        <v>2656</v>
      </c>
      <c r="I1263" t="s">
        <v>119</v>
      </c>
      <c r="J1263" t="s">
        <v>2605</v>
      </c>
      <c r="K1263" t="s">
        <v>4365</v>
      </c>
      <c r="L1263" t="s">
        <v>31</v>
      </c>
      <c r="M1263" t="s">
        <v>27</v>
      </c>
      <c r="N1263" t="s">
        <v>27</v>
      </c>
      <c r="O1263" t="s">
        <v>27</v>
      </c>
      <c r="P1263" t="s">
        <v>31</v>
      </c>
      <c r="Q1263" t="s">
        <v>31</v>
      </c>
      <c r="R1263" t="s">
        <v>31</v>
      </c>
      <c r="S1263" t="s">
        <v>31</v>
      </c>
      <c r="T1263" t="s">
        <v>31</v>
      </c>
    </row>
    <row r="1264" spans="1:20" hidden="1" x14ac:dyDescent="0.3">
      <c r="A1264" t="s">
        <v>1141</v>
      </c>
      <c r="B1264" t="s">
        <v>51</v>
      </c>
      <c r="C1264" t="s">
        <v>37</v>
      </c>
      <c r="D1264" t="s">
        <v>121</v>
      </c>
      <c r="E1264">
        <v>2013</v>
      </c>
      <c r="F1264" t="s">
        <v>31</v>
      </c>
      <c r="G1264" t="s">
        <v>31</v>
      </c>
      <c r="H1264" t="s">
        <v>2656</v>
      </c>
      <c r="I1264" t="s">
        <v>119</v>
      </c>
      <c r="J1264" t="s">
        <v>4366</v>
      </c>
      <c r="K1264" t="s">
        <v>2649</v>
      </c>
      <c r="L1264" t="s">
        <v>54</v>
      </c>
      <c r="M1264" t="s">
        <v>27</v>
      </c>
      <c r="N1264" t="s">
        <v>27</v>
      </c>
      <c r="O1264" t="s">
        <v>33</v>
      </c>
      <c r="P1264" t="s">
        <v>31</v>
      </c>
      <c r="Q1264" t="s">
        <v>31</v>
      </c>
      <c r="R1264" t="s">
        <v>31</v>
      </c>
      <c r="S1264" t="s">
        <v>31</v>
      </c>
      <c r="T1264" t="s">
        <v>31</v>
      </c>
    </row>
    <row r="1265" spans="1:20" hidden="1" x14ac:dyDescent="0.3">
      <c r="A1265" t="s">
        <v>1142</v>
      </c>
      <c r="B1265" t="s">
        <v>51</v>
      </c>
      <c r="C1265" t="s">
        <v>37</v>
      </c>
      <c r="D1265" t="s">
        <v>121</v>
      </c>
      <c r="E1265">
        <v>2013</v>
      </c>
      <c r="F1265">
        <v>102</v>
      </c>
      <c r="G1265" t="s">
        <v>4360</v>
      </c>
      <c r="H1265" t="s">
        <v>2888</v>
      </c>
      <c r="I1265" t="s">
        <v>75</v>
      </c>
      <c r="J1265" t="s">
        <v>3219</v>
      </c>
      <c r="K1265" t="s">
        <v>31</v>
      </c>
      <c r="L1265" t="s">
        <v>405</v>
      </c>
      <c r="M1265" t="s">
        <v>27</v>
      </c>
      <c r="N1265" t="s">
        <v>27</v>
      </c>
      <c r="O1265" t="s">
        <v>27</v>
      </c>
      <c r="P1265" t="s">
        <v>31</v>
      </c>
      <c r="Q1265" t="s">
        <v>31</v>
      </c>
      <c r="R1265" t="s">
        <v>31</v>
      </c>
      <c r="S1265" t="s">
        <v>31</v>
      </c>
      <c r="T1265" t="s">
        <v>31</v>
      </c>
    </row>
    <row r="1266" spans="1:20" hidden="1" x14ac:dyDescent="0.3">
      <c r="A1266" t="s">
        <v>1143</v>
      </c>
      <c r="B1266" t="s">
        <v>51</v>
      </c>
      <c r="C1266" t="s">
        <v>37</v>
      </c>
      <c r="D1266" t="s">
        <v>121</v>
      </c>
      <c r="E1266">
        <v>2013</v>
      </c>
      <c r="F1266">
        <v>108000</v>
      </c>
      <c r="G1266" t="s">
        <v>4360</v>
      </c>
      <c r="H1266" t="s">
        <v>2903</v>
      </c>
      <c r="I1266" t="s">
        <v>148</v>
      </c>
      <c r="J1266" t="s">
        <v>4367</v>
      </c>
      <c r="K1266" t="s">
        <v>4368</v>
      </c>
      <c r="L1266" t="s">
        <v>405</v>
      </c>
      <c r="M1266" t="s">
        <v>33</v>
      </c>
      <c r="N1266" t="s">
        <v>27</v>
      </c>
      <c r="O1266" t="s">
        <v>27</v>
      </c>
      <c r="P1266" t="s">
        <v>31</v>
      </c>
      <c r="Q1266">
        <v>830.23</v>
      </c>
      <c r="R1266">
        <v>13.918799999999999</v>
      </c>
      <c r="S1266">
        <v>-60.99</v>
      </c>
      <c r="T1266" t="s">
        <v>31</v>
      </c>
    </row>
    <row r="1267" spans="1:20" x14ac:dyDescent="0.3">
      <c r="A1267" t="s">
        <v>1144</v>
      </c>
      <c r="B1267" t="s">
        <v>51</v>
      </c>
      <c r="C1267" t="s">
        <v>37</v>
      </c>
      <c r="D1267" t="s">
        <v>121</v>
      </c>
      <c r="E1267">
        <v>2013</v>
      </c>
      <c r="F1267">
        <v>540000</v>
      </c>
      <c r="G1267" t="s">
        <v>31</v>
      </c>
      <c r="H1267" t="s">
        <v>2656</v>
      </c>
      <c r="I1267" t="s">
        <v>119</v>
      </c>
      <c r="J1267" t="s">
        <v>2606</v>
      </c>
      <c r="K1267" t="s">
        <v>2649</v>
      </c>
      <c r="L1267" t="s">
        <v>54</v>
      </c>
      <c r="M1267" t="s">
        <v>27</v>
      </c>
      <c r="N1267" t="s">
        <v>27</v>
      </c>
      <c r="O1267" t="s">
        <v>33</v>
      </c>
      <c r="P1267" t="s">
        <v>31</v>
      </c>
      <c r="Q1267" t="s">
        <v>31</v>
      </c>
      <c r="R1267">
        <v>-18.953800000000001</v>
      </c>
      <c r="S1267">
        <v>-41.94</v>
      </c>
      <c r="T1267" t="s">
        <v>31</v>
      </c>
    </row>
    <row r="1268" spans="1:20" hidden="1" x14ac:dyDescent="0.3">
      <c r="A1268" t="s">
        <v>1145</v>
      </c>
      <c r="B1268" t="s">
        <v>39</v>
      </c>
      <c r="C1268" t="s">
        <v>157</v>
      </c>
      <c r="D1268" t="s">
        <v>157</v>
      </c>
      <c r="E1268">
        <v>2013</v>
      </c>
      <c r="F1268">
        <v>200000</v>
      </c>
      <c r="G1268" t="s">
        <v>31</v>
      </c>
      <c r="H1268" t="s">
        <v>2774</v>
      </c>
      <c r="I1268" t="s">
        <v>166</v>
      </c>
      <c r="J1268" t="s">
        <v>4369</v>
      </c>
      <c r="K1268" t="s">
        <v>31</v>
      </c>
      <c r="L1268" t="s">
        <v>31</v>
      </c>
      <c r="M1268" t="s">
        <v>27</v>
      </c>
      <c r="N1268" t="s">
        <v>27</v>
      </c>
      <c r="O1268" t="s">
        <v>33</v>
      </c>
      <c r="P1268" t="s">
        <v>31</v>
      </c>
      <c r="Q1268" t="s">
        <v>31</v>
      </c>
      <c r="R1268" t="s">
        <v>31</v>
      </c>
      <c r="S1268" t="s">
        <v>31</v>
      </c>
      <c r="T1268" t="s">
        <v>31</v>
      </c>
    </row>
    <row r="1269" spans="1:20" hidden="1" x14ac:dyDescent="0.3">
      <c r="A1269" t="s">
        <v>1718</v>
      </c>
      <c r="B1269" t="s">
        <v>28</v>
      </c>
      <c r="C1269" t="s">
        <v>29</v>
      </c>
      <c r="D1269" t="s">
        <v>67</v>
      </c>
      <c r="E1269">
        <v>2013</v>
      </c>
      <c r="F1269">
        <v>100000</v>
      </c>
      <c r="G1269" t="s">
        <v>31</v>
      </c>
      <c r="H1269" t="s">
        <v>2645</v>
      </c>
      <c r="I1269" t="s">
        <v>34</v>
      </c>
      <c r="J1269" t="s">
        <v>4370</v>
      </c>
      <c r="K1269" t="s">
        <v>31</v>
      </c>
      <c r="L1269" t="s">
        <v>37</v>
      </c>
      <c r="M1269" t="s">
        <v>27</v>
      </c>
      <c r="N1269" t="s">
        <v>27</v>
      </c>
      <c r="O1269" t="s">
        <v>33</v>
      </c>
      <c r="P1269" t="s">
        <v>31</v>
      </c>
      <c r="Q1269" t="s">
        <v>31</v>
      </c>
      <c r="R1269" t="s">
        <v>31</v>
      </c>
      <c r="S1269" t="s">
        <v>31</v>
      </c>
      <c r="T1269" t="s">
        <v>31</v>
      </c>
    </row>
    <row r="1270" spans="1:20" hidden="1" x14ac:dyDescent="0.3">
      <c r="A1270" t="s">
        <v>1719</v>
      </c>
      <c r="B1270" t="s">
        <v>28</v>
      </c>
      <c r="C1270" t="s">
        <v>29</v>
      </c>
      <c r="D1270" t="s">
        <v>67</v>
      </c>
      <c r="E1270">
        <v>2013</v>
      </c>
      <c r="F1270">
        <v>100000</v>
      </c>
      <c r="G1270" t="s">
        <v>31</v>
      </c>
      <c r="H1270" t="s">
        <v>2645</v>
      </c>
      <c r="I1270" t="s">
        <v>34</v>
      </c>
      <c r="J1270" t="s">
        <v>4371</v>
      </c>
      <c r="K1270" t="s">
        <v>31</v>
      </c>
      <c r="L1270" t="s">
        <v>31</v>
      </c>
      <c r="M1270" t="s">
        <v>27</v>
      </c>
      <c r="N1270" t="s">
        <v>27</v>
      </c>
      <c r="O1270" t="s">
        <v>27</v>
      </c>
      <c r="P1270" t="s">
        <v>31</v>
      </c>
      <c r="Q1270" t="s">
        <v>31</v>
      </c>
      <c r="R1270" t="s">
        <v>31</v>
      </c>
      <c r="S1270" t="s">
        <v>31</v>
      </c>
      <c r="T1270" t="s">
        <v>31</v>
      </c>
    </row>
    <row r="1271" spans="1:20" hidden="1" x14ac:dyDescent="0.3">
      <c r="A1271" t="s">
        <v>1723</v>
      </c>
      <c r="B1271" t="s">
        <v>51</v>
      </c>
      <c r="C1271" t="s">
        <v>2655</v>
      </c>
      <c r="D1271" t="s">
        <v>134</v>
      </c>
      <c r="E1271">
        <v>2013</v>
      </c>
      <c r="F1271" t="s">
        <v>31</v>
      </c>
      <c r="G1271" t="s">
        <v>31</v>
      </c>
      <c r="H1271" t="s">
        <v>2666</v>
      </c>
      <c r="I1271" t="s">
        <v>109</v>
      </c>
      <c r="J1271" t="s">
        <v>4372</v>
      </c>
      <c r="K1271" t="s">
        <v>31</v>
      </c>
      <c r="L1271" t="s">
        <v>31</v>
      </c>
      <c r="M1271" t="s">
        <v>27</v>
      </c>
      <c r="N1271" t="s">
        <v>27</v>
      </c>
      <c r="O1271" t="s">
        <v>27</v>
      </c>
      <c r="P1271" t="s">
        <v>31</v>
      </c>
      <c r="Q1271" t="s">
        <v>31</v>
      </c>
      <c r="R1271" t="s">
        <v>31</v>
      </c>
      <c r="S1271" t="s">
        <v>31</v>
      </c>
      <c r="T1271" t="s">
        <v>31</v>
      </c>
    </row>
    <row r="1272" spans="1:20" hidden="1" x14ac:dyDescent="0.3">
      <c r="A1272" t="s">
        <v>1724</v>
      </c>
      <c r="B1272" t="s">
        <v>51</v>
      </c>
      <c r="C1272" t="s">
        <v>37</v>
      </c>
      <c r="D1272" t="s">
        <v>121</v>
      </c>
      <c r="E1272">
        <v>2013</v>
      </c>
      <c r="F1272" t="s">
        <v>31</v>
      </c>
      <c r="G1272" t="s">
        <v>31</v>
      </c>
      <c r="H1272" t="s">
        <v>2678</v>
      </c>
      <c r="I1272" t="s">
        <v>53</v>
      </c>
      <c r="J1272" t="s">
        <v>4373</v>
      </c>
      <c r="K1272" t="s">
        <v>2649</v>
      </c>
      <c r="L1272" t="s">
        <v>31</v>
      </c>
      <c r="M1272" t="s">
        <v>27</v>
      </c>
      <c r="N1272" t="s">
        <v>27</v>
      </c>
      <c r="O1272" t="s">
        <v>27</v>
      </c>
      <c r="P1272" t="s">
        <v>31</v>
      </c>
      <c r="Q1272">
        <v>577782.56000000006</v>
      </c>
      <c r="R1272">
        <v>-20.3461</v>
      </c>
      <c r="S1272">
        <v>-69.09</v>
      </c>
      <c r="T1272" t="s">
        <v>31</v>
      </c>
    </row>
    <row r="1273" spans="1:20" hidden="1" x14ac:dyDescent="0.3">
      <c r="A1273" t="s">
        <v>1725</v>
      </c>
      <c r="B1273" t="s">
        <v>43</v>
      </c>
      <c r="C1273" t="s">
        <v>2665</v>
      </c>
      <c r="D1273" t="s">
        <v>114</v>
      </c>
      <c r="E1273">
        <v>2013</v>
      </c>
      <c r="F1273" t="s">
        <v>31</v>
      </c>
      <c r="G1273" t="s">
        <v>4374</v>
      </c>
      <c r="H1273" t="s">
        <v>2647</v>
      </c>
      <c r="I1273" t="s">
        <v>47</v>
      </c>
      <c r="J1273" t="s">
        <v>4375</v>
      </c>
      <c r="K1273" t="s">
        <v>31</v>
      </c>
      <c r="L1273" t="s">
        <v>31</v>
      </c>
      <c r="M1273" t="s">
        <v>27</v>
      </c>
      <c r="N1273" t="s">
        <v>27</v>
      </c>
      <c r="O1273" t="s">
        <v>27</v>
      </c>
      <c r="P1273" t="s">
        <v>31</v>
      </c>
      <c r="Q1273" t="s">
        <v>31</v>
      </c>
      <c r="R1273" t="s">
        <v>31</v>
      </c>
      <c r="S1273" t="s">
        <v>31</v>
      </c>
      <c r="T1273" t="s">
        <v>31</v>
      </c>
    </row>
    <row r="1274" spans="1:20" hidden="1" x14ac:dyDescent="0.3">
      <c r="A1274" t="s">
        <v>1726</v>
      </c>
      <c r="B1274" t="s">
        <v>51</v>
      </c>
      <c r="C1274" t="s">
        <v>37</v>
      </c>
      <c r="D1274" t="s">
        <v>121</v>
      </c>
      <c r="E1274">
        <v>2013</v>
      </c>
      <c r="F1274">
        <v>1300000</v>
      </c>
      <c r="G1274" t="s">
        <v>31</v>
      </c>
      <c r="H1274" t="s">
        <v>2658</v>
      </c>
      <c r="I1274" t="s">
        <v>130</v>
      </c>
      <c r="J1274" t="s">
        <v>4376</v>
      </c>
      <c r="K1274" t="s">
        <v>3054</v>
      </c>
      <c r="L1274" t="s">
        <v>31</v>
      </c>
      <c r="M1274" t="s">
        <v>27</v>
      </c>
      <c r="N1274" t="s">
        <v>27</v>
      </c>
      <c r="O1274" t="s">
        <v>27</v>
      </c>
      <c r="P1274" t="s">
        <v>31</v>
      </c>
      <c r="Q1274">
        <v>18135.400000000001</v>
      </c>
      <c r="R1274">
        <v>-34.480899999999998</v>
      </c>
      <c r="S1274">
        <v>-58.68</v>
      </c>
      <c r="T1274" t="s">
        <v>31</v>
      </c>
    </row>
    <row r="1275" spans="1:20" hidden="1" x14ac:dyDescent="0.3">
      <c r="A1275" t="s">
        <v>1727</v>
      </c>
      <c r="B1275" t="s">
        <v>51</v>
      </c>
      <c r="C1275" t="s">
        <v>37</v>
      </c>
      <c r="D1275" t="s">
        <v>121</v>
      </c>
      <c r="E1275">
        <v>2013</v>
      </c>
      <c r="F1275">
        <v>45000</v>
      </c>
      <c r="G1275" t="s">
        <v>31</v>
      </c>
      <c r="H1275" t="s">
        <v>2804</v>
      </c>
      <c r="I1275" t="s">
        <v>102</v>
      </c>
      <c r="J1275" t="s">
        <v>4377</v>
      </c>
      <c r="K1275" t="s">
        <v>2664</v>
      </c>
      <c r="L1275" t="s">
        <v>302</v>
      </c>
      <c r="M1275" t="s">
        <v>27</v>
      </c>
      <c r="N1275" t="s">
        <v>27</v>
      </c>
      <c r="O1275" t="s">
        <v>27</v>
      </c>
      <c r="P1275" t="s">
        <v>31</v>
      </c>
      <c r="Q1275" t="s">
        <v>31</v>
      </c>
      <c r="R1275" t="s">
        <v>31</v>
      </c>
      <c r="S1275" t="s">
        <v>31</v>
      </c>
      <c r="T1275" t="s">
        <v>31</v>
      </c>
    </row>
    <row r="1276" spans="1:20" hidden="1" x14ac:dyDescent="0.3">
      <c r="A1276" t="s">
        <v>1728</v>
      </c>
      <c r="B1276" t="s">
        <v>51</v>
      </c>
      <c r="C1276" t="s">
        <v>37</v>
      </c>
      <c r="D1276" t="s">
        <v>121</v>
      </c>
      <c r="E1276">
        <v>2013</v>
      </c>
      <c r="F1276">
        <v>5700000</v>
      </c>
      <c r="G1276" t="s">
        <v>31</v>
      </c>
      <c r="H1276" t="s">
        <v>2739</v>
      </c>
      <c r="I1276" t="s">
        <v>77</v>
      </c>
      <c r="J1276" t="s">
        <v>4378</v>
      </c>
      <c r="K1276" t="s">
        <v>31</v>
      </c>
      <c r="L1276" t="s">
        <v>31</v>
      </c>
      <c r="M1276" t="s">
        <v>27</v>
      </c>
      <c r="N1276" t="s">
        <v>27</v>
      </c>
      <c r="O1276" t="s">
        <v>33</v>
      </c>
      <c r="P1276" t="s">
        <v>31</v>
      </c>
      <c r="Q1276">
        <v>307926</v>
      </c>
      <c r="R1276">
        <v>51.24</v>
      </c>
      <c r="S1276">
        <v>-109.64</v>
      </c>
      <c r="T1276" t="s">
        <v>4379</v>
      </c>
    </row>
    <row r="1277" spans="1:20" hidden="1" x14ac:dyDescent="0.3">
      <c r="A1277" t="s">
        <v>1729</v>
      </c>
      <c r="B1277" t="s">
        <v>39</v>
      </c>
      <c r="C1277" t="s">
        <v>40</v>
      </c>
      <c r="D1277" t="s">
        <v>41</v>
      </c>
      <c r="E1277">
        <v>2013</v>
      </c>
      <c r="F1277">
        <v>21400</v>
      </c>
      <c r="G1277" t="s">
        <v>31</v>
      </c>
      <c r="H1277" t="s">
        <v>2645</v>
      </c>
      <c r="I1277" t="s">
        <v>34</v>
      </c>
      <c r="J1277" t="s">
        <v>3044</v>
      </c>
      <c r="K1277" t="s">
        <v>4380</v>
      </c>
      <c r="L1277" t="s">
        <v>31</v>
      </c>
      <c r="M1277" t="s">
        <v>27</v>
      </c>
      <c r="N1277" t="s">
        <v>27</v>
      </c>
      <c r="O1277" t="s">
        <v>27</v>
      </c>
      <c r="P1277" t="s">
        <v>31</v>
      </c>
      <c r="Q1277" t="s">
        <v>31</v>
      </c>
      <c r="R1277" t="s">
        <v>31</v>
      </c>
      <c r="S1277" t="s">
        <v>31</v>
      </c>
      <c r="T1277" t="s">
        <v>31</v>
      </c>
    </row>
    <row r="1278" spans="1:20" hidden="1" x14ac:dyDescent="0.3">
      <c r="A1278" t="s">
        <v>1730</v>
      </c>
      <c r="B1278" t="s">
        <v>28</v>
      </c>
      <c r="C1278" t="s">
        <v>29</v>
      </c>
      <c r="D1278" t="s">
        <v>99</v>
      </c>
      <c r="E1278">
        <v>2013</v>
      </c>
      <c r="F1278">
        <v>900000</v>
      </c>
      <c r="G1278" t="s">
        <v>31</v>
      </c>
      <c r="H1278" t="s">
        <v>2645</v>
      </c>
      <c r="I1278" t="s">
        <v>34</v>
      </c>
      <c r="J1278" t="s">
        <v>4381</v>
      </c>
      <c r="K1278" t="s">
        <v>31</v>
      </c>
      <c r="L1278" t="s">
        <v>31</v>
      </c>
      <c r="M1278" t="s">
        <v>27</v>
      </c>
      <c r="N1278" t="s">
        <v>27</v>
      </c>
      <c r="O1278" t="s">
        <v>27</v>
      </c>
      <c r="P1278" t="s">
        <v>31</v>
      </c>
      <c r="Q1278" t="s">
        <v>31</v>
      </c>
      <c r="R1278" t="s">
        <v>31</v>
      </c>
      <c r="S1278" t="s">
        <v>31</v>
      </c>
      <c r="T1278" t="s">
        <v>31</v>
      </c>
    </row>
    <row r="1279" spans="1:20" hidden="1" x14ac:dyDescent="0.3">
      <c r="A1279" t="s">
        <v>1731</v>
      </c>
      <c r="B1279" t="s">
        <v>51</v>
      </c>
      <c r="C1279" t="s">
        <v>37</v>
      </c>
      <c r="D1279" t="s">
        <v>121</v>
      </c>
      <c r="E1279">
        <v>2013</v>
      </c>
      <c r="F1279">
        <v>325000</v>
      </c>
      <c r="G1279" t="s">
        <v>31</v>
      </c>
      <c r="H1279" t="s">
        <v>2645</v>
      </c>
      <c r="I1279" t="s">
        <v>34</v>
      </c>
      <c r="J1279" t="s">
        <v>4382</v>
      </c>
      <c r="K1279" t="s">
        <v>2649</v>
      </c>
      <c r="L1279" t="s">
        <v>31</v>
      </c>
      <c r="M1279" t="s">
        <v>27</v>
      </c>
      <c r="N1279" t="s">
        <v>27</v>
      </c>
      <c r="O1279" t="s">
        <v>27</v>
      </c>
      <c r="P1279" t="s">
        <v>31</v>
      </c>
      <c r="Q1279">
        <v>493136.77</v>
      </c>
      <c r="R1279">
        <v>38.827800000000003</v>
      </c>
      <c r="S1279">
        <v>-88.64</v>
      </c>
      <c r="T1279" t="s">
        <v>31</v>
      </c>
    </row>
    <row r="1280" spans="1:20" hidden="1" x14ac:dyDescent="0.3">
      <c r="A1280" t="s">
        <v>1732</v>
      </c>
      <c r="B1280" t="s">
        <v>39</v>
      </c>
      <c r="C1280" t="s">
        <v>40</v>
      </c>
      <c r="D1280" t="s">
        <v>142</v>
      </c>
      <c r="E1280">
        <v>2013</v>
      </c>
      <c r="F1280">
        <v>175000</v>
      </c>
      <c r="G1280" t="s">
        <v>31</v>
      </c>
      <c r="H1280" t="s">
        <v>2645</v>
      </c>
      <c r="I1280" t="s">
        <v>34</v>
      </c>
      <c r="J1280" t="s">
        <v>4383</v>
      </c>
      <c r="K1280" t="s">
        <v>31</v>
      </c>
      <c r="L1280" t="s">
        <v>31</v>
      </c>
      <c r="M1280" t="s">
        <v>27</v>
      </c>
      <c r="N1280" t="s">
        <v>27</v>
      </c>
      <c r="O1280" t="s">
        <v>33</v>
      </c>
      <c r="P1280" t="s">
        <v>31</v>
      </c>
      <c r="Q1280" t="s">
        <v>31</v>
      </c>
      <c r="R1280" t="s">
        <v>31</v>
      </c>
      <c r="S1280" t="s">
        <v>31</v>
      </c>
      <c r="T1280" t="s">
        <v>31</v>
      </c>
    </row>
    <row r="1281" spans="1:20" hidden="1" x14ac:dyDescent="0.3">
      <c r="A1281" t="s">
        <v>1733</v>
      </c>
      <c r="B1281" t="s">
        <v>28</v>
      </c>
      <c r="C1281" t="s">
        <v>29</v>
      </c>
      <c r="D1281" t="s">
        <v>99</v>
      </c>
      <c r="E1281">
        <v>2013</v>
      </c>
      <c r="F1281">
        <v>300000</v>
      </c>
      <c r="G1281" t="s">
        <v>31</v>
      </c>
      <c r="H1281" t="s">
        <v>2645</v>
      </c>
      <c r="I1281" t="s">
        <v>34</v>
      </c>
      <c r="J1281" t="s">
        <v>4384</v>
      </c>
      <c r="K1281" t="s">
        <v>31</v>
      </c>
      <c r="L1281" t="s">
        <v>100</v>
      </c>
      <c r="M1281" t="s">
        <v>27</v>
      </c>
      <c r="N1281" t="s">
        <v>27</v>
      </c>
      <c r="O1281" t="s">
        <v>27</v>
      </c>
      <c r="P1281" t="s">
        <v>31</v>
      </c>
      <c r="Q1281" t="s">
        <v>31</v>
      </c>
      <c r="R1281" t="s">
        <v>31</v>
      </c>
      <c r="S1281" t="s">
        <v>31</v>
      </c>
      <c r="T1281" t="s">
        <v>31</v>
      </c>
    </row>
    <row r="1282" spans="1:20" hidden="1" x14ac:dyDescent="0.3">
      <c r="A1282" t="s">
        <v>1734</v>
      </c>
      <c r="B1282" t="s">
        <v>28</v>
      </c>
      <c r="C1282" t="s">
        <v>2685</v>
      </c>
      <c r="D1282" t="s">
        <v>278</v>
      </c>
      <c r="E1282">
        <v>2013</v>
      </c>
      <c r="F1282" t="s">
        <v>31</v>
      </c>
      <c r="G1282" t="s">
        <v>4385</v>
      </c>
      <c r="H1282" t="s">
        <v>2678</v>
      </c>
      <c r="I1282" t="s">
        <v>53</v>
      </c>
      <c r="J1282" t="s">
        <v>4386</v>
      </c>
      <c r="K1282" t="s">
        <v>31</v>
      </c>
      <c r="L1282" t="s">
        <v>1735</v>
      </c>
      <c r="M1282" t="s">
        <v>27</v>
      </c>
      <c r="N1282" t="s">
        <v>27</v>
      </c>
      <c r="O1282" t="s">
        <v>33</v>
      </c>
      <c r="P1282" t="s">
        <v>31</v>
      </c>
      <c r="Q1282" t="s">
        <v>31</v>
      </c>
      <c r="R1282" t="s">
        <v>31</v>
      </c>
      <c r="S1282" t="s">
        <v>31</v>
      </c>
      <c r="T1282" t="s">
        <v>31</v>
      </c>
    </row>
    <row r="1283" spans="1:20" hidden="1" x14ac:dyDescent="0.3">
      <c r="A1283" t="s">
        <v>1736</v>
      </c>
      <c r="B1283" t="s">
        <v>28</v>
      </c>
      <c r="C1283" t="s">
        <v>2685</v>
      </c>
      <c r="D1283" t="s">
        <v>95</v>
      </c>
      <c r="E1283">
        <v>2013</v>
      </c>
      <c r="F1283" t="s">
        <v>31</v>
      </c>
      <c r="G1283" t="s">
        <v>31</v>
      </c>
      <c r="H1283" t="s">
        <v>2669</v>
      </c>
      <c r="I1283" t="s">
        <v>111</v>
      </c>
      <c r="J1283" t="s">
        <v>4387</v>
      </c>
      <c r="K1283" t="s">
        <v>31</v>
      </c>
      <c r="L1283" t="s">
        <v>31</v>
      </c>
      <c r="M1283" t="s">
        <v>27</v>
      </c>
      <c r="N1283" t="s">
        <v>27</v>
      </c>
      <c r="O1283" t="s">
        <v>27</v>
      </c>
      <c r="P1283" t="s">
        <v>31</v>
      </c>
      <c r="Q1283" t="s">
        <v>31</v>
      </c>
      <c r="R1283" t="s">
        <v>31</v>
      </c>
      <c r="S1283" t="s">
        <v>31</v>
      </c>
      <c r="T1283" t="s">
        <v>31</v>
      </c>
    </row>
    <row r="1284" spans="1:20" hidden="1" x14ac:dyDescent="0.3">
      <c r="A1284" t="s">
        <v>1737</v>
      </c>
      <c r="B1284" t="s">
        <v>51</v>
      </c>
      <c r="C1284" t="s">
        <v>37</v>
      </c>
      <c r="D1284" t="s">
        <v>121</v>
      </c>
      <c r="E1284">
        <v>2013</v>
      </c>
      <c r="F1284" t="s">
        <v>31</v>
      </c>
      <c r="G1284" t="s">
        <v>31</v>
      </c>
      <c r="H1284" t="s">
        <v>2675</v>
      </c>
      <c r="I1284" t="s">
        <v>81</v>
      </c>
      <c r="J1284" t="s">
        <v>4388</v>
      </c>
      <c r="K1284" t="s">
        <v>31</v>
      </c>
      <c r="L1284" t="s">
        <v>31</v>
      </c>
      <c r="M1284" t="s">
        <v>27</v>
      </c>
      <c r="N1284" t="s">
        <v>27</v>
      </c>
      <c r="O1284" t="s">
        <v>27</v>
      </c>
      <c r="P1284" t="s">
        <v>31</v>
      </c>
      <c r="Q1284" t="s">
        <v>31</v>
      </c>
      <c r="R1284" t="s">
        <v>31</v>
      </c>
      <c r="S1284" t="s">
        <v>31</v>
      </c>
      <c r="T1284" t="s">
        <v>31</v>
      </c>
    </row>
    <row r="1285" spans="1:20" hidden="1" x14ac:dyDescent="0.3">
      <c r="A1285" t="s">
        <v>1738</v>
      </c>
      <c r="B1285" t="s">
        <v>91</v>
      </c>
      <c r="C1285" t="s">
        <v>92</v>
      </c>
      <c r="D1285" t="s">
        <v>93</v>
      </c>
      <c r="E1285">
        <v>2013</v>
      </c>
      <c r="F1285" t="s">
        <v>31</v>
      </c>
      <c r="G1285" t="s">
        <v>4389</v>
      </c>
      <c r="H1285" t="s">
        <v>2678</v>
      </c>
      <c r="I1285" t="s">
        <v>53</v>
      </c>
      <c r="J1285" t="s">
        <v>4390</v>
      </c>
      <c r="K1285" t="s">
        <v>31</v>
      </c>
      <c r="L1285" t="s">
        <v>31</v>
      </c>
      <c r="M1285" t="s">
        <v>27</v>
      </c>
      <c r="N1285" t="s">
        <v>27</v>
      </c>
      <c r="O1285" t="s">
        <v>27</v>
      </c>
      <c r="P1285" t="s">
        <v>31</v>
      </c>
      <c r="Q1285">
        <v>7.1</v>
      </c>
      <c r="R1285">
        <v>-15.8385</v>
      </c>
      <c r="S1285">
        <v>-74.511200000000002</v>
      </c>
      <c r="T1285" t="s">
        <v>31</v>
      </c>
    </row>
    <row r="1286" spans="1:20" hidden="1" x14ac:dyDescent="0.3">
      <c r="A1286" t="s">
        <v>1739</v>
      </c>
      <c r="B1286" t="s">
        <v>91</v>
      </c>
      <c r="C1286" t="s">
        <v>92</v>
      </c>
      <c r="D1286" t="s">
        <v>93</v>
      </c>
      <c r="E1286">
        <v>2013</v>
      </c>
      <c r="F1286">
        <v>2000</v>
      </c>
      <c r="G1286" t="s">
        <v>4391</v>
      </c>
      <c r="H1286" t="s">
        <v>2719</v>
      </c>
      <c r="I1286" t="s">
        <v>90</v>
      </c>
      <c r="J1286" t="s">
        <v>4392</v>
      </c>
      <c r="K1286" t="s">
        <v>31</v>
      </c>
      <c r="L1286" t="s">
        <v>31</v>
      </c>
      <c r="M1286" t="s">
        <v>27</v>
      </c>
      <c r="N1286" t="s">
        <v>27</v>
      </c>
      <c r="O1286" t="s">
        <v>27</v>
      </c>
      <c r="P1286" t="s">
        <v>31</v>
      </c>
      <c r="Q1286">
        <v>6.4</v>
      </c>
      <c r="R1286">
        <v>14.605600000000001</v>
      </c>
      <c r="S1286">
        <v>-92.120699999999999</v>
      </c>
      <c r="T1286" t="s">
        <v>31</v>
      </c>
    </row>
    <row r="1287" spans="1:20" hidden="1" x14ac:dyDescent="0.3">
      <c r="A1287" t="s">
        <v>1740</v>
      </c>
      <c r="B1287" t="s">
        <v>28</v>
      </c>
      <c r="C1287" t="s">
        <v>29</v>
      </c>
      <c r="D1287" t="s">
        <v>189</v>
      </c>
      <c r="E1287">
        <v>2013</v>
      </c>
      <c r="F1287">
        <v>90000</v>
      </c>
      <c r="G1287" t="s">
        <v>31</v>
      </c>
      <c r="H1287" t="s">
        <v>2656</v>
      </c>
      <c r="I1287" t="s">
        <v>119</v>
      </c>
      <c r="J1287" t="s">
        <v>4393</v>
      </c>
      <c r="K1287" t="s">
        <v>31</v>
      </c>
      <c r="L1287" t="s">
        <v>31</v>
      </c>
      <c r="M1287" t="s">
        <v>27</v>
      </c>
      <c r="N1287" t="s">
        <v>27</v>
      </c>
      <c r="O1287" t="s">
        <v>27</v>
      </c>
      <c r="P1287" t="s">
        <v>31</v>
      </c>
      <c r="Q1287" t="s">
        <v>31</v>
      </c>
      <c r="R1287" t="s">
        <v>31</v>
      </c>
      <c r="S1287" t="s">
        <v>31</v>
      </c>
      <c r="T1287" t="s">
        <v>31</v>
      </c>
    </row>
    <row r="1288" spans="1:20" hidden="1" x14ac:dyDescent="0.3">
      <c r="A1288" t="s">
        <v>1741</v>
      </c>
      <c r="B1288" t="s">
        <v>28</v>
      </c>
      <c r="C1288" t="s">
        <v>29</v>
      </c>
      <c r="D1288" t="s">
        <v>189</v>
      </c>
      <c r="E1288">
        <v>2013</v>
      </c>
      <c r="F1288">
        <v>25000</v>
      </c>
      <c r="G1288" t="s">
        <v>31</v>
      </c>
      <c r="H1288" t="s">
        <v>2769</v>
      </c>
      <c r="I1288" t="s">
        <v>117</v>
      </c>
      <c r="J1288" t="s">
        <v>4394</v>
      </c>
      <c r="K1288" t="s">
        <v>31</v>
      </c>
      <c r="L1288" t="s">
        <v>65</v>
      </c>
      <c r="M1288" t="s">
        <v>27</v>
      </c>
      <c r="N1288" t="s">
        <v>27</v>
      </c>
      <c r="O1288" t="s">
        <v>27</v>
      </c>
      <c r="P1288" t="s">
        <v>31</v>
      </c>
      <c r="Q1288" t="s">
        <v>31</v>
      </c>
      <c r="R1288" t="s">
        <v>31</v>
      </c>
      <c r="S1288" t="s">
        <v>31</v>
      </c>
      <c r="T1288" t="s">
        <v>31</v>
      </c>
    </row>
    <row r="1289" spans="1:20" hidden="1" x14ac:dyDescent="0.3">
      <c r="A1289" t="s">
        <v>1742</v>
      </c>
      <c r="B1289" t="s">
        <v>28</v>
      </c>
      <c r="C1289" t="s">
        <v>29</v>
      </c>
      <c r="D1289" t="s">
        <v>97</v>
      </c>
      <c r="E1289">
        <v>2013</v>
      </c>
      <c r="F1289">
        <v>1300000</v>
      </c>
      <c r="G1289" t="s">
        <v>31</v>
      </c>
      <c r="H1289" t="s">
        <v>2645</v>
      </c>
      <c r="I1289" t="s">
        <v>34</v>
      </c>
      <c r="J1289" t="s">
        <v>4395</v>
      </c>
      <c r="K1289" t="s">
        <v>31</v>
      </c>
      <c r="L1289" t="s">
        <v>65</v>
      </c>
      <c r="M1289" t="s">
        <v>27</v>
      </c>
      <c r="N1289" t="s">
        <v>27</v>
      </c>
      <c r="O1289" t="s">
        <v>33</v>
      </c>
      <c r="P1289" t="s">
        <v>31</v>
      </c>
      <c r="Q1289">
        <v>305</v>
      </c>
      <c r="R1289" t="s">
        <v>31</v>
      </c>
      <c r="S1289" t="s">
        <v>31</v>
      </c>
      <c r="T1289" t="s">
        <v>31</v>
      </c>
    </row>
    <row r="1290" spans="1:20" hidden="1" x14ac:dyDescent="0.3">
      <c r="A1290" t="s">
        <v>1744</v>
      </c>
      <c r="B1290" t="s">
        <v>91</v>
      </c>
      <c r="C1290" t="s">
        <v>2712</v>
      </c>
      <c r="D1290" t="s">
        <v>105</v>
      </c>
      <c r="E1290">
        <v>2013</v>
      </c>
      <c r="F1290" t="s">
        <v>31</v>
      </c>
      <c r="G1290" t="s">
        <v>4396</v>
      </c>
      <c r="H1290" t="s">
        <v>2680</v>
      </c>
      <c r="I1290" t="s">
        <v>115</v>
      </c>
      <c r="J1290" t="s">
        <v>4397</v>
      </c>
      <c r="K1290" t="s">
        <v>31</v>
      </c>
      <c r="L1290" t="s">
        <v>31</v>
      </c>
      <c r="M1290" t="s">
        <v>27</v>
      </c>
      <c r="N1290" t="s">
        <v>27</v>
      </c>
      <c r="O1290" t="s">
        <v>27</v>
      </c>
      <c r="P1290" t="s">
        <v>31</v>
      </c>
      <c r="Q1290" t="s">
        <v>31</v>
      </c>
      <c r="R1290" t="s">
        <v>31</v>
      </c>
      <c r="S1290" t="s">
        <v>31</v>
      </c>
      <c r="T1290" t="s">
        <v>31</v>
      </c>
    </row>
    <row r="1291" spans="1:20" hidden="1" x14ac:dyDescent="0.3">
      <c r="A1291" t="s">
        <v>1745</v>
      </c>
      <c r="B1291" t="s">
        <v>28</v>
      </c>
      <c r="C1291" t="s">
        <v>29</v>
      </c>
      <c r="D1291" t="s">
        <v>64</v>
      </c>
      <c r="E1291">
        <v>2013</v>
      </c>
      <c r="F1291">
        <v>2200000</v>
      </c>
      <c r="G1291" t="s">
        <v>31</v>
      </c>
      <c r="H1291" t="s">
        <v>2645</v>
      </c>
      <c r="I1291" t="s">
        <v>34</v>
      </c>
      <c r="J1291" t="s">
        <v>4398</v>
      </c>
      <c r="K1291" t="s">
        <v>31</v>
      </c>
      <c r="L1291" t="s">
        <v>31</v>
      </c>
      <c r="M1291" t="s">
        <v>27</v>
      </c>
      <c r="N1291" t="s">
        <v>27</v>
      </c>
      <c r="O1291" t="s">
        <v>27</v>
      </c>
      <c r="P1291" t="s">
        <v>31</v>
      </c>
      <c r="Q1291" t="s">
        <v>31</v>
      </c>
      <c r="R1291" t="s">
        <v>31</v>
      </c>
      <c r="S1291" t="s">
        <v>31</v>
      </c>
      <c r="T1291" t="s">
        <v>31</v>
      </c>
    </row>
    <row r="1292" spans="1:20" hidden="1" x14ac:dyDescent="0.3">
      <c r="A1292" t="s">
        <v>1746</v>
      </c>
      <c r="B1292" t="s">
        <v>28</v>
      </c>
      <c r="C1292" t="s">
        <v>29</v>
      </c>
      <c r="D1292" t="s">
        <v>67</v>
      </c>
      <c r="E1292">
        <v>2013</v>
      </c>
      <c r="F1292">
        <v>100000</v>
      </c>
      <c r="G1292" t="s">
        <v>31</v>
      </c>
      <c r="H1292" t="s">
        <v>2645</v>
      </c>
      <c r="I1292" t="s">
        <v>34</v>
      </c>
      <c r="J1292" t="s">
        <v>4399</v>
      </c>
      <c r="K1292" t="s">
        <v>31</v>
      </c>
      <c r="L1292" t="s">
        <v>31</v>
      </c>
      <c r="M1292" t="s">
        <v>27</v>
      </c>
      <c r="N1292" t="s">
        <v>27</v>
      </c>
      <c r="O1292" t="s">
        <v>27</v>
      </c>
      <c r="P1292" t="s">
        <v>31</v>
      </c>
      <c r="Q1292" t="s">
        <v>31</v>
      </c>
      <c r="R1292" t="s">
        <v>31</v>
      </c>
      <c r="S1292" t="s">
        <v>31</v>
      </c>
      <c r="T1292" t="s">
        <v>31</v>
      </c>
    </row>
    <row r="1293" spans="1:20" hidden="1" x14ac:dyDescent="0.3">
      <c r="A1293" t="s">
        <v>1747</v>
      </c>
      <c r="B1293" t="s">
        <v>39</v>
      </c>
      <c r="C1293" t="s">
        <v>157</v>
      </c>
      <c r="D1293" t="s">
        <v>157</v>
      </c>
      <c r="E1293">
        <v>2013</v>
      </c>
      <c r="F1293" t="s">
        <v>31</v>
      </c>
      <c r="G1293" t="s">
        <v>31</v>
      </c>
      <c r="H1293" t="s">
        <v>2669</v>
      </c>
      <c r="I1293" t="s">
        <v>111</v>
      </c>
      <c r="J1293" t="s">
        <v>4400</v>
      </c>
      <c r="K1293" t="s">
        <v>31</v>
      </c>
      <c r="L1293" t="s">
        <v>31</v>
      </c>
      <c r="M1293" t="s">
        <v>27</v>
      </c>
      <c r="N1293" t="s">
        <v>27</v>
      </c>
      <c r="O1293" t="s">
        <v>33</v>
      </c>
      <c r="P1293" t="s">
        <v>31</v>
      </c>
      <c r="Q1293" t="s">
        <v>31</v>
      </c>
      <c r="R1293" t="s">
        <v>31</v>
      </c>
      <c r="S1293" t="s">
        <v>31</v>
      </c>
      <c r="T1293" t="s">
        <v>31</v>
      </c>
    </row>
    <row r="1294" spans="1:20" hidden="1" x14ac:dyDescent="0.3">
      <c r="A1294" t="s">
        <v>1748</v>
      </c>
      <c r="B1294" t="s">
        <v>39</v>
      </c>
      <c r="C1294" t="s">
        <v>157</v>
      </c>
      <c r="D1294" t="s">
        <v>157</v>
      </c>
      <c r="E1294">
        <v>2013</v>
      </c>
      <c r="F1294" t="s">
        <v>31</v>
      </c>
      <c r="G1294" t="s">
        <v>4401</v>
      </c>
      <c r="H1294" t="s">
        <v>2769</v>
      </c>
      <c r="I1294" t="s">
        <v>117</v>
      </c>
      <c r="J1294" t="s">
        <v>4402</v>
      </c>
      <c r="K1294" t="s">
        <v>4403</v>
      </c>
      <c r="L1294" t="s">
        <v>31</v>
      </c>
      <c r="M1294" t="s">
        <v>27</v>
      </c>
      <c r="N1294" t="s">
        <v>27</v>
      </c>
      <c r="O1294" t="s">
        <v>33</v>
      </c>
      <c r="P1294" t="s">
        <v>31</v>
      </c>
      <c r="Q1294" t="s">
        <v>31</v>
      </c>
      <c r="R1294" t="s">
        <v>31</v>
      </c>
      <c r="S1294" t="s">
        <v>31</v>
      </c>
      <c r="T1294" t="s">
        <v>31</v>
      </c>
    </row>
    <row r="1295" spans="1:20" hidden="1" x14ac:dyDescent="0.3">
      <c r="A1295" t="s">
        <v>2410</v>
      </c>
      <c r="B1295" t="s">
        <v>28</v>
      </c>
      <c r="C1295" t="s">
        <v>29</v>
      </c>
      <c r="D1295" t="s">
        <v>97</v>
      </c>
      <c r="E1295">
        <v>2013</v>
      </c>
      <c r="F1295">
        <v>300000</v>
      </c>
      <c r="G1295" t="s">
        <v>31</v>
      </c>
      <c r="H1295" t="s">
        <v>2645</v>
      </c>
      <c r="I1295" t="s">
        <v>34</v>
      </c>
      <c r="J1295" t="s">
        <v>4404</v>
      </c>
      <c r="K1295" t="s">
        <v>31</v>
      </c>
      <c r="L1295" t="s">
        <v>31</v>
      </c>
      <c r="M1295" t="s">
        <v>27</v>
      </c>
      <c r="N1295" t="s">
        <v>27</v>
      </c>
      <c r="O1295" t="s">
        <v>27</v>
      </c>
      <c r="P1295" t="s">
        <v>31</v>
      </c>
      <c r="Q1295" t="s">
        <v>31</v>
      </c>
      <c r="R1295" t="s">
        <v>31</v>
      </c>
      <c r="S1295" t="s">
        <v>31</v>
      </c>
      <c r="T1295" t="s">
        <v>31</v>
      </c>
    </row>
    <row r="1296" spans="1:20" hidden="1" x14ac:dyDescent="0.3">
      <c r="A1296" t="s">
        <v>2417</v>
      </c>
      <c r="B1296" t="s">
        <v>51</v>
      </c>
      <c r="C1296" t="s">
        <v>37</v>
      </c>
      <c r="D1296" t="s">
        <v>121</v>
      </c>
      <c r="E1296">
        <v>2013</v>
      </c>
      <c r="F1296">
        <v>2500</v>
      </c>
      <c r="G1296" t="s">
        <v>4405</v>
      </c>
      <c r="H1296" t="s">
        <v>2669</v>
      </c>
      <c r="I1296" t="s">
        <v>111</v>
      </c>
      <c r="J1296" t="s">
        <v>2812</v>
      </c>
      <c r="K1296" t="s">
        <v>2649</v>
      </c>
      <c r="L1296" t="s">
        <v>302</v>
      </c>
      <c r="M1296" t="s">
        <v>27</v>
      </c>
      <c r="N1296" t="s">
        <v>27</v>
      </c>
      <c r="O1296" t="s">
        <v>27</v>
      </c>
      <c r="P1296" t="s">
        <v>31</v>
      </c>
      <c r="Q1296" t="s">
        <v>31</v>
      </c>
      <c r="R1296" t="s">
        <v>31</v>
      </c>
      <c r="S1296" t="s">
        <v>31</v>
      </c>
      <c r="T1296" t="s">
        <v>31</v>
      </c>
    </row>
    <row r="1297" spans="1:20" x14ac:dyDescent="0.3">
      <c r="A1297" t="s">
        <v>2418</v>
      </c>
      <c r="B1297" t="s">
        <v>51</v>
      </c>
      <c r="C1297" t="s">
        <v>37</v>
      </c>
      <c r="D1297" t="s">
        <v>121</v>
      </c>
      <c r="E1297">
        <v>2013</v>
      </c>
      <c r="F1297">
        <v>1500</v>
      </c>
      <c r="G1297" t="s">
        <v>31</v>
      </c>
      <c r="H1297" t="s">
        <v>2656</v>
      </c>
      <c r="I1297" t="s">
        <v>119</v>
      </c>
      <c r="J1297" t="s">
        <v>2635</v>
      </c>
      <c r="K1297" t="s">
        <v>3054</v>
      </c>
      <c r="L1297" t="s">
        <v>54</v>
      </c>
      <c r="M1297" t="s">
        <v>27</v>
      </c>
      <c r="N1297" t="s">
        <v>27</v>
      </c>
      <c r="O1297" t="s">
        <v>27</v>
      </c>
      <c r="P1297" t="s">
        <v>31</v>
      </c>
      <c r="Q1297" t="s">
        <v>31</v>
      </c>
      <c r="R1297" t="s">
        <v>31</v>
      </c>
      <c r="S1297" t="s">
        <v>31</v>
      </c>
      <c r="T1297" t="s">
        <v>31</v>
      </c>
    </row>
    <row r="1298" spans="1:20" hidden="1" x14ac:dyDescent="0.3">
      <c r="A1298" t="s">
        <v>2419</v>
      </c>
      <c r="B1298" t="s">
        <v>39</v>
      </c>
      <c r="C1298" t="s">
        <v>40</v>
      </c>
      <c r="D1298" t="s">
        <v>41</v>
      </c>
      <c r="E1298">
        <v>2013</v>
      </c>
      <c r="F1298">
        <v>500000</v>
      </c>
      <c r="G1298" t="s">
        <v>31</v>
      </c>
      <c r="H1298" t="s">
        <v>2645</v>
      </c>
      <c r="I1298" t="s">
        <v>34</v>
      </c>
      <c r="J1298" t="s">
        <v>4406</v>
      </c>
      <c r="K1298" t="s">
        <v>31</v>
      </c>
      <c r="L1298" t="s">
        <v>31</v>
      </c>
      <c r="M1298" t="s">
        <v>27</v>
      </c>
      <c r="N1298" t="s">
        <v>27</v>
      </c>
      <c r="O1298" t="s">
        <v>27</v>
      </c>
      <c r="P1298" t="s">
        <v>31</v>
      </c>
      <c r="Q1298" t="s">
        <v>31</v>
      </c>
      <c r="R1298" t="s">
        <v>31</v>
      </c>
      <c r="S1298" t="s">
        <v>31</v>
      </c>
      <c r="T1298" t="s">
        <v>31</v>
      </c>
    </row>
    <row r="1299" spans="1:20" hidden="1" x14ac:dyDescent="0.3">
      <c r="A1299" t="s">
        <v>2420</v>
      </c>
      <c r="B1299" t="s">
        <v>28</v>
      </c>
      <c r="C1299" t="s">
        <v>29</v>
      </c>
      <c r="D1299" t="s">
        <v>97</v>
      </c>
      <c r="E1299">
        <v>2013</v>
      </c>
      <c r="F1299">
        <v>300000</v>
      </c>
      <c r="G1299" t="s">
        <v>31</v>
      </c>
      <c r="H1299" t="s">
        <v>2645</v>
      </c>
      <c r="I1299" t="s">
        <v>34</v>
      </c>
      <c r="J1299" t="s">
        <v>4407</v>
      </c>
      <c r="K1299" t="s">
        <v>31</v>
      </c>
      <c r="L1299" t="s">
        <v>65</v>
      </c>
      <c r="M1299" t="s">
        <v>27</v>
      </c>
      <c r="N1299" t="s">
        <v>27</v>
      </c>
      <c r="O1299" t="s">
        <v>27</v>
      </c>
      <c r="P1299" t="s">
        <v>31</v>
      </c>
      <c r="Q1299">
        <v>285</v>
      </c>
      <c r="R1299" t="s">
        <v>31</v>
      </c>
      <c r="S1299" t="s">
        <v>31</v>
      </c>
      <c r="T1299" t="s">
        <v>31</v>
      </c>
    </row>
    <row r="1300" spans="1:20" hidden="1" x14ac:dyDescent="0.3">
      <c r="A1300" t="s">
        <v>2421</v>
      </c>
      <c r="B1300" t="s">
        <v>51</v>
      </c>
      <c r="C1300" t="s">
        <v>37</v>
      </c>
      <c r="D1300" t="s">
        <v>121</v>
      </c>
      <c r="E1300">
        <v>2013</v>
      </c>
      <c r="F1300">
        <v>25000</v>
      </c>
      <c r="G1300" t="s">
        <v>31</v>
      </c>
      <c r="H1300" t="s">
        <v>2645</v>
      </c>
      <c r="I1300" t="s">
        <v>34</v>
      </c>
      <c r="J1300" t="s">
        <v>4408</v>
      </c>
      <c r="K1300" t="s">
        <v>3054</v>
      </c>
      <c r="L1300" t="s">
        <v>31</v>
      </c>
      <c r="M1300" t="s">
        <v>27</v>
      </c>
      <c r="N1300" t="s">
        <v>27</v>
      </c>
      <c r="O1300" t="s">
        <v>27</v>
      </c>
      <c r="P1300" t="s">
        <v>31</v>
      </c>
      <c r="Q1300">
        <v>123143.44</v>
      </c>
      <c r="R1300">
        <v>38.213799999999999</v>
      </c>
      <c r="S1300">
        <v>-94.15</v>
      </c>
      <c r="T1300" t="s">
        <v>31</v>
      </c>
    </row>
    <row r="1301" spans="1:20" hidden="1" x14ac:dyDescent="0.3">
      <c r="A1301" t="s">
        <v>2422</v>
      </c>
      <c r="B1301" t="s">
        <v>43</v>
      </c>
      <c r="C1301" t="s">
        <v>2665</v>
      </c>
      <c r="D1301" t="s">
        <v>114</v>
      </c>
      <c r="E1301">
        <v>2013</v>
      </c>
      <c r="F1301" t="s">
        <v>31</v>
      </c>
      <c r="G1301" t="s">
        <v>31</v>
      </c>
      <c r="H1301" t="s">
        <v>2719</v>
      </c>
      <c r="I1301" t="s">
        <v>90</v>
      </c>
      <c r="J1301" t="s">
        <v>4409</v>
      </c>
      <c r="K1301" t="s">
        <v>31</v>
      </c>
      <c r="L1301" t="s">
        <v>31</v>
      </c>
      <c r="M1301" t="s">
        <v>27</v>
      </c>
      <c r="N1301" t="s">
        <v>27</v>
      </c>
      <c r="O1301" t="s">
        <v>27</v>
      </c>
      <c r="P1301" t="s">
        <v>31</v>
      </c>
      <c r="Q1301" t="s">
        <v>31</v>
      </c>
      <c r="R1301" t="s">
        <v>31</v>
      </c>
      <c r="S1301" t="s">
        <v>31</v>
      </c>
      <c r="T1301" t="s">
        <v>31</v>
      </c>
    </row>
    <row r="1302" spans="1:20" hidden="1" x14ac:dyDescent="0.3">
      <c r="A1302" t="s">
        <v>2423</v>
      </c>
      <c r="B1302" t="s">
        <v>51</v>
      </c>
      <c r="C1302" t="s">
        <v>37</v>
      </c>
      <c r="D1302" t="s">
        <v>121</v>
      </c>
      <c r="E1302">
        <v>2013</v>
      </c>
      <c r="F1302" t="s">
        <v>31</v>
      </c>
      <c r="G1302" t="s">
        <v>31</v>
      </c>
      <c r="H1302" t="s">
        <v>2645</v>
      </c>
      <c r="I1302" t="s">
        <v>34</v>
      </c>
      <c r="J1302" t="s">
        <v>4410</v>
      </c>
      <c r="K1302" t="s">
        <v>4411</v>
      </c>
      <c r="L1302" t="s">
        <v>31</v>
      </c>
      <c r="M1302" t="s">
        <v>27</v>
      </c>
      <c r="N1302" t="s">
        <v>27</v>
      </c>
      <c r="O1302" t="s">
        <v>33</v>
      </c>
      <c r="P1302" t="s">
        <v>31</v>
      </c>
      <c r="Q1302">
        <v>38936</v>
      </c>
      <c r="R1302">
        <v>30.66</v>
      </c>
      <c r="S1302">
        <v>-96.01</v>
      </c>
      <c r="T1302" t="s">
        <v>31</v>
      </c>
    </row>
    <row r="1303" spans="1:20" hidden="1" x14ac:dyDescent="0.3">
      <c r="A1303" t="s">
        <v>2424</v>
      </c>
      <c r="B1303" t="s">
        <v>51</v>
      </c>
      <c r="C1303" t="s">
        <v>37</v>
      </c>
      <c r="D1303" t="s">
        <v>121</v>
      </c>
      <c r="E1303">
        <v>2013</v>
      </c>
      <c r="F1303">
        <v>1900000</v>
      </c>
      <c r="G1303" t="s">
        <v>4412</v>
      </c>
      <c r="H1303" t="s">
        <v>2645</v>
      </c>
      <c r="I1303" t="s">
        <v>34</v>
      </c>
      <c r="J1303" t="s">
        <v>4413</v>
      </c>
      <c r="K1303" t="s">
        <v>31</v>
      </c>
      <c r="L1303" t="s">
        <v>54</v>
      </c>
      <c r="M1303" t="s">
        <v>27</v>
      </c>
      <c r="N1303" t="s">
        <v>27</v>
      </c>
      <c r="O1303" t="s">
        <v>33</v>
      </c>
      <c r="P1303" t="s">
        <v>31</v>
      </c>
      <c r="Q1303">
        <v>100404</v>
      </c>
      <c r="R1303">
        <v>38.002000000000002</v>
      </c>
      <c r="S1303">
        <v>-105.143</v>
      </c>
      <c r="T1303" t="s">
        <v>31</v>
      </c>
    </row>
    <row r="1304" spans="1:20" hidden="1" x14ac:dyDescent="0.3">
      <c r="A1304" t="s">
        <v>2425</v>
      </c>
      <c r="B1304" t="s">
        <v>51</v>
      </c>
      <c r="C1304" t="s">
        <v>37</v>
      </c>
      <c r="D1304" t="s">
        <v>121</v>
      </c>
      <c r="E1304">
        <v>2013</v>
      </c>
      <c r="F1304" t="s">
        <v>31</v>
      </c>
      <c r="G1304" t="s">
        <v>31</v>
      </c>
      <c r="H1304" t="s">
        <v>2666</v>
      </c>
      <c r="I1304" t="s">
        <v>109</v>
      </c>
      <c r="J1304" t="s">
        <v>4414</v>
      </c>
      <c r="K1304" t="s">
        <v>31</v>
      </c>
      <c r="L1304" t="s">
        <v>54</v>
      </c>
      <c r="M1304" t="s">
        <v>27</v>
      </c>
      <c r="N1304" t="s">
        <v>27</v>
      </c>
      <c r="O1304" t="s">
        <v>27</v>
      </c>
      <c r="P1304" t="s">
        <v>31</v>
      </c>
      <c r="Q1304" t="s">
        <v>31</v>
      </c>
      <c r="R1304" t="s">
        <v>31</v>
      </c>
      <c r="S1304" t="s">
        <v>31</v>
      </c>
      <c r="T1304" t="s">
        <v>31</v>
      </c>
    </row>
    <row r="1305" spans="1:20" hidden="1" x14ac:dyDescent="0.3">
      <c r="A1305" t="s">
        <v>2426</v>
      </c>
      <c r="B1305" t="s">
        <v>39</v>
      </c>
      <c r="C1305" t="s">
        <v>40</v>
      </c>
      <c r="D1305" t="s">
        <v>142</v>
      </c>
      <c r="E1305">
        <v>2013</v>
      </c>
      <c r="F1305">
        <v>10000</v>
      </c>
      <c r="G1305" t="s">
        <v>31</v>
      </c>
      <c r="H1305" t="s">
        <v>2645</v>
      </c>
      <c r="I1305" t="s">
        <v>34</v>
      </c>
      <c r="J1305" t="s">
        <v>4415</v>
      </c>
      <c r="K1305" t="s">
        <v>31</v>
      </c>
      <c r="L1305" t="s">
        <v>31</v>
      </c>
      <c r="M1305" t="s">
        <v>27</v>
      </c>
      <c r="N1305" t="s">
        <v>27</v>
      </c>
      <c r="O1305" t="s">
        <v>27</v>
      </c>
      <c r="P1305" t="s">
        <v>31</v>
      </c>
      <c r="Q1305" t="s">
        <v>31</v>
      </c>
      <c r="R1305" t="s">
        <v>31</v>
      </c>
      <c r="S1305" t="s">
        <v>31</v>
      </c>
      <c r="T1305" t="s">
        <v>31</v>
      </c>
    </row>
    <row r="1306" spans="1:20" hidden="1" x14ac:dyDescent="0.3">
      <c r="A1306" t="s">
        <v>2427</v>
      </c>
      <c r="B1306" t="s">
        <v>28</v>
      </c>
      <c r="C1306" t="s">
        <v>2685</v>
      </c>
      <c r="D1306" t="s">
        <v>278</v>
      </c>
      <c r="E1306">
        <v>2013</v>
      </c>
      <c r="F1306">
        <v>1000000</v>
      </c>
      <c r="G1306" t="s">
        <v>31</v>
      </c>
      <c r="H1306" t="s">
        <v>2701</v>
      </c>
      <c r="I1306" t="s">
        <v>60</v>
      </c>
      <c r="J1306" t="s">
        <v>4416</v>
      </c>
      <c r="K1306" t="s">
        <v>31</v>
      </c>
      <c r="L1306" t="s">
        <v>31</v>
      </c>
      <c r="M1306" t="s">
        <v>27</v>
      </c>
      <c r="N1306" t="s">
        <v>27</v>
      </c>
      <c r="O1306" t="s">
        <v>33</v>
      </c>
      <c r="P1306" t="s">
        <v>31</v>
      </c>
      <c r="Q1306" t="s">
        <v>31</v>
      </c>
      <c r="R1306" t="s">
        <v>31</v>
      </c>
      <c r="S1306" t="s">
        <v>31</v>
      </c>
      <c r="T1306" t="s">
        <v>31</v>
      </c>
    </row>
    <row r="1307" spans="1:20" hidden="1" x14ac:dyDescent="0.3">
      <c r="A1307" t="s">
        <v>2428</v>
      </c>
      <c r="B1307" t="s">
        <v>51</v>
      </c>
      <c r="C1307" t="s">
        <v>37</v>
      </c>
      <c r="D1307" t="s">
        <v>121</v>
      </c>
      <c r="E1307">
        <v>2013</v>
      </c>
      <c r="F1307" t="s">
        <v>31</v>
      </c>
      <c r="G1307" t="s">
        <v>31</v>
      </c>
      <c r="H1307" t="s">
        <v>2645</v>
      </c>
      <c r="I1307" t="s">
        <v>34</v>
      </c>
      <c r="J1307" t="s">
        <v>4417</v>
      </c>
      <c r="K1307" t="s">
        <v>2649</v>
      </c>
      <c r="L1307" t="s">
        <v>31</v>
      </c>
      <c r="M1307" t="s">
        <v>27</v>
      </c>
      <c r="N1307" t="s">
        <v>27</v>
      </c>
      <c r="O1307" t="s">
        <v>33</v>
      </c>
      <c r="P1307" t="s">
        <v>31</v>
      </c>
      <c r="Q1307">
        <v>16069.91</v>
      </c>
      <c r="R1307">
        <v>37.559699999999999</v>
      </c>
      <c r="S1307">
        <v>-86.79</v>
      </c>
      <c r="T1307" t="s">
        <v>31</v>
      </c>
    </row>
    <row r="1308" spans="1:20" hidden="1" x14ac:dyDescent="0.3">
      <c r="A1308" t="s">
        <v>2429</v>
      </c>
      <c r="B1308" t="s">
        <v>28</v>
      </c>
      <c r="C1308" t="s">
        <v>29</v>
      </c>
      <c r="D1308" t="s">
        <v>67</v>
      </c>
      <c r="E1308">
        <v>2013</v>
      </c>
      <c r="F1308">
        <v>1100000</v>
      </c>
      <c r="G1308" t="s">
        <v>31</v>
      </c>
      <c r="H1308" t="s">
        <v>2645</v>
      </c>
      <c r="I1308" t="s">
        <v>34</v>
      </c>
      <c r="J1308" t="s">
        <v>4418</v>
      </c>
      <c r="K1308" t="s">
        <v>31</v>
      </c>
      <c r="L1308" t="s">
        <v>65</v>
      </c>
      <c r="M1308" t="s">
        <v>27</v>
      </c>
      <c r="N1308" t="s">
        <v>27</v>
      </c>
      <c r="O1308" t="s">
        <v>33</v>
      </c>
      <c r="P1308" t="s">
        <v>31</v>
      </c>
      <c r="Q1308" t="s">
        <v>31</v>
      </c>
      <c r="R1308" t="s">
        <v>31</v>
      </c>
      <c r="S1308" t="s">
        <v>31</v>
      </c>
      <c r="T1308" t="s">
        <v>31</v>
      </c>
    </row>
    <row r="1309" spans="1:20" hidden="1" x14ac:dyDescent="0.3">
      <c r="A1309" t="s">
        <v>195</v>
      </c>
      <c r="B1309" t="s">
        <v>39</v>
      </c>
      <c r="C1309" t="s">
        <v>157</v>
      </c>
      <c r="D1309" t="s">
        <v>157</v>
      </c>
      <c r="E1309">
        <v>2014</v>
      </c>
      <c r="F1309" t="s">
        <v>31</v>
      </c>
      <c r="G1309" t="s">
        <v>4419</v>
      </c>
      <c r="H1309" t="s">
        <v>2753</v>
      </c>
      <c r="I1309" t="s">
        <v>49</v>
      </c>
      <c r="J1309" t="s">
        <v>4420</v>
      </c>
      <c r="K1309" t="s">
        <v>31</v>
      </c>
      <c r="L1309" t="s">
        <v>196</v>
      </c>
      <c r="M1309" t="s">
        <v>27</v>
      </c>
      <c r="N1309" t="s">
        <v>27</v>
      </c>
      <c r="O1309" t="s">
        <v>33</v>
      </c>
      <c r="P1309" t="s">
        <v>31</v>
      </c>
      <c r="Q1309" t="s">
        <v>31</v>
      </c>
      <c r="R1309" t="s">
        <v>31</v>
      </c>
      <c r="S1309" t="s">
        <v>31</v>
      </c>
      <c r="T1309" t="s">
        <v>31</v>
      </c>
    </row>
    <row r="1310" spans="1:20" hidden="1" x14ac:dyDescent="0.3">
      <c r="A1310" t="s">
        <v>357</v>
      </c>
      <c r="B1310" t="s">
        <v>39</v>
      </c>
      <c r="C1310" t="s">
        <v>157</v>
      </c>
      <c r="D1310" t="s">
        <v>157</v>
      </c>
      <c r="E1310">
        <v>2014</v>
      </c>
      <c r="F1310">
        <v>5000000</v>
      </c>
      <c r="G1310" t="s">
        <v>31</v>
      </c>
      <c r="H1310" t="s">
        <v>2656</v>
      </c>
      <c r="I1310" t="s">
        <v>119</v>
      </c>
      <c r="J1310" t="s">
        <v>4421</v>
      </c>
      <c r="K1310" t="s">
        <v>4422</v>
      </c>
      <c r="L1310" t="s">
        <v>31</v>
      </c>
      <c r="M1310" t="s">
        <v>27</v>
      </c>
      <c r="N1310" t="s">
        <v>27</v>
      </c>
      <c r="O1310" t="s">
        <v>27</v>
      </c>
      <c r="P1310" t="s">
        <v>31</v>
      </c>
      <c r="Q1310" t="s">
        <v>31</v>
      </c>
      <c r="R1310" t="s">
        <v>31</v>
      </c>
      <c r="S1310" t="s">
        <v>31</v>
      </c>
      <c r="T1310" t="s">
        <v>31</v>
      </c>
    </row>
    <row r="1311" spans="1:20" hidden="1" x14ac:dyDescent="0.3">
      <c r="A1311" t="s">
        <v>361</v>
      </c>
      <c r="B1311" t="s">
        <v>28</v>
      </c>
      <c r="C1311" t="s">
        <v>2685</v>
      </c>
      <c r="D1311" t="s">
        <v>68</v>
      </c>
      <c r="E1311">
        <v>2014</v>
      </c>
      <c r="F1311" t="s">
        <v>31</v>
      </c>
      <c r="G1311" t="s">
        <v>31</v>
      </c>
      <c r="H1311" t="s">
        <v>2678</v>
      </c>
      <c r="I1311" t="s">
        <v>53</v>
      </c>
      <c r="J1311" t="s">
        <v>4423</v>
      </c>
      <c r="K1311" t="s">
        <v>31</v>
      </c>
      <c r="L1311" t="s">
        <v>31</v>
      </c>
      <c r="M1311" t="s">
        <v>27</v>
      </c>
      <c r="N1311" t="s">
        <v>27</v>
      </c>
      <c r="O1311" t="s">
        <v>27</v>
      </c>
      <c r="P1311" t="s">
        <v>31</v>
      </c>
      <c r="Q1311" t="s">
        <v>31</v>
      </c>
      <c r="R1311" t="s">
        <v>31</v>
      </c>
      <c r="S1311" t="s">
        <v>31</v>
      </c>
      <c r="T1311" t="s">
        <v>31</v>
      </c>
    </row>
    <row r="1312" spans="1:20" hidden="1" x14ac:dyDescent="0.3">
      <c r="A1312" t="s">
        <v>362</v>
      </c>
      <c r="B1312" t="s">
        <v>28</v>
      </c>
      <c r="C1312" t="s">
        <v>29</v>
      </c>
      <c r="D1312" t="s">
        <v>99</v>
      </c>
      <c r="E1312">
        <v>2014</v>
      </c>
      <c r="F1312">
        <v>1600000</v>
      </c>
      <c r="G1312" t="s">
        <v>4424</v>
      </c>
      <c r="H1312" t="s">
        <v>2645</v>
      </c>
      <c r="I1312" t="s">
        <v>34</v>
      </c>
      <c r="J1312" t="s">
        <v>4425</v>
      </c>
      <c r="K1312" t="s">
        <v>31</v>
      </c>
      <c r="L1312" t="s">
        <v>65</v>
      </c>
      <c r="M1312" t="s">
        <v>27</v>
      </c>
      <c r="N1312" t="s">
        <v>27</v>
      </c>
      <c r="O1312" t="s">
        <v>27</v>
      </c>
      <c r="P1312" t="s">
        <v>31</v>
      </c>
      <c r="Q1312">
        <v>128</v>
      </c>
      <c r="R1312" t="s">
        <v>31</v>
      </c>
      <c r="S1312" t="s">
        <v>31</v>
      </c>
      <c r="T1312" t="s">
        <v>31</v>
      </c>
    </row>
    <row r="1313" spans="1:20" hidden="1" x14ac:dyDescent="0.3">
      <c r="A1313" t="s">
        <v>363</v>
      </c>
      <c r="B1313" t="s">
        <v>51</v>
      </c>
      <c r="C1313" t="s">
        <v>37</v>
      </c>
      <c r="D1313" t="s">
        <v>121</v>
      </c>
      <c r="E1313">
        <v>2014</v>
      </c>
      <c r="F1313" t="s">
        <v>31</v>
      </c>
      <c r="G1313" t="s">
        <v>4426</v>
      </c>
      <c r="H1313" t="s">
        <v>2669</v>
      </c>
      <c r="I1313" t="s">
        <v>111</v>
      </c>
      <c r="J1313" t="s">
        <v>4427</v>
      </c>
      <c r="K1313" t="s">
        <v>2725</v>
      </c>
      <c r="L1313" t="s">
        <v>364</v>
      </c>
      <c r="M1313" t="s">
        <v>27</v>
      </c>
      <c r="N1313" t="s">
        <v>27</v>
      </c>
      <c r="O1313" t="s">
        <v>33</v>
      </c>
      <c r="P1313" t="s">
        <v>31</v>
      </c>
      <c r="Q1313">
        <v>137629.70000000001</v>
      </c>
      <c r="R1313">
        <v>-16.463799999999999</v>
      </c>
      <c r="S1313">
        <v>-63.77</v>
      </c>
      <c r="T1313" t="s">
        <v>31</v>
      </c>
    </row>
    <row r="1314" spans="1:20" hidden="1" x14ac:dyDescent="0.3">
      <c r="A1314" t="s">
        <v>369</v>
      </c>
      <c r="B1314" t="s">
        <v>28</v>
      </c>
      <c r="C1314" t="s">
        <v>2685</v>
      </c>
      <c r="D1314" t="s">
        <v>278</v>
      </c>
      <c r="E1314">
        <v>2014</v>
      </c>
      <c r="F1314" t="s">
        <v>31</v>
      </c>
      <c r="G1314" t="s">
        <v>31</v>
      </c>
      <c r="H1314" t="s">
        <v>2719</v>
      </c>
      <c r="I1314" t="s">
        <v>90</v>
      </c>
      <c r="J1314" t="s">
        <v>4428</v>
      </c>
      <c r="K1314" t="s">
        <v>31</v>
      </c>
      <c r="L1314" t="s">
        <v>31</v>
      </c>
      <c r="M1314" t="s">
        <v>27</v>
      </c>
      <c r="N1314" t="s">
        <v>27</v>
      </c>
      <c r="O1314" t="s">
        <v>27</v>
      </c>
      <c r="P1314" t="s">
        <v>31</v>
      </c>
      <c r="Q1314" t="s">
        <v>31</v>
      </c>
      <c r="R1314" t="s">
        <v>31</v>
      </c>
      <c r="S1314" t="s">
        <v>31</v>
      </c>
      <c r="T1314" t="s">
        <v>31</v>
      </c>
    </row>
    <row r="1315" spans="1:20" hidden="1" x14ac:dyDescent="0.3">
      <c r="A1315" t="s">
        <v>371</v>
      </c>
      <c r="B1315" t="s">
        <v>51</v>
      </c>
      <c r="C1315" t="s">
        <v>37</v>
      </c>
      <c r="D1315" t="s">
        <v>56</v>
      </c>
      <c r="E1315">
        <v>2014</v>
      </c>
      <c r="F1315" t="s">
        <v>31</v>
      </c>
      <c r="G1315" t="s">
        <v>31</v>
      </c>
      <c r="H1315" t="s">
        <v>2749</v>
      </c>
      <c r="I1315" t="s">
        <v>45</v>
      </c>
      <c r="J1315" t="s">
        <v>4165</v>
      </c>
      <c r="K1315" t="s">
        <v>2649</v>
      </c>
      <c r="L1315" t="s">
        <v>54</v>
      </c>
      <c r="M1315" t="s">
        <v>27</v>
      </c>
      <c r="N1315" t="s">
        <v>27</v>
      </c>
      <c r="O1315" t="s">
        <v>27</v>
      </c>
      <c r="P1315" t="s">
        <v>31</v>
      </c>
      <c r="Q1315" t="s">
        <v>31</v>
      </c>
      <c r="R1315" t="s">
        <v>31</v>
      </c>
      <c r="S1315" t="s">
        <v>31</v>
      </c>
      <c r="T1315" t="s">
        <v>31</v>
      </c>
    </row>
    <row r="1316" spans="1:20" hidden="1" x14ac:dyDescent="0.3">
      <c r="A1316" t="s">
        <v>372</v>
      </c>
      <c r="B1316" t="s">
        <v>51</v>
      </c>
      <c r="C1316" t="s">
        <v>37</v>
      </c>
      <c r="D1316" t="s">
        <v>56</v>
      </c>
      <c r="E1316">
        <v>2014</v>
      </c>
      <c r="F1316" t="s">
        <v>31</v>
      </c>
      <c r="G1316" t="s">
        <v>31</v>
      </c>
      <c r="H1316" t="s">
        <v>2888</v>
      </c>
      <c r="I1316" t="s">
        <v>75</v>
      </c>
      <c r="J1316" t="s">
        <v>3219</v>
      </c>
      <c r="K1316" t="s">
        <v>31</v>
      </c>
      <c r="L1316" t="s">
        <v>31</v>
      </c>
      <c r="M1316" t="s">
        <v>27</v>
      </c>
      <c r="N1316" t="s">
        <v>27</v>
      </c>
      <c r="O1316" t="s">
        <v>27</v>
      </c>
      <c r="P1316" t="s">
        <v>31</v>
      </c>
      <c r="Q1316" t="s">
        <v>31</v>
      </c>
      <c r="R1316" t="s">
        <v>31</v>
      </c>
      <c r="S1316" t="s">
        <v>31</v>
      </c>
      <c r="T1316" t="s">
        <v>31</v>
      </c>
    </row>
    <row r="1317" spans="1:20" hidden="1" x14ac:dyDescent="0.3">
      <c r="A1317" t="s">
        <v>374</v>
      </c>
      <c r="B1317" t="s">
        <v>51</v>
      </c>
      <c r="C1317" t="s">
        <v>37</v>
      </c>
      <c r="D1317" t="s">
        <v>121</v>
      </c>
      <c r="E1317">
        <v>2014</v>
      </c>
      <c r="F1317" t="s">
        <v>31</v>
      </c>
      <c r="G1317" t="s">
        <v>31</v>
      </c>
      <c r="H1317" t="s">
        <v>2719</v>
      </c>
      <c r="I1317" t="s">
        <v>90</v>
      </c>
      <c r="J1317" t="s">
        <v>3000</v>
      </c>
      <c r="K1317" t="s">
        <v>2725</v>
      </c>
      <c r="L1317" t="s">
        <v>54</v>
      </c>
      <c r="M1317" t="s">
        <v>27</v>
      </c>
      <c r="N1317" t="s">
        <v>27</v>
      </c>
      <c r="O1317" t="s">
        <v>27</v>
      </c>
      <c r="P1317" t="s">
        <v>31</v>
      </c>
      <c r="Q1317" t="s">
        <v>31</v>
      </c>
      <c r="R1317" t="s">
        <v>31</v>
      </c>
      <c r="S1317" t="s">
        <v>31</v>
      </c>
      <c r="T1317" t="s">
        <v>31</v>
      </c>
    </row>
    <row r="1318" spans="1:20" hidden="1" x14ac:dyDescent="0.3">
      <c r="A1318" t="s">
        <v>376</v>
      </c>
      <c r="B1318" t="s">
        <v>51</v>
      </c>
      <c r="C1318" t="s">
        <v>37</v>
      </c>
      <c r="D1318" t="s">
        <v>121</v>
      </c>
      <c r="E1318">
        <v>2014</v>
      </c>
      <c r="F1318" t="s">
        <v>31</v>
      </c>
      <c r="G1318" t="s">
        <v>31</v>
      </c>
      <c r="H1318" t="s">
        <v>2647</v>
      </c>
      <c r="I1318" t="s">
        <v>47</v>
      </c>
      <c r="J1318" t="s">
        <v>4429</v>
      </c>
      <c r="K1318" t="s">
        <v>4430</v>
      </c>
      <c r="L1318" t="s">
        <v>31</v>
      </c>
      <c r="M1318" t="s">
        <v>27</v>
      </c>
      <c r="N1318" t="s">
        <v>27</v>
      </c>
      <c r="O1318" t="s">
        <v>27</v>
      </c>
      <c r="P1318" t="s">
        <v>31</v>
      </c>
      <c r="Q1318" t="s">
        <v>31</v>
      </c>
      <c r="R1318" t="s">
        <v>31</v>
      </c>
      <c r="S1318" t="s">
        <v>31</v>
      </c>
      <c r="T1318" t="s">
        <v>31</v>
      </c>
    </row>
    <row r="1319" spans="1:20" hidden="1" x14ac:dyDescent="0.3">
      <c r="A1319" t="s">
        <v>378</v>
      </c>
      <c r="B1319" t="s">
        <v>28</v>
      </c>
      <c r="C1319" t="s">
        <v>29</v>
      </c>
      <c r="D1319" t="s">
        <v>99</v>
      </c>
      <c r="E1319">
        <v>2014</v>
      </c>
      <c r="F1319" t="s">
        <v>31</v>
      </c>
      <c r="G1319" t="s">
        <v>31</v>
      </c>
      <c r="H1319" t="s">
        <v>2647</v>
      </c>
      <c r="I1319" t="s">
        <v>47</v>
      </c>
      <c r="J1319" t="s">
        <v>4431</v>
      </c>
      <c r="K1319" t="s">
        <v>31</v>
      </c>
      <c r="L1319" t="s">
        <v>31</v>
      </c>
      <c r="M1319" t="s">
        <v>27</v>
      </c>
      <c r="N1319" t="s">
        <v>27</v>
      </c>
      <c r="O1319" t="s">
        <v>27</v>
      </c>
      <c r="P1319" t="s">
        <v>31</v>
      </c>
      <c r="Q1319" t="s">
        <v>31</v>
      </c>
      <c r="R1319" t="s">
        <v>31</v>
      </c>
      <c r="S1319" t="s">
        <v>31</v>
      </c>
      <c r="T1319" t="s">
        <v>31</v>
      </c>
    </row>
    <row r="1320" spans="1:20" hidden="1" x14ac:dyDescent="0.3">
      <c r="A1320" t="s">
        <v>381</v>
      </c>
      <c r="B1320" t="s">
        <v>28</v>
      </c>
      <c r="C1320" t="s">
        <v>29</v>
      </c>
      <c r="D1320" t="s">
        <v>30</v>
      </c>
      <c r="E1320">
        <v>2014</v>
      </c>
      <c r="F1320">
        <v>2500000</v>
      </c>
      <c r="G1320" t="s">
        <v>31</v>
      </c>
      <c r="H1320" t="s">
        <v>2672</v>
      </c>
      <c r="I1320" t="s">
        <v>73</v>
      </c>
      <c r="J1320" t="s">
        <v>4432</v>
      </c>
      <c r="K1320" t="s">
        <v>31</v>
      </c>
      <c r="L1320" t="s">
        <v>382</v>
      </c>
      <c r="M1320" t="s">
        <v>27</v>
      </c>
      <c r="N1320" t="s">
        <v>27</v>
      </c>
      <c r="O1320" t="s">
        <v>27</v>
      </c>
      <c r="P1320" t="s">
        <v>31</v>
      </c>
      <c r="Q1320">
        <v>205</v>
      </c>
      <c r="R1320" t="s">
        <v>31</v>
      </c>
      <c r="S1320" t="s">
        <v>31</v>
      </c>
      <c r="T1320" t="s">
        <v>31</v>
      </c>
    </row>
    <row r="1321" spans="1:20" hidden="1" x14ac:dyDescent="0.3">
      <c r="A1321" t="s">
        <v>384</v>
      </c>
      <c r="B1321" t="s">
        <v>28</v>
      </c>
      <c r="C1321" t="s">
        <v>29</v>
      </c>
      <c r="D1321" t="s">
        <v>30</v>
      </c>
      <c r="E1321">
        <v>2014</v>
      </c>
      <c r="F1321">
        <v>14000</v>
      </c>
      <c r="G1321" t="s">
        <v>31</v>
      </c>
      <c r="H1321" t="s">
        <v>2672</v>
      </c>
      <c r="I1321" t="s">
        <v>73</v>
      </c>
      <c r="J1321" t="s">
        <v>4433</v>
      </c>
      <c r="K1321" t="s">
        <v>31</v>
      </c>
      <c r="L1321" t="s">
        <v>37</v>
      </c>
      <c r="M1321" t="s">
        <v>27</v>
      </c>
      <c r="N1321" t="s">
        <v>27</v>
      </c>
      <c r="O1321" t="s">
        <v>33</v>
      </c>
      <c r="P1321" t="s">
        <v>31</v>
      </c>
      <c r="Q1321">
        <v>220</v>
      </c>
      <c r="R1321" t="s">
        <v>31</v>
      </c>
      <c r="S1321" t="s">
        <v>31</v>
      </c>
      <c r="T1321" t="s">
        <v>31</v>
      </c>
    </row>
    <row r="1322" spans="1:20" hidden="1" x14ac:dyDescent="0.3">
      <c r="A1322" t="s">
        <v>385</v>
      </c>
      <c r="B1322" t="s">
        <v>51</v>
      </c>
      <c r="C1322" t="s">
        <v>37</v>
      </c>
      <c r="D1322" t="s">
        <v>56</v>
      </c>
      <c r="E1322">
        <v>2014</v>
      </c>
      <c r="F1322">
        <v>129000</v>
      </c>
      <c r="G1322" t="s">
        <v>31</v>
      </c>
      <c r="H1322" t="s">
        <v>2739</v>
      </c>
      <c r="I1322" t="s">
        <v>77</v>
      </c>
      <c r="J1322" t="s">
        <v>4434</v>
      </c>
      <c r="K1322" t="s">
        <v>31</v>
      </c>
      <c r="L1322" t="s">
        <v>302</v>
      </c>
      <c r="M1322" t="s">
        <v>27</v>
      </c>
      <c r="N1322" t="s">
        <v>27</v>
      </c>
      <c r="O1322" t="s">
        <v>27</v>
      </c>
      <c r="P1322" t="s">
        <v>31</v>
      </c>
      <c r="Q1322" t="s">
        <v>31</v>
      </c>
      <c r="R1322" t="s">
        <v>31</v>
      </c>
      <c r="S1322" t="s">
        <v>31</v>
      </c>
      <c r="T1322" t="s">
        <v>31</v>
      </c>
    </row>
    <row r="1323" spans="1:20" hidden="1" x14ac:dyDescent="0.3">
      <c r="A1323" t="s">
        <v>387</v>
      </c>
      <c r="B1323" t="s">
        <v>91</v>
      </c>
      <c r="C1323" t="s">
        <v>92</v>
      </c>
      <c r="D1323" t="s">
        <v>93</v>
      </c>
      <c r="E1323">
        <v>2014</v>
      </c>
      <c r="F1323">
        <v>700000</v>
      </c>
      <c r="G1323" t="s">
        <v>4435</v>
      </c>
      <c r="H1323" t="s">
        <v>2645</v>
      </c>
      <c r="I1323" t="s">
        <v>34</v>
      </c>
      <c r="J1323" t="s">
        <v>4436</v>
      </c>
      <c r="K1323" t="s">
        <v>31</v>
      </c>
      <c r="L1323" t="s">
        <v>388</v>
      </c>
      <c r="M1323" t="s">
        <v>27</v>
      </c>
      <c r="N1323" t="s">
        <v>27</v>
      </c>
      <c r="O1323" t="s">
        <v>27</v>
      </c>
      <c r="P1323" t="s">
        <v>31</v>
      </c>
      <c r="Q1323">
        <v>6.02</v>
      </c>
      <c r="R1323">
        <v>38.215166699999997</v>
      </c>
      <c r="S1323">
        <v>-122.31233330000001</v>
      </c>
      <c r="T1323" t="s">
        <v>31</v>
      </c>
    </row>
    <row r="1324" spans="1:20" hidden="1" x14ac:dyDescent="0.3">
      <c r="A1324" t="s">
        <v>389</v>
      </c>
      <c r="B1324" t="s">
        <v>51</v>
      </c>
      <c r="C1324" t="s">
        <v>37</v>
      </c>
      <c r="D1324" t="s">
        <v>121</v>
      </c>
      <c r="E1324">
        <v>2014</v>
      </c>
      <c r="F1324">
        <v>1600000</v>
      </c>
      <c r="G1324" t="s">
        <v>31</v>
      </c>
      <c r="H1324" t="s">
        <v>2645</v>
      </c>
      <c r="I1324" t="s">
        <v>34</v>
      </c>
      <c r="J1324" t="s">
        <v>4437</v>
      </c>
      <c r="K1324" t="s">
        <v>4438</v>
      </c>
      <c r="L1324" t="s">
        <v>31</v>
      </c>
      <c r="M1324" t="s">
        <v>27</v>
      </c>
      <c r="N1324" t="s">
        <v>27</v>
      </c>
      <c r="O1324" t="s">
        <v>27</v>
      </c>
      <c r="P1324" t="s">
        <v>31</v>
      </c>
      <c r="Q1324" t="s">
        <v>31</v>
      </c>
      <c r="R1324" t="s">
        <v>31</v>
      </c>
      <c r="S1324" t="s">
        <v>31</v>
      </c>
      <c r="T1324" t="s">
        <v>31</v>
      </c>
    </row>
    <row r="1325" spans="1:20" hidden="1" x14ac:dyDescent="0.3">
      <c r="A1325" t="s">
        <v>391</v>
      </c>
      <c r="B1325" t="s">
        <v>91</v>
      </c>
      <c r="C1325" t="s">
        <v>92</v>
      </c>
      <c r="D1325" t="s">
        <v>93</v>
      </c>
      <c r="E1325">
        <v>2014</v>
      </c>
      <c r="F1325" t="s">
        <v>31</v>
      </c>
      <c r="G1325" t="s">
        <v>4439</v>
      </c>
      <c r="H1325" t="s">
        <v>2672</v>
      </c>
      <c r="I1325" t="s">
        <v>73</v>
      </c>
      <c r="J1325" t="s">
        <v>4440</v>
      </c>
      <c r="K1325" t="s">
        <v>31</v>
      </c>
      <c r="L1325" t="s">
        <v>31</v>
      </c>
      <c r="M1325" t="s">
        <v>27</v>
      </c>
      <c r="N1325" t="s">
        <v>27</v>
      </c>
      <c r="O1325" t="s">
        <v>27</v>
      </c>
      <c r="P1325" t="s">
        <v>31</v>
      </c>
      <c r="Q1325">
        <v>6.9</v>
      </c>
      <c r="R1325">
        <v>14.724</v>
      </c>
      <c r="S1325">
        <v>-92.461399999999998</v>
      </c>
      <c r="T1325" t="s">
        <v>31</v>
      </c>
    </row>
    <row r="1326" spans="1:20" hidden="1" x14ac:dyDescent="0.3">
      <c r="A1326" t="s">
        <v>395</v>
      </c>
      <c r="B1326" t="s">
        <v>28</v>
      </c>
      <c r="C1326" t="s">
        <v>29</v>
      </c>
      <c r="D1326" t="s">
        <v>99</v>
      </c>
      <c r="E1326">
        <v>2014</v>
      </c>
      <c r="F1326">
        <v>3900000</v>
      </c>
      <c r="G1326" t="s">
        <v>4441</v>
      </c>
      <c r="H1326" t="s">
        <v>2645</v>
      </c>
      <c r="I1326" t="s">
        <v>34</v>
      </c>
      <c r="J1326" t="s">
        <v>4442</v>
      </c>
      <c r="K1326" t="s">
        <v>31</v>
      </c>
      <c r="L1326" t="s">
        <v>65</v>
      </c>
      <c r="M1326" t="s">
        <v>27</v>
      </c>
      <c r="N1326" t="s">
        <v>27</v>
      </c>
      <c r="O1326" t="s">
        <v>27</v>
      </c>
      <c r="P1326" t="s">
        <v>31</v>
      </c>
      <c r="Q1326">
        <v>110</v>
      </c>
      <c r="R1326" t="s">
        <v>31</v>
      </c>
      <c r="S1326" t="s">
        <v>31</v>
      </c>
      <c r="T1326" t="s">
        <v>31</v>
      </c>
    </row>
    <row r="1327" spans="1:20" hidden="1" x14ac:dyDescent="0.3">
      <c r="A1327" t="s">
        <v>396</v>
      </c>
      <c r="B1327" t="s">
        <v>28</v>
      </c>
      <c r="C1327" t="s">
        <v>29</v>
      </c>
      <c r="D1327" t="s">
        <v>30</v>
      </c>
      <c r="E1327">
        <v>2014</v>
      </c>
      <c r="F1327" t="s">
        <v>31</v>
      </c>
      <c r="G1327" t="s">
        <v>31</v>
      </c>
      <c r="H1327" t="s">
        <v>2672</v>
      </c>
      <c r="I1327" t="s">
        <v>73</v>
      </c>
      <c r="J1327" t="s">
        <v>3297</v>
      </c>
      <c r="K1327" t="s">
        <v>31</v>
      </c>
      <c r="L1327" t="s">
        <v>82</v>
      </c>
      <c r="M1327" t="s">
        <v>27</v>
      </c>
      <c r="N1327" t="s">
        <v>27</v>
      </c>
      <c r="O1327" t="s">
        <v>27</v>
      </c>
      <c r="P1327" t="s">
        <v>31</v>
      </c>
      <c r="Q1327">
        <v>40</v>
      </c>
      <c r="R1327" t="s">
        <v>31</v>
      </c>
      <c r="S1327" t="s">
        <v>31</v>
      </c>
      <c r="T1327" t="s">
        <v>31</v>
      </c>
    </row>
    <row r="1328" spans="1:20" hidden="1" x14ac:dyDescent="0.3">
      <c r="A1328" t="s">
        <v>397</v>
      </c>
      <c r="B1328" t="s">
        <v>51</v>
      </c>
      <c r="C1328" t="s">
        <v>37</v>
      </c>
      <c r="D1328" t="s">
        <v>121</v>
      </c>
      <c r="E1328">
        <v>2014</v>
      </c>
      <c r="F1328" t="s">
        <v>31</v>
      </c>
      <c r="G1328" t="s">
        <v>4443</v>
      </c>
      <c r="H1328" t="s">
        <v>2769</v>
      </c>
      <c r="I1328" t="s">
        <v>117</v>
      </c>
      <c r="J1328" t="s">
        <v>4444</v>
      </c>
      <c r="K1328" t="s">
        <v>2649</v>
      </c>
      <c r="L1328" t="s">
        <v>31</v>
      </c>
      <c r="M1328" t="s">
        <v>27</v>
      </c>
      <c r="N1328" t="s">
        <v>27</v>
      </c>
      <c r="O1328" t="s">
        <v>27</v>
      </c>
      <c r="P1328" t="s">
        <v>31</v>
      </c>
      <c r="Q1328">
        <v>6829.57</v>
      </c>
      <c r="R1328">
        <v>-25.220500000000001</v>
      </c>
      <c r="S1328">
        <v>-57.58</v>
      </c>
      <c r="T1328" t="s">
        <v>31</v>
      </c>
    </row>
    <row r="1329" spans="1:20" hidden="1" x14ac:dyDescent="0.3">
      <c r="A1329" t="s">
        <v>398</v>
      </c>
      <c r="B1329" t="s">
        <v>51</v>
      </c>
      <c r="C1329" t="s">
        <v>37</v>
      </c>
      <c r="D1329" t="s">
        <v>121</v>
      </c>
      <c r="E1329">
        <v>2014</v>
      </c>
      <c r="F1329" t="s">
        <v>31</v>
      </c>
      <c r="G1329" t="s">
        <v>31</v>
      </c>
      <c r="H1329" t="s">
        <v>2658</v>
      </c>
      <c r="I1329" t="s">
        <v>130</v>
      </c>
      <c r="J1329" t="s">
        <v>4445</v>
      </c>
      <c r="K1329" t="s">
        <v>2649</v>
      </c>
      <c r="L1329" t="s">
        <v>31</v>
      </c>
      <c r="M1329" t="s">
        <v>27</v>
      </c>
      <c r="N1329" t="s">
        <v>27</v>
      </c>
      <c r="O1329" t="s">
        <v>27</v>
      </c>
      <c r="P1329" t="s">
        <v>31</v>
      </c>
      <c r="Q1329">
        <v>69876.78</v>
      </c>
      <c r="R1329">
        <v>-38.365200000000002</v>
      </c>
      <c r="S1329">
        <v>-70.3</v>
      </c>
      <c r="T1329" t="s">
        <v>31</v>
      </c>
    </row>
    <row r="1330" spans="1:20" hidden="1" x14ac:dyDescent="0.3">
      <c r="A1330" t="s">
        <v>399</v>
      </c>
      <c r="B1330" t="s">
        <v>51</v>
      </c>
      <c r="C1330" t="s">
        <v>2655</v>
      </c>
      <c r="D1330" t="s">
        <v>134</v>
      </c>
      <c r="E1330">
        <v>2014</v>
      </c>
      <c r="F1330">
        <v>20000</v>
      </c>
      <c r="G1330" t="s">
        <v>4446</v>
      </c>
      <c r="H1330" t="s">
        <v>2645</v>
      </c>
      <c r="I1330" t="s">
        <v>34</v>
      </c>
      <c r="J1330" t="s">
        <v>4447</v>
      </c>
      <c r="K1330" t="s">
        <v>4448</v>
      </c>
      <c r="L1330" t="s">
        <v>31</v>
      </c>
      <c r="M1330" t="s">
        <v>27</v>
      </c>
      <c r="N1330" t="s">
        <v>27</v>
      </c>
      <c r="O1330" t="s">
        <v>27</v>
      </c>
      <c r="P1330" t="s">
        <v>31</v>
      </c>
      <c r="Q1330" t="s">
        <v>31</v>
      </c>
      <c r="R1330" t="s">
        <v>31</v>
      </c>
      <c r="S1330" t="s">
        <v>31</v>
      </c>
      <c r="T1330" t="s">
        <v>31</v>
      </c>
    </row>
    <row r="1331" spans="1:20" hidden="1" x14ac:dyDescent="0.3">
      <c r="A1331" t="s">
        <v>1146</v>
      </c>
      <c r="B1331" t="s">
        <v>51</v>
      </c>
      <c r="C1331" t="s">
        <v>2655</v>
      </c>
      <c r="D1331" t="s">
        <v>134</v>
      </c>
      <c r="E1331">
        <v>2014</v>
      </c>
      <c r="F1331" t="s">
        <v>31</v>
      </c>
      <c r="G1331" t="s">
        <v>31</v>
      </c>
      <c r="H1331" t="s">
        <v>2658</v>
      </c>
      <c r="I1331" t="s">
        <v>130</v>
      </c>
      <c r="J1331" t="s">
        <v>4449</v>
      </c>
      <c r="K1331" t="s">
        <v>31</v>
      </c>
      <c r="L1331" t="s">
        <v>31</v>
      </c>
      <c r="M1331" t="s">
        <v>27</v>
      </c>
      <c r="N1331" t="s">
        <v>27</v>
      </c>
      <c r="O1331" t="s">
        <v>27</v>
      </c>
      <c r="P1331" t="s">
        <v>31</v>
      </c>
      <c r="Q1331" t="s">
        <v>31</v>
      </c>
      <c r="R1331" t="s">
        <v>31</v>
      </c>
      <c r="S1331" t="s">
        <v>31</v>
      </c>
      <c r="T1331" t="s">
        <v>4450</v>
      </c>
    </row>
    <row r="1332" spans="1:20" hidden="1" x14ac:dyDescent="0.3">
      <c r="A1332" t="s">
        <v>1147</v>
      </c>
      <c r="B1332" t="s">
        <v>28</v>
      </c>
      <c r="C1332" t="s">
        <v>29</v>
      </c>
      <c r="D1332" t="s">
        <v>67</v>
      </c>
      <c r="E1332">
        <v>2014</v>
      </c>
      <c r="F1332">
        <v>250000</v>
      </c>
      <c r="G1332" t="s">
        <v>31</v>
      </c>
      <c r="H1332" t="s">
        <v>2645</v>
      </c>
      <c r="I1332" t="s">
        <v>34</v>
      </c>
      <c r="J1332" t="s">
        <v>4451</v>
      </c>
      <c r="K1332" t="s">
        <v>31</v>
      </c>
      <c r="L1332" t="s">
        <v>31</v>
      </c>
      <c r="M1332" t="s">
        <v>27</v>
      </c>
      <c r="N1332" t="s">
        <v>27</v>
      </c>
      <c r="O1332" t="s">
        <v>33</v>
      </c>
      <c r="P1332" t="s">
        <v>31</v>
      </c>
      <c r="Q1332" t="s">
        <v>31</v>
      </c>
      <c r="R1332" t="s">
        <v>31</v>
      </c>
      <c r="S1332" t="s">
        <v>31</v>
      </c>
      <c r="T1332" t="s">
        <v>31</v>
      </c>
    </row>
    <row r="1333" spans="1:20" hidden="1" x14ac:dyDescent="0.3">
      <c r="A1333" t="s">
        <v>1148</v>
      </c>
      <c r="B1333" t="s">
        <v>91</v>
      </c>
      <c r="C1333" t="s">
        <v>92</v>
      </c>
      <c r="D1333" t="s">
        <v>93</v>
      </c>
      <c r="E1333">
        <v>2014</v>
      </c>
      <c r="F1333" t="s">
        <v>31</v>
      </c>
      <c r="G1333" t="s">
        <v>4452</v>
      </c>
      <c r="H1333" t="s">
        <v>2678</v>
      </c>
      <c r="I1333" t="s">
        <v>53</v>
      </c>
      <c r="J1333" t="s">
        <v>4453</v>
      </c>
      <c r="K1333" t="s">
        <v>31</v>
      </c>
      <c r="L1333" t="s">
        <v>31</v>
      </c>
      <c r="M1333" t="s">
        <v>27</v>
      </c>
      <c r="N1333" t="s">
        <v>27</v>
      </c>
      <c r="O1333" t="s">
        <v>27</v>
      </c>
      <c r="P1333" t="s">
        <v>31</v>
      </c>
      <c r="Q1333">
        <v>4.9000000000000004</v>
      </c>
      <c r="R1333">
        <v>-13.843</v>
      </c>
      <c r="S1333">
        <v>-71.694999999999993</v>
      </c>
      <c r="T1333" t="s">
        <v>31</v>
      </c>
    </row>
    <row r="1334" spans="1:20" hidden="1" x14ac:dyDescent="0.3">
      <c r="A1334" t="s">
        <v>1149</v>
      </c>
      <c r="B1334" t="s">
        <v>91</v>
      </c>
      <c r="C1334" t="s">
        <v>92</v>
      </c>
      <c r="D1334" t="s">
        <v>93</v>
      </c>
      <c r="E1334">
        <v>2014</v>
      </c>
      <c r="F1334">
        <v>100000</v>
      </c>
      <c r="G1334" t="s">
        <v>4454</v>
      </c>
      <c r="H1334" t="s">
        <v>2701</v>
      </c>
      <c r="I1334" t="s">
        <v>60</v>
      </c>
      <c r="J1334" t="s">
        <v>4455</v>
      </c>
      <c r="K1334" t="s">
        <v>31</v>
      </c>
      <c r="L1334" t="s">
        <v>54</v>
      </c>
      <c r="M1334" t="s">
        <v>27</v>
      </c>
      <c r="N1334" t="s">
        <v>27</v>
      </c>
      <c r="O1334" t="s">
        <v>33</v>
      </c>
      <c r="P1334" t="s">
        <v>31</v>
      </c>
      <c r="Q1334">
        <v>8.1999999999999993</v>
      </c>
      <c r="R1334">
        <v>-19.61</v>
      </c>
      <c r="S1334">
        <v>-70.769000000000005</v>
      </c>
      <c r="T1334" t="s">
        <v>31</v>
      </c>
    </row>
    <row r="1335" spans="1:20" hidden="1" x14ac:dyDescent="0.3">
      <c r="A1335" t="s">
        <v>1150</v>
      </c>
      <c r="B1335" t="s">
        <v>91</v>
      </c>
      <c r="C1335" t="s">
        <v>92</v>
      </c>
      <c r="D1335" t="s">
        <v>93</v>
      </c>
      <c r="E1335">
        <v>2014</v>
      </c>
      <c r="F1335">
        <v>3000</v>
      </c>
      <c r="G1335" t="s">
        <v>4456</v>
      </c>
      <c r="H1335" t="s">
        <v>2675</v>
      </c>
      <c r="I1335" t="s">
        <v>81</v>
      </c>
      <c r="J1335" t="s">
        <v>3026</v>
      </c>
      <c r="K1335" t="s">
        <v>31</v>
      </c>
      <c r="L1335" t="s">
        <v>31</v>
      </c>
      <c r="M1335" t="s">
        <v>27</v>
      </c>
      <c r="N1335" t="s">
        <v>27</v>
      </c>
      <c r="O1335" t="s">
        <v>27</v>
      </c>
      <c r="P1335" t="s">
        <v>31</v>
      </c>
      <c r="Q1335">
        <v>6.6</v>
      </c>
      <c r="R1335">
        <v>11.641999999999999</v>
      </c>
      <c r="S1335">
        <v>-85.877899999999997</v>
      </c>
      <c r="T1335" t="s">
        <v>31</v>
      </c>
    </row>
    <row r="1336" spans="1:20" hidden="1" x14ac:dyDescent="0.3">
      <c r="A1336" t="s">
        <v>1151</v>
      </c>
      <c r="B1336" t="s">
        <v>28</v>
      </c>
      <c r="C1336" t="s">
        <v>29</v>
      </c>
      <c r="D1336" t="s">
        <v>64</v>
      </c>
      <c r="E1336">
        <v>2014</v>
      </c>
      <c r="F1336">
        <v>2000000</v>
      </c>
      <c r="G1336" t="s">
        <v>4457</v>
      </c>
      <c r="H1336" t="s">
        <v>2645</v>
      </c>
      <c r="I1336" t="s">
        <v>34</v>
      </c>
      <c r="J1336" t="s">
        <v>4458</v>
      </c>
      <c r="K1336" t="s">
        <v>31</v>
      </c>
      <c r="L1336" t="s">
        <v>100</v>
      </c>
      <c r="M1336" t="s">
        <v>27</v>
      </c>
      <c r="N1336" t="s">
        <v>27</v>
      </c>
      <c r="O1336" t="s">
        <v>27</v>
      </c>
      <c r="P1336" t="s">
        <v>31</v>
      </c>
      <c r="Q1336" t="s">
        <v>31</v>
      </c>
      <c r="R1336" t="s">
        <v>31</v>
      </c>
      <c r="S1336" t="s">
        <v>31</v>
      </c>
      <c r="T1336" t="s">
        <v>31</v>
      </c>
    </row>
    <row r="1337" spans="1:20" hidden="1" x14ac:dyDescent="0.3">
      <c r="A1337" t="s">
        <v>1152</v>
      </c>
      <c r="B1337" t="s">
        <v>91</v>
      </c>
      <c r="C1337" t="s">
        <v>92</v>
      </c>
      <c r="D1337" t="s">
        <v>93</v>
      </c>
      <c r="E1337">
        <v>2014</v>
      </c>
      <c r="F1337" t="s">
        <v>31</v>
      </c>
      <c r="G1337" t="s">
        <v>4459</v>
      </c>
      <c r="H1337" t="s">
        <v>2672</v>
      </c>
      <c r="I1337" t="s">
        <v>73</v>
      </c>
      <c r="J1337" t="s">
        <v>4460</v>
      </c>
      <c r="K1337" t="s">
        <v>31</v>
      </c>
      <c r="L1337" t="s">
        <v>31</v>
      </c>
      <c r="M1337" t="s">
        <v>27</v>
      </c>
      <c r="N1337" t="s">
        <v>27</v>
      </c>
      <c r="O1337" t="s">
        <v>27</v>
      </c>
      <c r="P1337" t="s">
        <v>31</v>
      </c>
      <c r="Q1337">
        <v>7.2</v>
      </c>
      <c r="R1337">
        <v>17.396999999999998</v>
      </c>
      <c r="S1337">
        <v>-100.9723</v>
      </c>
      <c r="T1337" t="s">
        <v>31</v>
      </c>
    </row>
    <row r="1338" spans="1:20" hidden="1" x14ac:dyDescent="0.3">
      <c r="A1338" t="s">
        <v>1153</v>
      </c>
      <c r="B1338" t="s">
        <v>91</v>
      </c>
      <c r="C1338" t="s">
        <v>92</v>
      </c>
      <c r="D1338" t="s">
        <v>93</v>
      </c>
      <c r="E1338">
        <v>2014</v>
      </c>
      <c r="F1338" t="s">
        <v>31</v>
      </c>
      <c r="G1338" t="s">
        <v>4439</v>
      </c>
      <c r="H1338" t="s">
        <v>2719</v>
      </c>
      <c r="I1338" t="s">
        <v>90</v>
      </c>
      <c r="J1338" t="s">
        <v>4461</v>
      </c>
      <c r="K1338" t="s">
        <v>31</v>
      </c>
      <c r="L1338" t="s">
        <v>31</v>
      </c>
      <c r="M1338" t="s">
        <v>27</v>
      </c>
      <c r="N1338" t="s">
        <v>27</v>
      </c>
      <c r="O1338" t="s">
        <v>33</v>
      </c>
      <c r="P1338" t="s">
        <v>31</v>
      </c>
      <c r="Q1338">
        <v>6.9</v>
      </c>
      <c r="R1338">
        <v>14.724</v>
      </c>
      <c r="S1338">
        <v>-92.461399999999998</v>
      </c>
      <c r="T1338" t="s">
        <v>31</v>
      </c>
    </row>
    <row r="1339" spans="1:20" hidden="1" x14ac:dyDescent="0.3">
      <c r="A1339" t="s">
        <v>1154</v>
      </c>
      <c r="B1339" t="s">
        <v>51</v>
      </c>
      <c r="C1339" t="s">
        <v>37</v>
      </c>
      <c r="D1339" t="s">
        <v>56</v>
      </c>
      <c r="E1339">
        <v>2014</v>
      </c>
      <c r="F1339" t="s">
        <v>31</v>
      </c>
      <c r="G1339" t="s">
        <v>31</v>
      </c>
      <c r="H1339" t="s">
        <v>2656</v>
      </c>
      <c r="I1339" t="s">
        <v>119</v>
      </c>
      <c r="J1339" t="s">
        <v>2588</v>
      </c>
      <c r="K1339" t="s">
        <v>2649</v>
      </c>
      <c r="L1339" t="s">
        <v>31</v>
      </c>
      <c r="M1339" t="s">
        <v>27</v>
      </c>
      <c r="N1339" t="s">
        <v>27</v>
      </c>
      <c r="O1339" t="s">
        <v>27</v>
      </c>
      <c r="P1339" t="s">
        <v>31</v>
      </c>
      <c r="Q1339" t="s">
        <v>31</v>
      </c>
      <c r="R1339" t="s">
        <v>31</v>
      </c>
      <c r="S1339" t="s">
        <v>31</v>
      </c>
      <c r="T1339" t="s">
        <v>4462</v>
      </c>
    </row>
    <row r="1340" spans="1:20" hidden="1" x14ac:dyDescent="0.3">
      <c r="A1340" t="s">
        <v>1155</v>
      </c>
      <c r="B1340" t="s">
        <v>51</v>
      </c>
      <c r="C1340" t="s">
        <v>37</v>
      </c>
      <c r="D1340" t="s">
        <v>121</v>
      </c>
      <c r="E1340">
        <v>2014</v>
      </c>
      <c r="F1340" t="s">
        <v>31</v>
      </c>
      <c r="G1340" t="s">
        <v>31</v>
      </c>
      <c r="H1340" t="s">
        <v>2647</v>
      </c>
      <c r="I1340" t="s">
        <v>47</v>
      </c>
      <c r="J1340" t="s">
        <v>4463</v>
      </c>
      <c r="K1340" t="s">
        <v>31</v>
      </c>
      <c r="L1340" t="s">
        <v>31</v>
      </c>
      <c r="M1340" t="s">
        <v>27</v>
      </c>
      <c r="N1340" t="s">
        <v>27</v>
      </c>
      <c r="O1340" t="s">
        <v>27</v>
      </c>
      <c r="P1340" t="s">
        <v>31</v>
      </c>
      <c r="Q1340" t="s">
        <v>31</v>
      </c>
      <c r="R1340" t="s">
        <v>31</v>
      </c>
      <c r="S1340" t="s">
        <v>31</v>
      </c>
      <c r="T1340" t="s">
        <v>31</v>
      </c>
    </row>
    <row r="1341" spans="1:20" hidden="1" x14ac:dyDescent="0.3">
      <c r="A1341" t="s">
        <v>1156</v>
      </c>
      <c r="B1341" t="s">
        <v>51</v>
      </c>
      <c r="C1341" t="s">
        <v>37</v>
      </c>
      <c r="D1341" t="s">
        <v>52</v>
      </c>
      <c r="E1341">
        <v>2014</v>
      </c>
      <c r="F1341" t="s">
        <v>31</v>
      </c>
      <c r="G1341" t="s">
        <v>31</v>
      </c>
      <c r="H1341" t="s">
        <v>2658</v>
      </c>
      <c r="I1341" t="s">
        <v>130</v>
      </c>
      <c r="J1341" t="s">
        <v>2684</v>
      </c>
      <c r="K1341" t="s">
        <v>3063</v>
      </c>
      <c r="L1341" t="s">
        <v>31</v>
      </c>
      <c r="M1341" t="s">
        <v>27</v>
      </c>
      <c r="N1341" t="s">
        <v>27</v>
      </c>
      <c r="O1341" t="s">
        <v>27</v>
      </c>
      <c r="P1341" t="s">
        <v>31</v>
      </c>
      <c r="Q1341" t="s">
        <v>31</v>
      </c>
      <c r="R1341" t="s">
        <v>31</v>
      </c>
      <c r="S1341" t="s">
        <v>31</v>
      </c>
      <c r="T1341" t="s">
        <v>31</v>
      </c>
    </row>
    <row r="1342" spans="1:20" hidden="1" x14ac:dyDescent="0.3">
      <c r="A1342" t="s">
        <v>1157</v>
      </c>
      <c r="B1342" t="s">
        <v>51</v>
      </c>
      <c r="C1342" t="s">
        <v>37</v>
      </c>
      <c r="D1342" t="s">
        <v>121</v>
      </c>
      <c r="E1342">
        <v>2014</v>
      </c>
      <c r="F1342">
        <v>1400</v>
      </c>
      <c r="G1342" t="s">
        <v>31</v>
      </c>
      <c r="H1342" t="s">
        <v>2753</v>
      </c>
      <c r="I1342" t="s">
        <v>49</v>
      </c>
      <c r="J1342" t="s">
        <v>3367</v>
      </c>
      <c r="K1342" t="s">
        <v>3054</v>
      </c>
      <c r="L1342" t="s">
        <v>54</v>
      </c>
      <c r="M1342" t="s">
        <v>27</v>
      </c>
      <c r="N1342" t="s">
        <v>27</v>
      </c>
      <c r="O1342" t="s">
        <v>27</v>
      </c>
      <c r="P1342" t="s">
        <v>31</v>
      </c>
      <c r="Q1342" t="s">
        <v>31</v>
      </c>
      <c r="R1342" t="s">
        <v>31</v>
      </c>
      <c r="S1342" t="s">
        <v>31</v>
      </c>
      <c r="T1342" t="s">
        <v>31</v>
      </c>
    </row>
    <row r="1343" spans="1:20" hidden="1" x14ac:dyDescent="0.3">
      <c r="A1343" t="s">
        <v>1158</v>
      </c>
      <c r="B1343" t="s">
        <v>51</v>
      </c>
      <c r="C1343" t="s">
        <v>37</v>
      </c>
      <c r="D1343" t="s">
        <v>121</v>
      </c>
      <c r="E1343">
        <v>2014</v>
      </c>
      <c r="F1343" t="s">
        <v>31</v>
      </c>
      <c r="G1343" t="s">
        <v>31</v>
      </c>
      <c r="H1343" t="s">
        <v>2675</v>
      </c>
      <c r="I1343" t="s">
        <v>81</v>
      </c>
      <c r="J1343" t="s">
        <v>2918</v>
      </c>
      <c r="K1343" t="s">
        <v>3054</v>
      </c>
      <c r="L1343" t="s">
        <v>54</v>
      </c>
      <c r="M1343" t="s">
        <v>27</v>
      </c>
      <c r="N1343" t="s">
        <v>27</v>
      </c>
      <c r="O1343" t="s">
        <v>27</v>
      </c>
      <c r="P1343" t="s">
        <v>31</v>
      </c>
      <c r="Q1343" t="s">
        <v>31</v>
      </c>
      <c r="R1343" t="s">
        <v>31</v>
      </c>
      <c r="S1343" t="s">
        <v>31</v>
      </c>
      <c r="T1343" t="s">
        <v>31</v>
      </c>
    </row>
    <row r="1344" spans="1:20" hidden="1" x14ac:dyDescent="0.3">
      <c r="A1344" t="s">
        <v>1159</v>
      </c>
      <c r="B1344" t="s">
        <v>51</v>
      </c>
      <c r="C1344" t="s">
        <v>37</v>
      </c>
      <c r="D1344" t="s">
        <v>56</v>
      </c>
      <c r="E1344">
        <v>2014</v>
      </c>
      <c r="F1344" t="s">
        <v>31</v>
      </c>
      <c r="G1344" t="s">
        <v>31</v>
      </c>
      <c r="H1344" t="s">
        <v>2847</v>
      </c>
      <c r="I1344" t="s">
        <v>62</v>
      </c>
      <c r="J1344" t="s">
        <v>3077</v>
      </c>
      <c r="K1344" t="s">
        <v>31</v>
      </c>
      <c r="L1344" t="s">
        <v>31</v>
      </c>
      <c r="M1344" t="s">
        <v>27</v>
      </c>
      <c r="N1344" t="s">
        <v>27</v>
      </c>
      <c r="O1344" t="s">
        <v>27</v>
      </c>
      <c r="P1344" t="s">
        <v>31</v>
      </c>
      <c r="Q1344" t="s">
        <v>31</v>
      </c>
      <c r="R1344" t="s">
        <v>31</v>
      </c>
      <c r="S1344" t="s">
        <v>31</v>
      </c>
      <c r="T1344" t="s">
        <v>31</v>
      </c>
    </row>
    <row r="1345" spans="1:20" hidden="1" x14ac:dyDescent="0.3">
      <c r="A1345" t="s">
        <v>1160</v>
      </c>
      <c r="B1345" t="s">
        <v>28</v>
      </c>
      <c r="C1345" t="s">
        <v>29</v>
      </c>
      <c r="D1345" t="s">
        <v>67</v>
      </c>
      <c r="E1345">
        <v>2014</v>
      </c>
      <c r="F1345">
        <v>100000</v>
      </c>
      <c r="G1345" t="s">
        <v>31</v>
      </c>
      <c r="H1345" t="s">
        <v>2645</v>
      </c>
      <c r="I1345" t="s">
        <v>34</v>
      </c>
      <c r="J1345" t="s">
        <v>4464</v>
      </c>
      <c r="K1345" t="s">
        <v>31</v>
      </c>
      <c r="L1345" t="s">
        <v>31</v>
      </c>
      <c r="M1345" t="s">
        <v>27</v>
      </c>
      <c r="N1345" t="s">
        <v>27</v>
      </c>
      <c r="O1345" t="s">
        <v>33</v>
      </c>
      <c r="P1345" t="s">
        <v>31</v>
      </c>
      <c r="Q1345" t="s">
        <v>31</v>
      </c>
      <c r="R1345" t="s">
        <v>31</v>
      </c>
      <c r="S1345" t="s">
        <v>31</v>
      </c>
      <c r="T1345" t="s">
        <v>31</v>
      </c>
    </row>
    <row r="1346" spans="1:20" hidden="1" x14ac:dyDescent="0.3">
      <c r="A1346" t="s">
        <v>1161</v>
      </c>
      <c r="B1346" t="s">
        <v>28</v>
      </c>
      <c r="C1346" t="s">
        <v>29</v>
      </c>
      <c r="D1346" t="s">
        <v>67</v>
      </c>
      <c r="E1346">
        <v>2014</v>
      </c>
      <c r="F1346" t="s">
        <v>31</v>
      </c>
      <c r="G1346" t="s">
        <v>31</v>
      </c>
      <c r="H1346" t="s">
        <v>2645</v>
      </c>
      <c r="I1346" t="s">
        <v>34</v>
      </c>
      <c r="J1346" t="s">
        <v>4465</v>
      </c>
      <c r="K1346" t="s">
        <v>31</v>
      </c>
      <c r="L1346" t="s">
        <v>82</v>
      </c>
      <c r="M1346" t="s">
        <v>27</v>
      </c>
      <c r="N1346" t="s">
        <v>27</v>
      </c>
      <c r="O1346" t="s">
        <v>33</v>
      </c>
      <c r="P1346" t="s">
        <v>31</v>
      </c>
      <c r="Q1346">
        <v>230</v>
      </c>
      <c r="R1346" t="s">
        <v>31</v>
      </c>
      <c r="S1346" t="s">
        <v>31</v>
      </c>
      <c r="T1346" t="s">
        <v>31</v>
      </c>
    </row>
    <row r="1347" spans="1:20" x14ac:dyDescent="0.3">
      <c r="A1347" t="s">
        <v>1743</v>
      </c>
      <c r="B1347" t="s">
        <v>51</v>
      </c>
      <c r="C1347" t="s">
        <v>37</v>
      </c>
      <c r="D1347" t="s">
        <v>121</v>
      </c>
      <c r="E1347">
        <v>2014</v>
      </c>
      <c r="F1347">
        <v>200000</v>
      </c>
      <c r="G1347" t="s">
        <v>31</v>
      </c>
      <c r="H1347" t="s">
        <v>2656</v>
      </c>
      <c r="I1347" t="s">
        <v>119</v>
      </c>
      <c r="J1347" t="s">
        <v>2618</v>
      </c>
      <c r="K1347" t="s">
        <v>4345</v>
      </c>
      <c r="L1347" t="s">
        <v>31</v>
      </c>
      <c r="M1347" t="s">
        <v>27</v>
      </c>
      <c r="N1347" t="s">
        <v>27</v>
      </c>
      <c r="O1347" t="s">
        <v>27</v>
      </c>
      <c r="P1347" t="s">
        <v>31</v>
      </c>
      <c r="Q1347" t="s">
        <v>31</v>
      </c>
      <c r="R1347" t="s">
        <v>31</v>
      </c>
      <c r="S1347" t="s">
        <v>31</v>
      </c>
      <c r="T1347" t="s">
        <v>4466</v>
      </c>
    </row>
    <row r="1348" spans="1:20" hidden="1" x14ac:dyDescent="0.3">
      <c r="A1348" t="s">
        <v>1749</v>
      </c>
      <c r="B1348" t="s">
        <v>51</v>
      </c>
      <c r="C1348" t="s">
        <v>37</v>
      </c>
      <c r="D1348" t="s">
        <v>56</v>
      </c>
      <c r="E1348">
        <v>2014</v>
      </c>
      <c r="F1348" t="s">
        <v>31</v>
      </c>
      <c r="G1348" t="s">
        <v>31</v>
      </c>
      <c r="H1348" t="s">
        <v>2656</v>
      </c>
      <c r="I1348" t="s">
        <v>119</v>
      </c>
      <c r="J1348" t="s">
        <v>4467</v>
      </c>
      <c r="K1348" t="s">
        <v>3054</v>
      </c>
      <c r="L1348" t="s">
        <v>31</v>
      </c>
      <c r="M1348" t="s">
        <v>27</v>
      </c>
      <c r="N1348" t="s">
        <v>27</v>
      </c>
      <c r="O1348" t="s">
        <v>27</v>
      </c>
      <c r="P1348" t="s">
        <v>31</v>
      </c>
      <c r="Q1348" t="s">
        <v>31</v>
      </c>
      <c r="R1348" t="s">
        <v>31</v>
      </c>
      <c r="S1348" t="s">
        <v>31</v>
      </c>
      <c r="T1348" t="s">
        <v>4468</v>
      </c>
    </row>
    <row r="1349" spans="1:20" hidden="1" x14ac:dyDescent="0.3">
      <c r="A1349" t="s">
        <v>1750</v>
      </c>
      <c r="B1349" t="s">
        <v>51</v>
      </c>
      <c r="C1349" t="s">
        <v>37</v>
      </c>
      <c r="D1349" t="s">
        <v>121</v>
      </c>
      <c r="E1349">
        <v>2014</v>
      </c>
      <c r="F1349" t="s">
        <v>31</v>
      </c>
      <c r="G1349" t="s">
        <v>4469</v>
      </c>
      <c r="H1349" t="s">
        <v>2647</v>
      </c>
      <c r="I1349" t="s">
        <v>47</v>
      </c>
      <c r="J1349" t="s">
        <v>4470</v>
      </c>
      <c r="K1349" t="s">
        <v>4471</v>
      </c>
      <c r="L1349" t="s">
        <v>402</v>
      </c>
      <c r="M1349" t="s">
        <v>27</v>
      </c>
      <c r="N1349" t="s">
        <v>27</v>
      </c>
      <c r="O1349" t="s">
        <v>27</v>
      </c>
      <c r="P1349" t="s">
        <v>31</v>
      </c>
      <c r="Q1349" t="s">
        <v>31</v>
      </c>
      <c r="R1349" t="s">
        <v>31</v>
      </c>
      <c r="S1349" t="s">
        <v>31</v>
      </c>
      <c r="T1349" t="s">
        <v>4472</v>
      </c>
    </row>
    <row r="1350" spans="1:20" hidden="1" x14ac:dyDescent="0.3">
      <c r="A1350" t="s">
        <v>1751</v>
      </c>
      <c r="B1350" t="s">
        <v>51</v>
      </c>
      <c r="C1350" t="s">
        <v>37</v>
      </c>
      <c r="D1350" t="s">
        <v>121</v>
      </c>
      <c r="E1350">
        <v>2014</v>
      </c>
      <c r="F1350" t="s">
        <v>31</v>
      </c>
      <c r="G1350" t="s">
        <v>31</v>
      </c>
      <c r="H1350" t="s">
        <v>2678</v>
      </c>
      <c r="I1350" t="s">
        <v>53</v>
      </c>
      <c r="J1350" t="s">
        <v>4473</v>
      </c>
      <c r="K1350" t="s">
        <v>2649</v>
      </c>
      <c r="L1350" t="s">
        <v>54</v>
      </c>
      <c r="M1350" t="s">
        <v>27</v>
      </c>
      <c r="N1350" t="s">
        <v>27</v>
      </c>
      <c r="O1350" t="s">
        <v>27</v>
      </c>
      <c r="P1350" t="s">
        <v>31</v>
      </c>
      <c r="Q1350" t="s">
        <v>31</v>
      </c>
      <c r="R1350" t="s">
        <v>31</v>
      </c>
      <c r="S1350" t="s">
        <v>31</v>
      </c>
      <c r="T1350" t="s">
        <v>31</v>
      </c>
    </row>
    <row r="1351" spans="1:20" hidden="1" x14ac:dyDescent="0.3">
      <c r="A1351" t="s">
        <v>1752</v>
      </c>
      <c r="B1351" t="s">
        <v>39</v>
      </c>
      <c r="C1351" t="s">
        <v>40</v>
      </c>
      <c r="D1351" t="s">
        <v>59</v>
      </c>
      <c r="E1351">
        <v>2014</v>
      </c>
      <c r="F1351">
        <v>34000</v>
      </c>
      <c r="G1351" t="s">
        <v>4474</v>
      </c>
      <c r="H1351" t="s">
        <v>2701</v>
      </c>
      <c r="I1351" t="s">
        <v>60</v>
      </c>
      <c r="J1351" t="s">
        <v>3129</v>
      </c>
      <c r="K1351" t="s">
        <v>31</v>
      </c>
      <c r="L1351" t="s">
        <v>31</v>
      </c>
      <c r="M1351" t="s">
        <v>27</v>
      </c>
      <c r="N1351" t="s">
        <v>27</v>
      </c>
      <c r="O1351" t="s">
        <v>33</v>
      </c>
      <c r="P1351" t="s">
        <v>31</v>
      </c>
      <c r="Q1351" t="s">
        <v>31</v>
      </c>
      <c r="R1351" t="s">
        <v>31</v>
      </c>
      <c r="S1351" t="s">
        <v>31</v>
      </c>
      <c r="T1351" t="s">
        <v>31</v>
      </c>
    </row>
    <row r="1352" spans="1:20" hidden="1" x14ac:dyDescent="0.3">
      <c r="A1352" t="s">
        <v>1753</v>
      </c>
      <c r="B1352" t="s">
        <v>39</v>
      </c>
      <c r="C1352" t="s">
        <v>40</v>
      </c>
      <c r="D1352" t="s">
        <v>41</v>
      </c>
      <c r="E1352">
        <v>2014</v>
      </c>
      <c r="F1352">
        <v>100000</v>
      </c>
      <c r="G1352" t="s">
        <v>31</v>
      </c>
      <c r="H1352" t="s">
        <v>2645</v>
      </c>
      <c r="I1352" t="s">
        <v>34</v>
      </c>
      <c r="J1352" t="s">
        <v>4475</v>
      </c>
      <c r="K1352" t="s">
        <v>4476</v>
      </c>
      <c r="L1352" t="s">
        <v>31</v>
      </c>
      <c r="M1352" t="s">
        <v>27</v>
      </c>
      <c r="N1352" t="s">
        <v>27</v>
      </c>
      <c r="O1352" t="s">
        <v>27</v>
      </c>
      <c r="P1352" t="s">
        <v>31</v>
      </c>
      <c r="Q1352" t="s">
        <v>31</v>
      </c>
      <c r="R1352" t="s">
        <v>31</v>
      </c>
      <c r="S1352" t="s">
        <v>31</v>
      </c>
      <c r="T1352" t="s">
        <v>31</v>
      </c>
    </row>
    <row r="1353" spans="1:20" hidden="1" x14ac:dyDescent="0.3">
      <c r="A1353" t="s">
        <v>1754</v>
      </c>
      <c r="B1353" t="s">
        <v>51</v>
      </c>
      <c r="C1353" t="s">
        <v>37</v>
      </c>
      <c r="D1353" t="s">
        <v>121</v>
      </c>
      <c r="E1353">
        <v>2014</v>
      </c>
      <c r="F1353" t="s">
        <v>31</v>
      </c>
      <c r="G1353" t="s">
        <v>4477</v>
      </c>
      <c r="H1353" t="s">
        <v>2656</v>
      </c>
      <c r="I1353" t="s">
        <v>119</v>
      </c>
      <c r="J1353" t="s">
        <v>4478</v>
      </c>
      <c r="K1353" t="s">
        <v>4479</v>
      </c>
      <c r="L1353" t="s">
        <v>31</v>
      </c>
      <c r="M1353" t="s">
        <v>27</v>
      </c>
      <c r="N1353" t="s">
        <v>27</v>
      </c>
      <c r="O1353" t="s">
        <v>27</v>
      </c>
      <c r="P1353" t="s">
        <v>31</v>
      </c>
      <c r="Q1353" t="s">
        <v>31</v>
      </c>
      <c r="R1353" t="s">
        <v>31</v>
      </c>
      <c r="S1353" t="s">
        <v>31</v>
      </c>
      <c r="T1353" t="s">
        <v>31</v>
      </c>
    </row>
    <row r="1354" spans="1:20" hidden="1" x14ac:dyDescent="0.3">
      <c r="A1354" t="s">
        <v>1755</v>
      </c>
      <c r="B1354" t="s">
        <v>43</v>
      </c>
      <c r="C1354" t="s">
        <v>2665</v>
      </c>
      <c r="D1354" t="s">
        <v>114</v>
      </c>
      <c r="E1354">
        <v>2014</v>
      </c>
      <c r="F1354" t="s">
        <v>31</v>
      </c>
      <c r="G1354" t="s">
        <v>4480</v>
      </c>
      <c r="H1354" t="s">
        <v>2749</v>
      </c>
      <c r="I1354" t="s">
        <v>45</v>
      </c>
      <c r="J1354" t="s">
        <v>4481</v>
      </c>
      <c r="K1354" t="s">
        <v>31</v>
      </c>
      <c r="L1354" t="s">
        <v>31</v>
      </c>
      <c r="M1354" t="s">
        <v>27</v>
      </c>
      <c r="N1354" t="s">
        <v>27</v>
      </c>
      <c r="O1354" t="s">
        <v>27</v>
      </c>
      <c r="P1354" t="s">
        <v>31</v>
      </c>
      <c r="Q1354" t="s">
        <v>31</v>
      </c>
      <c r="R1354" t="s">
        <v>31</v>
      </c>
      <c r="S1354" t="s">
        <v>31</v>
      </c>
      <c r="T1354" t="s">
        <v>31</v>
      </c>
    </row>
    <row r="1355" spans="1:20" hidden="1" x14ac:dyDescent="0.3">
      <c r="A1355" t="s">
        <v>1756</v>
      </c>
      <c r="B1355" t="s">
        <v>28</v>
      </c>
      <c r="C1355" t="s">
        <v>29</v>
      </c>
      <c r="D1355" t="s">
        <v>99</v>
      </c>
      <c r="E1355">
        <v>2014</v>
      </c>
      <c r="F1355">
        <v>270000</v>
      </c>
      <c r="G1355" t="s">
        <v>31</v>
      </c>
      <c r="H1355" t="s">
        <v>2645</v>
      </c>
      <c r="I1355" t="s">
        <v>34</v>
      </c>
      <c r="J1355" t="s">
        <v>4482</v>
      </c>
      <c r="K1355" t="s">
        <v>31</v>
      </c>
      <c r="L1355" t="s">
        <v>100</v>
      </c>
      <c r="M1355" t="s">
        <v>27</v>
      </c>
      <c r="N1355" t="s">
        <v>27</v>
      </c>
      <c r="O1355" t="s">
        <v>27</v>
      </c>
      <c r="P1355" t="s">
        <v>31</v>
      </c>
      <c r="Q1355">
        <v>60</v>
      </c>
      <c r="R1355" t="s">
        <v>31</v>
      </c>
      <c r="S1355" t="s">
        <v>31</v>
      </c>
      <c r="T1355" t="s">
        <v>31</v>
      </c>
    </row>
    <row r="1356" spans="1:20" hidden="1" x14ac:dyDescent="0.3">
      <c r="A1356" t="s">
        <v>1757</v>
      </c>
      <c r="B1356" t="s">
        <v>28</v>
      </c>
      <c r="C1356" t="s">
        <v>29</v>
      </c>
      <c r="D1356" t="s">
        <v>30</v>
      </c>
      <c r="E1356">
        <v>2014</v>
      </c>
      <c r="F1356">
        <v>66000</v>
      </c>
      <c r="G1356" t="s">
        <v>31</v>
      </c>
      <c r="H1356" t="s">
        <v>2645</v>
      </c>
      <c r="I1356" t="s">
        <v>34</v>
      </c>
      <c r="J1356" t="s">
        <v>4483</v>
      </c>
      <c r="K1356" t="s">
        <v>31</v>
      </c>
      <c r="L1356" t="s">
        <v>31</v>
      </c>
      <c r="M1356" t="s">
        <v>27</v>
      </c>
      <c r="N1356" t="s">
        <v>27</v>
      </c>
      <c r="O1356" t="s">
        <v>27</v>
      </c>
      <c r="P1356" t="s">
        <v>31</v>
      </c>
      <c r="Q1356">
        <v>95</v>
      </c>
      <c r="R1356" t="s">
        <v>31</v>
      </c>
      <c r="S1356" t="s">
        <v>31</v>
      </c>
      <c r="T1356" t="s">
        <v>31</v>
      </c>
    </row>
    <row r="1357" spans="1:20" hidden="1" x14ac:dyDescent="0.3">
      <c r="A1357" t="s">
        <v>1758</v>
      </c>
      <c r="B1357" t="s">
        <v>28</v>
      </c>
      <c r="C1357" t="s">
        <v>29</v>
      </c>
      <c r="D1357" t="s">
        <v>30</v>
      </c>
      <c r="E1357">
        <v>2014</v>
      </c>
      <c r="F1357">
        <v>500</v>
      </c>
      <c r="G1357" t="s">
        <v>31</v>
      </c>
      <c r="H1357" t="s">
        <v>2672</v>
      </c>
      <c r="I1357" t="s">
        <v>73</v>
      </c>
      <c r="J1357" t="s">
        <v>4484</v>
      </c>
      <c r="K1357" t="s">
        <v>31</v>
      </c>
      <c r="L1357" t="s">
        <v>181</v>
      </c>
      <c r="M1357" t="s">
        <v>27</v>
      </c>
      <c r="N1357" t="s">
        <v>27</v>
      </c>
      <c r="O1357" t="s">
        <v>27</v>
      </c>
      <c r="P1357" t="s">
        <v>31</v>
      </c>
      <c r="Q1357">
        <v>75</v>
      </c>
      <c r="R1357" t="s">
        <v>31</v>
      </c>
      <c r="S1357" t="s">
        <v>31</v>
      </c>
      <c r="T1357" t="s">
        <v>31</v>
      </c>
    </row>
    <row r="1358" spans="1:20" hidden="1" x14ac:dyDescent="0.3">
      <c r="A1358" t="s">
        <v>1759</v>
      </c>
      <c r="B1358" t="s">
        <v>28</v>
      </c>
      <c r="C1358" t="s">
        <v>29</v>
      </c>
      <c r="D1358" t="s">
        <v>99</v>
      </c>
      <c r="E1358">
        <v>2014</v>
      </c>
      <c r="F1358">
        <v>170000</v>
      </c>
      <c r="G1358" t="s">
        <v>31</v>
      </c>
      <c r="H1358" t="s">
        <v>2645</v>
      </c>
      <c r="I1358" t="s">
        <v>34</v>
      </c>
      <c r="J1358" t="s">
        <v>4485</v>
      </c>
      <c r="K1358" t="s">
        <v>31</v>
      </c>
      <c r="L1358" t="s">
        <v>262</v>
      </c>
      <c r="M1358" t="s">
        <v>27</v>
      </c>
      <c r="N1358" t="s">
        <v>27</v>
      </c>
      <c r="O1358" t="s">
        <v>33</v>
      </c>
      <c r="P1358" t="s">
        <v>31</v>
      </c>
      <c r="Q1358">
        <v>160</v>
      </c>
      <c r="R1358" t="s">
        <v>31</v>
      </c>
      <c r="S1358" t="s">
        <v>31</v>
      </c>
      <c r="T1358" t="s">
        <v>31</v>
      </c>
    </row>
    <row r="1359" spans="1:20" hidden="1" x14ac:dyDescent="0.3">
      <c r="A1359" t="s">
        <v>1760</v>
      </c>
      <c r="B1359" t="s">
        <v>51</v>
      </c>
      <c r="C1359" t="s">
        <v>37</v>
      </c>
      <c r="D1359" t="s">
        <v>121</v>
      </c>
      <c r="E1359">
        <v>2014</v>
      </c>
      <c r="F1359">
        <v>8000</v>
      </c>
      <c r="G1359" t="s">
        <v>4486</v>
      </c>
      <c r="H1359" t="s">
        <v>2647</v>
      </c>
      <c r="I1359" t="s">
        <v>47</v>
      </c>
      <c r="J1359" t="s">
        <v>4487</v>
      </c>
      <c r="K1359" t="s">
        <v>2649</v>
      </c>
      <c r="L1359" t="s">
        <v>31</v>
      </c>
      <c r="M1359" t="s">
        <v>27</v>
      </c>
      <c r="N1359" t="s">
        <v>27</v>
      </c>
      <c r="O1359" t="s">
        <v>27</v>
      </c>
      <c r="P1359" t="s">
        <v>31</v>
      </c>
      <c r="Q1359">
        <v>406009</v>
      </c>
      <c r="R1359" t="s">
        <v>31</v>
      </c>
      <c r="S1359" t="s">
        <v>31</v>
      </c>
      <c r="T1359" t="s">
        <v>31</v>
      </c>
    </row>
    <row r="1360" spans="1:20" hidden="1" x14ac:dyDescent="0.3">
      <c r="A1360" t="s">
        <v>1761</v>
      </c>
      <c r="B1360" t="s">
        <v>51</v>
      </c>
      <c r="C1360" t="s">
        <v>37</v>
      </c>
      <c r="D1360" t="s">
        <v>121</v>
      </c>
      <c r="E1360">
        <v>2014</v>
      </c>
      <c r="F1360" t="s">
        <v>31</v>
      </c>
      <c r="G1360" t="s">
        <v>31</v>
      </c>
      <c r="H1360" t="s">
        <v>2701</v>
      </c>
      <c r="I1360" t="s">
        <v>60</v>
      </c>
      <c r="J1360" t="s">
        <v>4488</v>
      </c>
      <c r="K1360" t="s">
        <v>4489</v>
      </c>
      <c r="L1360" t="s">
        <v>31</v>
      </c>
      <c r="M1360" t="s">
        <v>27</v>
      </c>
      <c r="N1360" t="s">
        <v>27</v>
      </c>
      <c r="O1360" t="s">
        <v>27</v>
      </c>
      <c r="P1360" t="s">
        <v>31</v>
      </c>
      <c r="Q1360" t="s">
        <v>31</v>
      </c>
      <c r="R1360" t="s">
        <v>31</v>
      </c>
      <c r="S1360" t="s">
        <v>31</v>
      </c>
      <c r="T1360" t="s">
        <v>31</v>
      </c>
    </row>
    <row r="1361" spans="1:20" hidden="1" x14ac:dyDescent="0.3">
      <c r="A1361" t="s">
        <v>1762</v>
      </c>
      <c r="B1361" t="s">
        <v>39</v>
      </c>
      <c r="C1361" t="s">
        <v>157</v>
      </c>
      <c r="D1361" t="s">
        <v>157</v>
      </c>
      <c r="E1361">
        <v>2014</v>
      </c>
      <c r="F1361">
        <v>58000</v>
      </c>
      <c r="G1361" t="s">
        <v>4490</v>
      </c>
      <c r="H1361" t="s">
        <v>2719</v>
      </c>
      <c r="I1361" t="s">
        <v>90</v>
      </c>
      <c r="J1361" t="s">
        <v>4491</v>
      </c>
      <c r="K1361" t="s">
        <v>31</v>
      </c>
      <c r="L1361" t="s">
        <v>31</v>
      </c>
      <c r="M1361" t="s">
        <v>27</v>
      </c>
      <c r="N1361" t="s">
        <v>27</v>
      </c>
      <c r="O1361" t="s">
        <v>33</v>
      </c>
      <c r="P1361" t="s">
        <v>31</v>
      </c>
      <c r="Q1361" t="s">
        <v>31</v>
      </c>
      <c r="R1361" t="s">
        <v>31</v>
      </c>
      <c r="S1361" t="s">
        <v>31</v>
      </c>
      <c r="T1361" t="s">
        <v>31</v>
      </c>
    </row>
    <row r="1362" spans="1:20" hidden="1" x14ac:dyDescent="0.3">
      <c r="A1362" t="s">
        <v>1763</v>
      </c>
      <c r="B1362" t="s">
        <v>39</v>
      </c>
      <c r="C1362" t="s">
        <v>157</v>
      </c>
      <c r="D1362" t="s">
        <v>157</v>
      </c>
      <c r="E1362">
        <v>2014</v>
      </c>
      <c r="F1362" t="s">
        <v>31</v>
      </c>
      <c r="G1362" t="s">
        <v>4492</v>
      </c>
      <c r="H1362" t="s">
        <v>2669</v>
      </c>
      <c r="I1362" t="s">
        <v>111</v>
      </c>
      <c r="J1362" t="s">
        <v>3968</v>
      </c>
      <c r="K1362" t="s">
        <v>31</v>
      </c>
      <c r="L1362" t="s">
        <v>31</v>
      </c>
      <c r="M1362" t="s">
        <v>27</v>
      </c>
      <c r="N1362" t="s">
        <v>27</v>
      </c>
      <c r="O1362" t="s">
        <v>33</v>
      </c>
      <c r="P1362" t="s">
        <v>31</v>
      </c>
      <c r="Q1362" t="s">
        <v>31</v>
      </c>
      <c r="R1362" t="s">
        <v>31</v>
      </c>
      <c r="S1362" t="s">
        <v>31</v>
      </c>
      <c r="T1362" t="s">
        <v>31</v>
      </c>
    </row>
    <row r="1363" spans="1:20" hidden="1" x14ac:dyDescent="0.3">
      <c r="A1363" t="s">
        <v>1764</v>
      </c>
      <c r="B1363" t="s">
        <v>39</v>
      </c>
      <c r="C1363" t="s">
        <v>157</v>
      </c>
      <c r="D1363" t="s">
        <v>157</v>
      </c>
      <c r="E1363">
        <v>2014</v>
      </c>
      <c r="F1363" t="s">
        <v>31</v>
      </c>
      <c r="G1363" t="s">
        <v>4493</v>
      </c>
      <c r="H1363" t="s">
        <v>2675</v>
      </c>
      <c r="I1363" t="s">
        <v>81</v>
      </c>
      <c r="J1363" t="s">
        <v>2918</v>
      </c>
      <c r="K1363" t="s">
        <v>31</v>
      </c>
      <c r="L1363" t="s">
        <v>31</v>
      </c>
      <c r="M1363" t="s">
        <v>27</v>
      </c>
      <c r="N1363" t="s">
        <v>27</v>
      </c>
      <c r="O1363" t="s">
        <v>27</v>
      </c>
      <c r="P1363" t="s">
        <v>31</v>
      </c>
      <c r="Q1363" t="s">
        <v>31</v>
      </c>
      <c r="R1363" t="s">
        <v>31</v>
      </c>
      <c r="S1363" t="s">
        <v>31</v>
      </c>
      <c r="T1363" t="s">
        <v>31</v>
      </c>
    </row>
    <row r="1364" spans="1:20" hidden="1" x14ac:dyDescent="0.3">
      <c r="A1364" t="s">
        <v>2430</v>
      </c>
      <c r="B1364" t="s">
        <v>51</v>
      </c>
      <c r="C1364" t="s">
        <v>37</v>
      </c>
      <c r="D1364" t="s">
        <v>121</v>
      </c>
      <c r="E1364">
        <v>2014</v>
      </c>
      <c r="F1364" t="s">
        <v>31</v>
      </c>
      <c r="G1364" t="s">
        <v>31</v>
      </c>
      <c r="H1364" t="s">
        <v>2753</v>
      </c>
      <c r="I1364" t="s">
        <v>49</v>
      </c>
      <c r="J1364" t="s">
        <v>3535</v>
      </c>
      <c r="K1364" t="s">
        <v>2649</v>
      </c>
      <c r="L1364" t="s">
        <v>31</v>
      </c>
      <c r="M1364" t="s">
        <v>27</v>
      </c>
      <c r="N1364" t="s">
        <v>27</v>
      </c>
      <c r="O1364" t="s">
        <v>27</v>
      </c>
      <c r="P1364" t="s">
        <v>31</v>
      </c>
      <c r="Q1364" t="s">
        <v>31</v>
      </c>
      <c r="R1364" t="s">
        <v>31</v>
      </c>
      <c r="S1364" t="s">
        <v>31</v>
      </c>
      <c r="T1364" t="s">
        <v>31</v>
      </c>
    </row>
    <row r="1365" spans="1:20" hidden="1" x14ac:dyDescent="0.3">
      <c r="A1365" t="s">
        <v>2431</v>
      </c>
      <c r="B1365" t="s">
        <v>28</v>
      </c>
      <c r="C1365" t="s">
        <v>2685</v>
      </c>
      <c r="D1365" t="s">
        <v>68</v>
      </c>
      <c r="E1365">
        <v>2014</v>
      </c>
      <c r="F1365" t="s">
        <v>31</v>
      </c>
      <c r="G1365" t="s">
        <v>4494</v>
      </c>
      <c r="H1365" t="s">
        <v>2739</v>
      </c>
      <c r="I1365" t="s">
        <v>77</v>
      </c>
      <c r="J1365" t="s">
        <v>4495</v>
      </c>
      <c r="K1365" t="s">
        <v>31</v>
      </c>
      <c r="L1365" t="s">
        <v>31</v>
      </c>
      <c r="M1365" t="s">
        <v>27</v>
      </c>
      <c r="N1365" t="s">
        <v>27</v>
      </c>
      <c r="O1365" t="s">
        <v>27</v>
      </c>
      <c r="P1365" t="s">
        <v>31</v>
      </c>
      <c r="Q1365">
        <v>-48</v>
      </c>
      <c r="R1365" t="s">
        <v>31</v>
      </c>
      <c r="S1365" t="s">
        <v>31</v>
      </c>
      <c r="T1365" t="s">
        <v>31</v>
      </c>
    </row>
    <row r="1366" spans="1:20" hidden="1" x14ac:dyDescent="0.3">
      <c r="A1366" t="s">
        <v>2432</v>
      </c>
      <c r="B1366" t="s">
        <v>28</v>
      </c>
      <c r="C1366" t="s">
        <v>2685</v>
      </c>
      <c r="D1366" t="s">
        <v>68</v>
      </c>
      <c r="E1366">
        <v>2014</v>
      </c>
      <c r="F1366">
        <v>2500000</v>
      </c>
      <c r="G1366" t="s">
        <v>4494</v>
      </c>
      <c r="H1366" t="s">
        <v>2645</v>
      </c>
      <c r="I1366" t="s">
        <v>34</v>
      </c>
      <c r="J1366" t="s">
        <v>4496</v>
      </c>
      <c r="K1366" t="s">
        <v>31</v>
      </c>
      <c r="L1366" t="s">
        <v>31</v>
      </c>
      <c r="M1366" t="s">
        <v>27</v>
      </c>
      <c r="N1366" t="s">
        <v>27</v>
      </c>
      <c r="O1366" t="s">
        <v>33</v>
      </c>
      <c r="P1366" t="s">
        <v>31</v>
      </c>
      <c r="Q1366">
        <v>-37</v>
      </c>
      <c r="R1366" t="s">
        <v>31</v>
      </c>
      <c r="S1366" t="s">
        <v>31</v>
      </c>
      <c r="T1366" t="s">
        <v>31</v>
      </c>
    </row>
    <row r="1367" spans="1:20" hidden="1" x14ac:dyDescent="0.3">
      <c r="A1367" t="s">
        <v>2433</v>
      </c>
      <c r="B1367" t="s">
        <v>51</v>
      </c>
      <c r="C1367" t="s">
        <v>2655</v>
      </c>
      <c r="D1367" t="s">
        <v>134</v>
      </c>
      <c r="E1367">
        <v>2014</v>
      </c>
      <c r="F1367">
        <v>200000</v>
      </c>
      <c r="G1367" t="s">
        <v>4322</v>
      </c>
      <c r="H1367" t="s">
        <v>2669</v>
      </c>
      <c r="I1367" t="s">
        <v>111</v>
      </c>
      <c r="J1367" t="s">
        <v>4497</v>
      </c>
      <c r="K1367" t="s">
        <v>4498</v>
      </c>
      <c r="L1367" t="s">
        <v>31</v>
      </c>
      <c r="M1367" t="s">
        <v>27</v>
      </c>
      <c r="N1367" t="s">
        <v>27</v>
      </c>
      <c r="O1367" t="s">
        <v>33</v>
      </c>
      <c r="P1367" t="s">
        <v>31</v>
      </c>
      <c r="Q1367" t="s">
        <v>31</v>
      </c>
      <c r="R1367">
        <v>-13.3888</v>
      </c>
      <c r="S1367">
        <v>-64.010000000000005</v>
      </c>
      <c r="T1367" t="s">
        <v>31</v>
      </c>
    </row>
    <row r="1368" spans="1:20" hidden="1" x14ac:dyDescent="0.3">
      <c r="A1368" t="s">
        <v>2434</v>
      </c>
      <c r="B1368" t="s">
        <v>28</v>
      </c>
      <c r="C1368" t="s">
        <v>29</v>
      </c>
      <c r="D1368" t="s">
        <v>67</v>
      </c>
      <c r="E1368">
        <v>2014</v>
      </c>
      <c r="F1368">
        <v>250000</v>
      </c>
      <c r="G1368" t="s">
        <v>31</v>
      </c>
      <c r="H1368" t="s">
        <v>2645</v>
      </c>
      <c r="I1368" t="s">
        <v>34</v>
      </c>
      <c r="J1368" t="s">
        <v>4499</v>
      </c>
      <c r="K1368" t="s">
        <v>31</v>
      </c>
      <c r="L1368" t="s">
        <v>68</v>
      </c>
      <c r="M1368" t="s">
        <v>27</v>
      </c>
      <c r="N1368" t="s">
        <v>27</v>
      </c>
      <c r="O1368" t="s">
        <v>33</v>
      </c>
      <c r="P1368" t="s">
        <v>31</v>
      </c>
      <c r="Q1368" t="s">
        <v>31</v>
      </c>
      <c r="R1368" t="s">
        <v>31</v>
      </c>
      <c r="S1368" t="s">
        <v>31</v>
      </c>
      <c r="T1368" t="s">
        <v>31</v>
      </c>
    </row>
    <row r="1369" spans="1:20" hidden="1" x14ac:dyDescent="0.3">
      <c r="A1369" t="s">
        <v>2435</v>
      </c>
      <c r="B1369" t="s">
        <v>28</v>
      </c>
      <c r="C1369" t="s">
        <v>29</v>
      </c>
      <c r="D1369" t="s">
        <v>67</v>
      </c>
      <c r="E1369">
        <v>2014</v>
      </c>
      <c r="F1369">
        <v>210000</v>
      </c>
      <c r="G1369" t="s">
        <v>31</v>
      </c>
      <c r="H1369" t="s">
        <v>2645</v>
      </c>
      <c r="I1369" t="s">
        <v>34</v>
      </c>
      <c r="J1369" t="s">
        <v>4500</v>
      </c>
      <c r="K1369" t="s">
        <v>31</v>
      </c>
      <c r="L1369" t="s">
        <v>31</v>
      </c>
      <c r="M1369" t="s">
        <v>27</v>
      </c>
      <c r="N1369" t="s">
        <v>27</v>
      </c>
      <c r="O1369" t="s">
        <v>27</v>
      </c>
      <c r="P1369" t="s">
        <v>31</v>
      </c>
      <c r="Q1369" t="s">
        <v>31</v>
      </c>
      <c r="R1369" t="s">
        <v>31</v>
      </c>
      <c r="S1369" t="s">
        <v>31</v>
      </c>
      <c r="T1369" t="s">
        <v>31</v>
      </c>
    </row>
    <row r="1370" spans="1:20" hidden="1" x14ac:dyDescent="0.3">
      <c r="A1370" t="s">
        <v>2436</v>
      </c>
      <c r="B1370" t="s">
        <v>28</v>
      </c>
      <c r="C1370" t="s">
        <v>29</v>
      </c>
      <c r="D1370" t="s">
        <v>67</v>
      </c>
      <c r="E1370">
        <v>2014</v>
      </c>
      <c r="F1370">
        <v>2000</v>
      </c>
      <c r="G1370" t="s">
        <v>31</v>
      </c>
      <c r="H1370" t="s">
        <v>2645</v>
      </c>
      <c r="I1370" t="s">
        <v>34</v>
      </c>
      <c r="J1370" t="s">
        <v>4501</v>
      </c>
      <c r="K1370" t="s">
        <v>31</v>
      </c>
      <c r="L1370" t="s">
        <v>31</v>
      </c>
      <c r="M1370" t="s">
        <v>27</v>
      </c>
      <c r="N1370" t="s">
        <v>27</v>
      </c>
      <c r="O1370" t="s">
        <v>27</v>
      </c>
      <c r="P1370" t="s">
        <v>31</v>
      </c>
      <c r="Q1370" t="s">
        <v>31</v>
      </c>
      <c r="R1370" t="s">
        <v>31</v>
      </c>
      <c r="S1370" t="s">
        <v>31</v>
      </c>
      <c r="T1370" t="s">
        <v>31</v>
      </c>
    </row>
    <row r="1371" spans="1:20" hidden="1" x14ac:dyDescent="0.3">
      <c r="A1371" t="s">
        <v>2437</v>
      </c>
      <c r="B1371" t="s">
        <v>28</v>
      </c>
      <c r="C1371" t="s">
        <v>29</v>
      </c>
      <c r="D1371" t="s">
        <v>67</v>
      </c>
      <c r="E1371">
        <v>2014</v>
      </c>
      <c r="F1371">
        <v>750000</v>
      </c>
      <c r="G1371" t="s">
        <v>31</v>
      </c>
      <c r="H1371" t="s">
        <v>2645</v>
      </c>
      <c r="I1371" t="s">
        <v>34</v>
      </c>
      <c r="J1371" t="s">
        <v>4502</v>
      </c>
      <c r="K1371" t="s">
        <v>31</v>
      </c>
      <c r="L1371" t="s">
        <v>68</v>
      </c>
      <c r="M1371" t="s">
        <v>27</v>
      </c>
      <c r="N1371" t="s">
        <v>27</v>
      </c>
      <c r="O1371" t="s">
        <v>33</v>
      </c>
      <c r="P1371" t="s">
        <v>31</v>
      </c>
      <c r="Q1371" t="s">
        <v>31</v>
      </c>
      <c r="R1371" t="s">
        <v>31</v>
      </c>
      <c r="S1371" t="s">
        <v>31</v>
      </c>
      <c r="T1371" t="s">
        <v>31</v>
      </c>
    </row>
    <row r="1372" spans="1:20" hidden="1" x14ac:dyDescent="0.3">
      <c r="A1372" t="s">
        <v>2438</v>
      </c>
      <c r="B1372" t="s">
        <v>28</v>
      </c>
      <c r="C1372" t="s">
        <v>29</v>
      </c>
      <c r="D1372" t="s">
        <v>30</v>
      </c>
      <c r="E1372">
        <v>2014</v>
      </c>
      <c r="F1372" t="s">
        <v>31</v>
      </c>
      <c r="G1372" t="s">
        <v>31</v>
      </c>
      <c r="H1372" t="s">
        <v>2719</v>
      </c>
      <c r="I1372" t="s">
        <v>90</v>
      </c>
      <c r="J1372" t="s">
        <v>4503</v>
      </c>
      <c r="K1372" t="s">
        <v>31</v>
      </c>
      <c r="L1372" t="s">
        <v>82</v>
      </c>
      <c r="M1372" t="s">
        <v>27</v>
      </c>
      <c r="N1372" t="s">
        <v>27</v>
      </c>
      <c r="O1372" t="s">
        <v>27</v>
      </c>
      <c r="P1372" t="s">
        <v>31</v>
      </c>
      <c r="Q1372" t="s">
        <v>31</v>
      </c>
      <c r="R1372" t="s">
        <v>31</v>
      </c>
      <c r="S1372" t="s">
        <v>31</v>
      </c>
      <c r="T1372" t="s">
        <v>31</v>
      </c>
    </row>
    <row r="1373" spans="1:20" hidden="1" x14ac:dyDescent="0.3">
      <c r="A1373" t="s">
        <v>2439</v>
      </c>
      <c r="B1373" t="s">
        <v>51</v>
      </c>
      <c r="C1373" t="s">
        <v>37</v>
      </c>
      <c r="D1373" t="s">
        <v>121</v>
      </c>
      <c r="E1373">
        <v>2014</v>
      </c>
      <c r="F1373">
        <v>62000</v>
      </c>
      <c r="G1373" t="s">
        <v>4477</v>
      </c>
      <c r="H1373" t="s">
        <v>2658</v>
      </c>
      <c r="I1373" t="s">
        <v>130</v>
      </c>
      <c r="J1373" t="s">
        <v>4504</v>
      </c>
      <c r="K1373" t="s">
        <v>31</v>
      </c>
      <c r="L1373" t="s">
        <v>31</v>
      </c>
      <c r="M1373" t="s">
        <v>27</v>
      </c>
      <c r="N1373" t="s">
        <v>27</v>
      </c>
      <c r="O1373" t="s">
        <v>27</v>
      </c>
      <c r="P1373" t="s">
        <v>31</v>
      </c>
      <c r="Q1373" t="s">
        <v>31</v>
      </c>
      <c r="R1373" t="s">
        <v>31</v>
      </c>
      <c r="S1373" t="s">
        <v>31</v>
      </c>
      <c r="T1373" t="s">
        <v>31</v>
      </c>
    </row>
    <row r="1374" spans="1:20" hidden="1" x14ac:dyDescent="0.3">
      <c r="A1374" t="s">
        <v>2440</v>
      </c>
      <c r="B1374" t="s">
        <v>51</v>
      </c>
      <c r="C1374" t="s">
        <v>37</v>
      </c>
      <c r="D1374" t="s">
        <v>121</v>
      </c>
      <c r="E1374">
        <v>2014</v>
      </c>
      <c r="F1374" t="s">
        <v>31</v>
      </c>
      <c r="G1374" t="s">
        <v>4477</v>
      </c>
      <c r="H1374" t="s">
        <v>2769</v>
      </c>
      <c r="I1374" t="s">
        <v>117</v>
      </c>
      <c r="J1374" t="s">
        <v>4505</v>
      </c>
      <c r="K1374" t="s">
        <v>4506</v>
      </c>
      <c r="L1374" t="s">
        <v>31</v>
      </c>
      <c r="M1374" t="s">
        <v>27</v>
      </c>
      <c r="N1374" t="s">
        <v>27</v>
      </c>
      <c r="O1374" t="s">
        <v>33</v>
      </c>
      <c r="P1374">
        <v>3452</v>
      </c>
      <c r="Q1374" t="s">
        <v>31</v>
      </c>
      <c r="R1374" t="s">
        <v>31</v>
      </c>
      <c r="S1374" t="s">
        <v>31</v>
      </c>
      <c r="T1374" t="s">
        <v>4346</v>
      </c>
    </row>
    <row r="1375" spans="1:20" hidden="1" x14ac:dyDescent="0.3">
      <c r="A1375" t="s">
        <v>2441</v>
      </c>
      <c r="B1375" t="s">
        <v>51</v>
      </c>
      <c r="C1375" t="s">
        <v>37</v>
      </c>
      <c r="D1375" t="s">
        <v>121</v>
      </c>
      <c r="E1375">
        <v>2014</v>
      </c>
      <c r="F1375" t="s">
        <v>31</v>
      </c>
      <c r="G1375" t="s">
        <v>31</v>
      </c>
      <c r="H1375" t="s">
        <v>2774</v>
      </c>
      <c r="I1375" t="s">
        <v>166</v>
      </c>
      <c r="J1375" t="s">
        <v>2775</v>
      </c>
      <c r="K1375" t="s">
        <v>2649</v>
      </c>
      <c r="L1375" t="s">
        <v>54</v>
      </c>
      <c r="M1375" t="s">
        <v>27</v>
      </c>
      <c r="N1375" t="s">
        <v>27</v>
      </c>
      <c r="O1375" t="s">
        <v>27</v>
      </c>
      <c r="P1375" t="s">
        <v>31</v>
      </c>
      <c r="Q1375">
        <v>22658.51</v>
      </c>
      <c r="R1375" t="s">
        <v>31</v>
      </c>
      <c r="S1375" t="s">
        <v>31</v>
      </c>
      <c r="T1375" t="s">
        <v>4507</v>
      </c>
    </row>
    <row r="1376" spans="1:20" hidden="1" x14ac:dyDescent="0.3">
      <c r="A1376" t="s">
        <v>2442</v>
      </c>
      <c r="B1376" t="s">
        <v>28</v>
      </c>
      <c r="C1376" t="s">
        <v>29</v>
      </c>
      <c r="D1376" t="s">
        <v>30</v>
      </c>
      <c r="E1376">
        <v>2014</v>
      </c>
      <c r="F1376">
        <v>25000</v>
      </c>
      <c r="G1376" t="s">
        <v>31</v>
      </c>
      <c r="H1376" t="s">
        <v>2672</v>
      </c>
      <c r="I1376" t="s">
        <v>73</v>
      </c>
      <c r="J1376" t="s">
        <v>4508</v>
      </c>
      <c r="K1376" t="s">
        <v>31</v>
      </c>
      <c r="L1376" t="s">
        <v>37</v>
      </c>
      <c r="M1376" t="s">
        <v>27</v>
      </c>
      <c r="N1376" t="s">
        <v>27</v>
      </c>
      <c r="O1376" t="s">
        <v>27</v>
      </c>
      <c r="P1376" t="s">
        <v>31</v>
      </c>
      <c r="Q1376">
        <v>205</v>
      </c>
      <c r="R1376" t="s">
        <v>31</v>
      </c>
      <c r="S1376" t="s">
        <v>31</v>
      </c>
      <c r="T1376" t="s">
        <v>31</v>
      </c>
    </row>
    <row r="1377" spans="1:20" hidden="1" x14ac:dyDescent="0.3">
      <c r="A1377" t="s">
        <v>2443</v>
      </c>
      <c r="B1377" t="s">
        <v>28</v>
      </c>
      <c r="C1377" t="s">
        <v>29</v>
      </c>
      <c r="D1377" t="s">
        <v>30</v>
      </c>
      <c r="E1377">
        <v>2014</v>
      </c>
      <c r="F1377">
        <v>2000</v>
      </c>
      <c r="G1377" t="s">
        <v>31</v>
      </c>
      <c r="H1377" t="s">
        <v>2672</v>
      </c>
      <c r="I1377" t="s">
        <v>73</v>
      </c>
      <c r="J1377" t="s">
        <v>4509</v>
      </c>
      <c r="K1377" t="s">
        <v>31</v>
      </c>
      <c r="L1377" t="s">
        <v>82</v>
      </c>
      <c r="M1377" t="s">
        <v>27</v>
      </c>
      <c r="N1377" t="s">
        <v>27</v>
      </c>
      <c r="O1377" t="s">
        <v>33</v>
      </c>
      <c r="P1377" t="s">
        <v>31</v>
      </c>
      <c r="Q1377" t="s">
        <v>31</v>
      </c>
      <c r="R1377" t="s">
        <v>31</v>
      </c>
      <c r="S1377" t="s">
        <v>31</v>
      </c>
      <c r="T1377" t="s">
        <v>31</v>
      </c>
    </row>
    <row r="1378" spans="1:20" hidden="1" x14ac:dyDescent="0.3">
      <c r="A1378" t="s">
        <v>2444</v>
      </c>
      <c r="B1378" t="s">
        <v>43</v>
      </c>
      <c r="C1378" t="s">
        <v>2665</v>
      </c>
      <c r="D1378" t="s">
        <v>114</v>
      </c>
      <c r="E1378">
        <v>2014</v>
      </c>
      <c r="F1378" t="s">
        <v>31</v>
      </c>
      <c r="G1378" t="s">
        <v>4510</v>
      </c>
      <c r="H1378" t="s">
        <v>2680</v>
      </c>
      <c r="I1378" t="s">
        <v>115</v>
      </c>
      <c r="J1378" t="s">
        <v>31</v>
      </c>
      <c r="K1378" t="s">
        <v>31</v>
      </c>
      <c r="L1378" t="s">
        <v>31</v>
      </c>
      <c r="M1378" t="s">
        <v>27</v>
      </c>
      <c r="N1378" t="s">
        <v>27</v>
      </c>
      <c r="O1378" t="s">
        <v>27</v>
      </c>
      <c r="P1378" t="s">
        <v>31</v>
      </c>
      <c r="Q1378" t="s">
        <v>31</v>
      </c>
      <c r="R1378" t="s">
        <v>31</v>
      </c>
      <c r="S1378" t="s">
        <v>31</v>
      </c>
      <c r="T1378" t="s">
        <v>31</v>
      </c>
    </row>
    <row r="1379" spans="1:20" hidden="1" x14ac:dyDescent="0.3">
      <c r="A1379" t="s">
        <v>2445</v>
      </c>
      <c r="B1379" t="s">
        <v>51</v>
      </c>
      <c r="C1379" t="s">
        <v>37</v>
      </c>
      <c r="D1379" t="s">
        <v>56</v>
      </c>
      <c r="E1379">
        <v>2014</v>
      </c>
      <c r="F1379">
        <v>90000</v>
      </c>
      <c r="G1379" t="s">
        <v>31</v>
      </c>
      <c r="H1379" t="s">
        <v>2645</v>
      </c>
      <c r="I1379" t="s">
        <v>34</v>
      </c>
      <c r="J1379" t="s">
        <v>4511</v>
      </c>
      <c r="K1379" t="s">
        <v>4512</v>
      </c>
      <c r="L1379" t="s">
        <v>54</v>
      </c>
      <c r="M1379" t="s">
        <v>27</v>
      </c>
      <c r="N1379" t="s">
        <v>27</v>
      </c>
      <c r="O1379" t="s">
        <v>27</v>
      </c>
      <c r="P1379" t="s">
        <v>31</v>
      </c>
      <c r="Q1379" t="s">
        <v>31</v>
      </c>
      <c r="R1379" t="s">
        <v>31</v>
      </c>
      <c r="S1379" t="s">
        <v>31</v>
      </c>
      <c r="T1379" t="s">
        <v>31</v>
      </c>
    </row>
    <row r="1380" spans="1:20" hidden="1" x14ac:dyDescent="0.3">
      <c r="A1380" t="s">
        <v>2446</v>
      </c>
      <c r="B1380" t="s">
        <v>51</v>
      </c>
      <c r="C1380" t="s">
        <v>37</v>
      </c>
      <c r="D1380" t="s">
        <v>121</v>
      </c>
      <c r="E1380">
        <v>2014</v>
      </c>
      <c r="F1380" t="s">
        <v>31</v>
      </c>
      <c r="G1380" t="s">
        <v>31</v>
      </c>
      <c r="H1380" t="s">
        <v>2678</v>
      </c>
      <c r="I1380" t="s">
        <v>53</v>
      </c>
      <c r="J1380" t="s">
        <v>4513</v>
      </c>
      <c r="K1380" t="s">
        <v>31</v>
      </c>
      <c r="L1380" t="s">
        <v>31</v>
      </c>
      <c r="M1380" t="s">
        <v>27</v>
      </c>
      <c r="N1380" t="s">
        <v>27</v>
      </c>
      <c r="O1380" t="s">
        <v>33</v>
      </c>
      <c r="P1380" t="s">
        <v>31</v>
      </c>
      <c r="Q1380" t="s">
        <v>31</v>
      </c>
      <c r="R1380" t="s">
        <v>31</v>
      </c>
      <c r="S1380" t="s">
        <v>31</v>
      </c>
      <c r="T1380" t="s">
        <v>31</v>
      </c>
    </row>
    <row r="1381" spans="1:20" hidden="1" x14ac:dyDescent="0.3">
      <c r="A1381" t="s">
        <v>2447</v>
      </c>
      <c r="B1381" t="s">
        <v>51</v>
      </c>
      <c r="C1381" t="s">
        <v>37</v>
      </c>
      <c r="D1381" t="s">
        <v>121</v>
      </c>
      <c r="E1381">
        <v>2014</v>
      </c>
      <c r="F1381" t="s">
        <v>31</v>
      </c>
      <c r="G1381" t="s">
        <v>31</v>
      </c>
      <c r="H1381" t="s">
        <v>2678</v>
      </c>
      <c r="I1381" t="s">
        <v>53</v>
      </c>
      <c r="J1381" t="s">
        <v>4514</v>
      </c>
      <c r="K1381" t="s">
        <v>31</v>
      </c>
      <c r="L1381" t="s">
        <v>31</v>
      </c>
      <c r="M1381" t="s">
        <v>27</v>
      </c>
      <c r="N1381" t="s">
        <v>27</v>
      </c>
      <c r="O1381" t="s">
        <v>27</v>
      </c>
      <c r="P1381" t="s">
        <v>31</v>
      </c>
      <c r="Q1381" t="s">
        <v>31</v>
      </c>
      <c r="R1381" t="s">
        <v>31</v>
      </c>
      <c r="S1381" t="s">
        <v>31</v>
      </c>
      <c r="T1381" t="s">
        <v>31</v>
      </c>
    </row>
    <row r="1382" spans="1:20" hidden="1" x14ac:dyDescent="0.3">
      <c r="A1382" t="s">
        <v>2448</v>
      </c>
      <c r="B1382" t="s">
        <v>39</v>
      </c>
      <c r="C1382" t="s">
        <v>157</v>
      </c>
      <c r="D1382" t="s">
        <v>157</v>
      </c>
      <c r="E1382">
        <v>2014</v>
      </c>
      <c r="F1382">
        <v>2200000</v>
      </c>
      <c r="G1382" t="s">
        <v>31</v>
      </c>
      <c r="H1382" t="s">
        <v>2645</v>
      </c>
      <c r="I1382" t="s">
        <v>34</v>
      </c>
      <c r="J1382" t="s">
        <v>4515</v>
      </c>
      <c r="K1382" t="s">
        <v>31</v>
      </c>
      <c r="L1382" t="s">
        <v>31</v>
      </c>
      <c r="M1382" t="s">
        <v>27</v>
      </c>
      <c r="N1382" t="s">
        <v>27</v>
      </c>
      <c r="O1382" t="s">
        <v>27</v>
      </c>
      <c r="P1382" t="s">
        <v>31</v>
      </c>
      <c r="Q1382" t="s">
        <v>31</v>
      </c>
      <c r="R1382" t="s">
        <v>31</v>
      </c>
      <c r="S1382" t="s">
        <v>31</v>
      </c>
      <c r="T1382" t="s">
        <v>31</v>
      </c>
    </row>
    <row r="1383" spans="1:20" hidden="1" x14ac:dyDescent="0.3">
      <c r="A1383" t="s">
        <v>2449</v>
      </c>
      <c r="B1383" t="s">
        <v>39</v>
      </c>
      <c r="C1383" t="s">
        <v>157</v>
      </c>
      <c r="D1383" t="s">
        <v>157</v>
      </c>
      <c r="E1383">
        <v>2014</v>
      </c>
      <c r="F1383">
        <v>2000</v>
      </c>
      <c r="G1383" t="s">
        <v>31</v>
      </c>
      <c r="H1383" t="s">
        <v>2749</v>
      </c>
      <c r="I1383" t="s">
        <v>45</v>
      </c>
      <c r="J1383" t="s">
        <v>4516</v>
      </c>
      <c r="K1383" t="s">
        <v>4517</v>
      </c>
      <c r="L1383" t="s">
        <v>196</v>
      </c>
      <c r="M1383" t="s">
        <v>27</v>
      </c>
      <c r="N1383" t="s">
        <v>27</v>
      </c>
      <c r="O1383" t="s">
        <v>33</v>
      </c>
      <c r="P1383" t="s">
        <v>31</v>
      </c>
      <c r="Q1383" t="s">
        <v>31</v>
      </c>
      <c r="R1383" t="s">
        <v>31</v>
      </c>
      <c r="S1383" t="s">
        <v>31</v>
      </c>
      <c r="T1383" t="s">
        <v>31</v>
      </c>
    </row>
    <row r="1384" spans="1:20" hidden="1" x14ac:dyDescent="0.3">
      <c r="A1384" t="s">
        <v>2450</v>
      </c>
      <c r="B1384" t="s">
        <v>39</v>
      </c>
      <c r="C1384" t="s">
        <v>157</v>
      </c>
      <c r="D1384" t="s">
        <v>157</v>
      </c>
      <c r="E1384">
        <v>2014</v>
      </c>
      <c r="F1384">
        <v>10000</v>
      </c>
      <c r="G1384" t="s">
        <v>31</v>
      </c>
      <c r="H1384" t="s">
        <v>2751</v>
      </c>
      <c r="I1384" t="s">
        <v>234</v>
      </c>
      <c r="J1384" t="s">
        <v>4518</v>
      </c>
      <c r="K1384" t="s">
        <v>31</v>
      </c>
      <c r="L1384" t="s">
        <v>196</v>
      </c>
      <c r="M1384" t="s">
        <v>27</v>
      </c>
      <c r="N1384" t="s">
        <v>27</v>
      </c>
      <c r="O1384" t="s">
        <v>27</v>
      </c>
      <c r="P1384" t="s">
        <v>31</v>
      </c>
      <c r="Q1384" t="s">
        <v>31</v>
      </c>
      <c r="R1384" t="s">
        <v>31</v>
      </c>
      <c r="S1384" t="s">
        <v>31</v>
      </c>
      <c r="T1384" t="s">
        <v>31</v>
      </c>
    </row>
    <row r="1385" spans="1:20" hidden="1" x14ac:dyDescent="0.3">
      <c r="A1385" t="s">
        <v>307</v>
      </c>
      <c r="B1385" t="s">
        <v>39</v>
      </c>
      <c r="C1385" t="s">
        <v>157</v>
      </c>
      <c r="D1385" t="s">
        <v>157</v>
      </c>
      <c r="E1385">
        <v>2015</v>
      </c>
      <c r="F1385" t="s">
        <v>31</v>
      </c>
      <c r="G1385" t="s">
        <v>31</v>
      </c>
      <c r="H1385" t="s">
        <v>2647</v>
      </c>
      <c r="I1385" t="s">
        <v>47</v>
      </c>
      <c r="J1385" t="s">
        <v>4519</v>
      </c>
      <c r="K1385" t="s">
        <v>3910</v>
      </c>
      <c r="L1385" t="s">
        <v>40</v>
      </c>
      <c r="M1385" t="s">
        <v>27</v>
      </c>
      <c r="N1385" t="s">
        <v>27</v>
      </c>
      <c r="O1385" t="s">
        <v>27</v>
      </c>
      <c r="P1385" t="s">
        <v>31</v>
      </c>
      <c r="Q1385" t="s">
        <v>31</v>
      </c>
      <c r="R1385" t="s">
        <v>31</v>
      </c>
      <c r="S1385" t="s">
        <v>31</v>
      </c>
      <c r="T1385" t="s">
        <v>31</v>
      </c>
    </row>
    <row r="1386" spans="1:20" hidden="1" x14ac:dyDescent="0.3">
      <c r="A1386" t="s">
        <v>308</v>
      </c>
      <c r="B1386" t="s">
        <v>39</v>
      </c>
      <c r="C1386" t="s">
        <v>157</v>
      </c>
      <c r="D1386" t="s">
        <v>157</v>
      </c>
      <c r="E1386">
        <v>2015</v>
      </c>
      <c r="F1386">
        <v>4500000</v>
      </c>
      <c r="G1386" t="s">
        <v>31</v>
      </c>
      <c r="H1386" t="s">
        <v>2645</v>
      </c>
      <c r="I1386" t="s">
        <v>34</v>
      </c>
      <c r="J1386" t="s">
        <v>4520</v>
      </c>
      <c r="K1386" t="s">
        <v>31</v>
      </c>
      <c r="L1386" t="s">
        <v>31</v>
      </c>
      <c r="M1386" t="s">
        <v>27</v>
      </c>
      <c r="N1386" t="s">
        <v>27</v>
      </c>
      <c r="O1386" t="s">
        <v>27</v>
      </c>
      <c r="P1386" t="s">
        <v>31</v>
      </c>
      <c r="Q1386" t="s">
        <v>31</v>
      </c>
      <c r="R1386" t="s">
        <v>31</v>
      </c>
      <c r="S1386" t="s">
        <v>31</v>
      </c>
      <c r="T1386" t="s">
        <v>31</v>
      </c>
    </row>
    <row r="1387" spans="1:20" hidden="1" x14ac:dyDescent="0.3">
      <c r="A1387" t="s">
        <v>313</v>
      </c>
      <c r="B1387" t="s">
        <v>28</v>
      </c>
      <c r="C1387" t="s">
        <v>29</v>
      </c>
      <c r="D1387" t="s">
        <v>30</v>
      </c>
      <c r="E1387">
        <v>2015</v>
      </c>
      <c r="F1387" t="s">
        <v>31</v>
      </c>
      <c r="G1387" t="s">
        <v>4521</v>
      </c>
      <c r="H1387" t="s">
        <v>2888</v>
      </c>
      <c r="I1387" t="s">
        <v>75</v>
      </c>
      <c r="J1387" t="s">
        <v>3219</v>
      </c>
      <c r="K1387" t="s">
        <v>31</v>
      </c>
      <c r="L1387" t="s">
        <v>31</v>
      </c>
      <c r="M1387" t="s">
        <v>27</v>
      </c>
      <c r="N1387" t="s">
        <v>27</v>
      </c>
      <c r="O1387" t="s">
        <v>27</v>
      </c>
      <c r="P1387">
        <v>1015</v>
      </c>
      <c r="Q1387" t="s">
        <v>31</v>
      </c>
      <c r="R1387" t="s">
        <v>31</v>
      </c>
      <c r="S1387" t="s">
        <v>31</v>
      </c>
      <c r="T1387" t="s">
        <v>31</v>
      </c>
    </row>
    <row r="1388" spans="1:20" hidden="1" x14ac:dyDescent="0.3">
      <c r="A1388" t="s">
        <v>316</v>
      </c>
      <c r="B1388" t="s">
        <v>51</v>
      </c>
      <c r="C1388" t="s">
        <v>37</v>
      </c>
      <c r="D1388" t="s">
        <v>52</v>
      </c>
      <c r="E1388">
        <v>2015</v>
      </c>
      <c r="F1388" t="s">
        <v>31</v>
      </c>
      <c r="G1388" t="s">
        <v>4522</v>
      </c>
      <c r="H1388" t="s">
        <v>2730</v>
      </c>
      <c r="I1388" t="s">
        <v>57</v>
      </c>
      <c r="J1388" t="s">
        <v>4523</v>
      </c>
      <c r="K1388" t="s">
        <v>31</v>
      </c>
      <c r="L1388" t="s">
        <v>31</v>
      </c>
      <c r="M1388" t="s">
        <v>27</v>
      </c>
      <c r="N1388" t="s">
        <v>27</v>
      </c>
      <c r="O1388" t="s">
        <v>27</v>
      </c>
      <c r="P1388" t="s">
        <v>31</v>
      </c>
      <c r="Q1388">
        <v>392899.19</v>
      </c>
      <c r="R1388">
        <v>-29.957000000000001</v>
      </c>
      <c r="S1388">
        <v>-53.572000000000003</v>
      </c>
      <c r="T1388" t="s">
        <v>4524</v>
      </c>
    </row>
    <row r="1389" spans="1:20" hidden="1" x14ac:dyDescent="0.3">
      <c r="A1389" t="s">
        <v>317</v>
      </c>
      <c r="B1389" t="s">
        <v>28</v>
      </c>
      <c r="C1389" t="s">
        <v>29</v>
      </c>
      <c r="D1389" t="s">
        <v>99</v>
      </c>
      <c r="E1389">
        <v>2015</v>
      </c>
      <c r="F1389">
        <v>270000</v>
      </c>
      <c r="G1389" t="s">
        <v>31</v>
      </c>
      <c r="H1389" t="s">
        <v>2645</v>
      </c>
      <c r="I1389" t="s">
        <v>34</v>
      </c>
      <c r="J1389" t="s">
        <v>4525</v>
      </c>
      <c r="K1389" t="s">
        <v>31</v>
      </c>
      <c r="L1389" t="s">
        <v>100</v>
      </c>
      <c r="M1389" t="s">
        <v>27</v>
      </c>
      <c r="N1389" t="s">
        <v>27</v>
      </c>
      <c r="O1389" t="s">
        <v>27</v>
      </c>
      <c r="P1389" t="s">
        <v>31</v>
      </c>
      <c r="Q1389" t="s">
        <v>31</v>
      </c>
      <c r="R1389" t="s">
        <v>31</v>
      </c>
      <c r="S1389" t="s">
        <v>31</v>
      </c>
      <c r="T1389" t="s">
        <v>31</v>
      </c>
    </row>
    <row r="1390" spans="1:20" hidden="1" x14ac:dyDescent="0.3">
      <c r="A1390" t="s">
        <v>318</v>
      </c>
      <c r="B1390" t="s">
        <v>28</v>
      </c>
      <c r="C1390" t="s">
        <v>29</v>
      </c>
      <c r="D1390" t="s">
        <v>30</v>
      </c>
      <c r="E1390">
        <v>2015</v>
      </c>
      <c r="F1390">
        <v>90000</v>
      </c>
      <c r="G1390" t="s">
        <v>4526</v>
      </c>
      <c r="H1390" t="s">
        <v>2804</v>
      </c>
      <c r="I1390" t="s">
        <v>102</v>
      </c>
      <c r="J1390" t="s">
        <v>4527</v>
      </c>
      <c r="K1390" t="s">
        <v>31</v>
      </c>
      <c r="L1390" t="s">
        <v>85</v>
      </c>
      <c r="M1390" t="s">
        <v>33</v>
      </c>
      <c r="N1390" t="s">
        <v>27</v>
      </c>
      <c r="O1390" t="s">
        <v>27</v>
      </c>
      <c r="P1390" t="s">
        <v>31</v>
      </c>
      <c r="Q1390" t="s">
        <v>31</v>
      </c>
      <c r="R1390" t="s">
        <v>31</v>
      </c>
      <c r="S1390" t="s">
        <v>31</v>
      </c>
      <c r="T1390" t="s">
        <v>31</v>
      </c>
    </row>
    <row r="1391" spans="1:20" hidden="1" x14ac:dyDescent="0.3">
      <c r="A1391" t="s">
        <v>320</v>
      </c>
      <c r="B1391" t="s">
        <v>28</v>
      </c>
      <c r="C1391" t="s">
        <v>29</v>
      </c>
      <c r="D1391" t="s">
        <v>30</v>
      </c>
      <c r="E1391">
        <v>2015</v>
      </c>
      <c r="F1391">
        <v>2000000</v>
      </c>
      <c r="G1391" t="s">
        <v>4528</v>
      </c>
      <c r="H1391" t="s">
        <v>2645</v>
      </c>
      <c r="I1391" t="s">
        <v>34</v>
      </c>
      <c r="J1391" t="s">
        <v>4529</v>
      </c>
      <c r="K1391" t="s">
        <v>31</v>
      </c>
      <c r="L1391" t="s">
        <v>37</v>
      </c>
      <c r="M1391" t="s">
        <v>27</v>
      </c>
      <c r="N1391" t="s">
        <v>27</v>
      </c>
      <c r="O1391" t="s">
        <v>27</v>
      </c>
      <c r="P1391" t="s">
        <v>31</v>
      </c>
      <c r="Q1391" t="s">
        <v>31</v>
      </c>
      <c r="R1391">
        <v>33.503</v>
      </c>
      <c r="S1391">
        <v>-80.492999999999995</v>
      </c>
      <c r="T1391" t="s">
        <v>31</v>
      </c>
    </row>
    <row r="1392" spans="1:20" hidden="1" x14ac:dyDescent="0.3">
      <c r="A1392" t="s">
        <v>321</v>
      </c>
      <c r="B1392" t="s">
        <v>51</v>
      </c>
      <c r="C1392" t="s">
        <v>37</v>
      </c>
      <c r="D1392" t="s">
        <v>121</v>
      </c>
      <c r="E1392">
        <v>2015</v>
      </c>
      <c r="F1392" t="s">
        <v>31</v>
      </c>
      <c r="G1392" t="s">
        <v>31</v>
      </c>
      <c r="H1392" t="s">
        <v>2774</v>
      </c>
      <c r="I1392" t="s">
        <v>166</v>
      </c>
      <c r="J1392" t="s">
        <v>4530</v>
      </c>
      <c r="K1392" t="s">
        <v>31</v>
      </c>
      <c r="L1392" t="s">
        <v>31</v>
      </c>
      <c r="M1392" t="s">
        <v>27</v>
      </c>
      <c r="N1392" t="s">
        <v>27</v>
      </c>
      <c r="O1392" t="s">
        <v>27</v>
      </c>
      <c r="P1392" t="s">
        <v>31</v>
      </c>
      <c r="Q1392" t="s">
        <v>31</v>
      </c>
      <c r="R1392" t="s">
        <v>31</v>
      </c>
      <c r="S1392" t="s">
        <v>31</v>
      </c>
      <c r="T1392" t="s">
        <v>31</v>
      </c>
    </row>
    <row r="1393" spans="1:20" hidden="1" x14ac:dyDescent="0.3">
      <c r="A1393" t="s">
        <v>322</v>
      </c>
      <c r="B1393" t="s">
        <v>51</v>
      </c>
      <c r="C1393" t="s">
        <v>37</v>
      </c>
      <c r="D1393" t="s">
        <v>56</v>
      </c>
      <c r="E1393">
        <v>2015</v>
      </c>
      <c r="F1393">
        <v>2000</v>
      </c>
      <c r="G1393" t="s">
        <v>4531</v>
      </c>
      <c r="H1393" t="s">
        <v>2645</v>
      </c>
      <c r="I1393" t="s">
        <v>34</v>
      </c>
      <c r="J1393" t="s">
        <v>4532</v>
      </c>
      <c r="K1393" t="s">
        <v>4533</v>
      </c>
      <c r="L1393" t="s">
        <v>31</v>
      </c>
      <c r="M1393" t="s">
        <v>27</v>
      </c>
      <c r="N1393" t="s">
        <v>27</v>
      </c>
      <c r="O1393" t="s">
        <v>27</v>
      </c>
      <c r="P1393" t="s">
        <v>31</v>
      </c>
      <c r="Q1393" t="s">
        <v>31</v>
      </c>
      <c r="R1393" t="s">
        <v>31</v>
      </c>
      <c r="S1393" t="s">
        <v>31</v>
      </c>
      <c r="T1393" t="s">
        <v>31</v>
      </c>
    </row>
    <row r="1394" spans="1:20" hidden="1" x14ac:dyDescent="0.3">
      <c r="A1394" t="s">
        <v>324</v>
      </c>
      <c r="B1394" t="s">
        <v>28</v>
      </c>
      <c r="C1394" t="s">
        <v>29</v>
      </c>
      <c r="D1394" t="s">
        <v>30</v>
      </c>
      <c r="E1394">
        <v>2015</v>
      </c>
      <c r="F1394">
        <v>482810</v>
      </c>
      <c r="G1394" t="s">
        <v>4521</v>
      </c>
      <c r="H1394" t="s">
        <v>3196</v>
      </c>
      <c r="I1394" t="s">
        <v>35</v>
      </c>
      <c r="J1394" t="s">
        <v>4534</v>
      </c>
      <c r="K1394" t="s">
        <v>31</v>
      </c>
      <c r="L1394" t="s">
        <v>82</v>
      </c>
      <c r="M1394" t="s">
        <v>33</v>
      </c>
      <c r="N1394" t="s">
        <v>27</v>
      </c>
      <c r="O1394" t="s">
        <v>33</v>
      </c>
      <c r="P1394" t="s">
        <v>31</v>
      </c>
      <c r="Q1394" t="s">
        <v>31</v>
      </c>
      <c r="R1394" t="s">
        <v>31</v>
      </c>
      <c r="S1394" t="s">
        <v>31</v>
      </c>
      <c r="T1394" t="s">
        <v>31</v>
      </c>
    </row>
    <row r="1395" spans="1:20" hidden="1" x14ac:dyDescent="0.3">
      <c r="A1395" t="s">
        <v>325</v>
      </c>
      <c r="B1395" t="s">
        <v>51</v>
      </c>
      <c r="C1395" t="s">
        <v>37</v>
      </c>
      <c r="D1395" t="s">
        <v>121</v>
      </c>
      <c r="E1395">
        <v>2015</v>
      </c>
      <c r="F1395" t="s">
        <v>31</v>
      </c>
      <c r="G1395" t="s">
        <v>4535</v>
      </c>
      <c r="H1395" t="s">
        <v>2730</v>
      </c>
      <c r="I1395" t="s">
        <v>57</v>
      </c>
      <c r="J1395" t="s">
        <v>4536</v>
      </c>
      <c r="K1395" t="s">
        <v>4537</v>
      </c>
      <c r="L1395" t="s">
        <v>31</v>
      </c>
      <c r="M1395" t="s">
        <v>27</v>
      </c>
      <c r="N1395" t="s">
        <v>27</v>
      </c>
      <c r="O1395" t="s">
        <v>27</v>
      </c>
      <c r="P1395" t="s">
        <v>31</v>
      </c>
      <c r="Q1395">
        <v>63707.6</v>
      </c>
      <c r="R1395">
        <v>-32.632899999999999</v>
      </c>
      <c r="S1395">
        <v>-55.7</v>
      </c>
      <c r="T1395" t="s">
        <v>31</v>
      </c>
    </row>
    <row r="1396" spans="1:20" hidden="1" x14ac:dyDescent="0.3">
      <c r="A1396" t="s">
        <v>330</v>
      </c>
      <c r="B1396" t="s">
        <v>51</v>
      </c>
      <c r="C1396" t="s">
        <v>37</v>
      </c>
      <c r="D1396" t="s">
        <v>121</v>
      </c>
      <c r="E1396">
        <v>2015</v>
      </c>
      <c r="F1396" t="s">
        <v>31</v>
      </c>
      <c r="G1396" t="s">
        <v>4538</v>
      </c>
      <c r="H1396" t="s">
        <v>2658</v>
      </c>
      <c r="I1396" t="s">
        <v>130</v>
      </c>
      <c r="J1396" t="s">
        <v>4539</v>
      </c>
      <c r="K1396" t="s">
        <v>2649</v>
      </c>
      <c r="L1396" t="s">
        <v>31</v>
      </c>
      <c r="M1396" t="s">
        <v>27</v>
      </c>
      <c r="N1396" t="s">
        <v>27</v>
      </c>
      <c r="O1396" t="s">
        <v>27</v>
      </c>
      <c r="P1396" t="s">
        <v>31</v>
      </c>
      <c r="Q1396">
        <v>133853</v>
      </c>
      <c r="R1396">
        <v>-35.108600000000003</v>
      </c>
      <c r="S1396">
        <v>-59.81</v>
      </c>
      <c r="T1396" t="s">
        <v>31</v>
      </c>
    </row>
    <row r="1397" spans="1:20" hidden="1" x14ac:dyDescent="0.3">
      <c r="A1397" t="s">
        <v>333</v>
      </c>
      <c r="B1397" t="s">
        <v>28</v>
      </c>
      <c r="C1397" t="s">
        <v>2685</v>
      </c>
      <c r="D1397" t="s">
        <v>68</v>
      </c>
      <c r="E1397">
        <v>2015</v>
      </c>
      <c r="F1397">
        <v>94000</v>
      </c>
      <c r="G1397" t="s">
        <v>31</v>
      </c>
      <c r="H1397" t="s">
        <v>2678</v>
      </c>
      <c r="I1397" t="s">
        <v>53</v>
      </c>
      <c r="J1397" t="s">
        <v>4540</v>
      </c>
      <c r="K1397" t="s">
        <v>31</v>
      </c>
      <c r="L1397" t="s">
        <v>31</v>
      </c>
      <c r="M1397" t="s">
        <v>27</v>
      </c>
      <c r="N1397" t="s">
        <v>27</v>
      </c>
      <c r="O1397" t="s">
        <v>33</v>
      </c>
      <c r="P1397" t="s">
        <v>31</v>
      </c>
      <c r="Q1397">
        <v>-20</v>
      </c>
      <c r="R1397" t="s">
        <v>31</v>
      </c>
      <c r="S1397" t="s">
        <v>31</v>
      </c>
      <c r="T1397" t="s">
        <v>31</v>
      </c>
    </row>
    <row r="1398" spans="1:20" hidden="1" x14ac:dyDescent="0.3">
      <c r="A1398" t="s">
        <v>334</v>
      </c>
      <c r="B1398" t="s">
        <v>51</v>
      </c>
      <c r="C1398" t="s">
        <v>37</v>
      </c>
      <c r="D1398" t="s">
        <v>121</v>
      </c>
      <c r="E1398">
        <v>2015</v>
      </c>
      <c r="F1398" t="s">
        <v>31</v>
      </c>
      <c r="G1398" t="s">
        <v>31</v>
      </c>
      <c r="H1398" t="s">
        <v>2709</v>
      </c>
      <c r="I1398" t="s">
        <v>70</v>
      </c>
      <c r="J1398" t="s">
        <v>4541</v>
      </c>
      <c r="K1398" t="s">
        <v>2649</v>
      </c>
      <c r="L1398" t="s">
        <v>31</v>
      </c>
      <c r="M1398" t="s">
        <v>27</v>
      </c>
      <c r="N1398" t="s">
        <v>27</v>
      </c>
      <c r="O1398" t="s">
        <v>33</v>
      </c>
      <c r="P1398" t="s">
        <v>31</v>
      </c>
      <c r="Q1398" t="s">
        <v>31</v>
      </c>
      <c r="R1398" t="s">
        <v>31</v>
      </c>
      <c r="S1398" t="s">
        <v>31</v>
      </c>
      <c r="T1398" t="s">
        <v>31</v>
      </c>
    </row>
    <row r="1399" spans="1:20" hidden="1" x14ac:dyDescent="0.3">
      <c r="A1399" t="s">
        <v>337</v>
      </c>
      <c r="B1399" t="s">
        <v>28</v>
      </c>
      <c r="C1399" t="s">
        <v>29</v>
      </c>
      <c r="D1399" t="s">
        <v>99</v>
      </c>
      <c r="E1399">
        <v>2015</v>
      </c>
      <c r="F1399">
        <v>650000</v>
      </c>
      <c r="G1399" t="s">
        <v>31</v>
      </c>
      <c r="H1399" t="s">
        <v>2645</v>
      </c>
      <c r="I1399" t="s">
        <v>34</v>
      </c>
      <c r="J1399" t="s">
        <v>4542</v>
      </c>
      <c r="K1399" t="s">
        <v>31</v>
      </c>
      <c r="L1399" t="s">
        <v>100</v>
      </c>
      <c r="M1399" t="s">
        <v>27</v>
      </c>
      <c r="N1399" t="s">
        <v>27</v>
      </c>
      <c r="O1399" t="s">
        <v>27</v>
      </c>
      <c r="P1399" t="s">
        <v>31</v>
      </c>
      <c r="Q1399" t="s">
        <v>31</v>
      </c>
      <c r="R1399" t="s">
        <v>31</v>
      </c>
      <c r="S1399" t="s">
        <v>31</v>
      </c>
      <c r="T1399" t="s">
        <v>31</v>
      </c>
    </row>
    <row r="1400" spans="1:20" hidden="1" x14ac:dyDescent="0.3">
      <c r="A1400" t="s">
        <v>342</v>
      </c>
      <c r="B1400" t="s">
        <v>51</v>
      </c>
      <c r="C1400" t="s">
        <v>37</v>
      </c>
      <c r="D1400" t="s">
        <v>56</v>
      </c>
      <c r="E1400">
        <v>2015</v>
      </c>
      <c r="F1400" t="s">
        <v>31</v>
      </c>
      <c r="G1400" t="s">
        <v>4543</v>
      </c>
      <c r="H1400" t="s">
        <v>2645</v>
      </c>
      <c r="I1400" t="s">
        <v>34</v>
      </c>
      <c r="J1400" t="s">
        <v>4544</v>
      </c>
      <c r="K1400" t="s">
        <v>3054</v>
      </c>
      <c r="L1400" t="s">
        <v>31</v>
      </c>
      <c r="M1400" t="s">
        <v>27</v>
      </c>
      <c r="N1400" t="s">
        <v>27</v>
      </c>
      <c r="O1400" t="s">
        <v>27</v>
      </c>
      <c r="P1400" t="s">
        <v>31</v>
      </c>
      <c r="Q1400" t="s">
        <v>31</v>
      </c>
      <c r="R1400" t="s">
        <v>31</v>
      </c>
      <c r="S1400" t="s">
        <v>31</v>
      </c>
      <c r="T1400" t="s">
        <v>31</v>
      </c>
    </row>
    <row r="1401" spans="1:20" hidden="1" x14ac:dyDescent="0.3">
      <c r="A1401" t="s">
        <v>344</v>
      </c>
      <c r="B1401" t="s">
        <v>91</v>
      </c>
      <c r="C1401" t="s">
        <v>2712</v>
      </c>
      <c r="D1401" t="s">
        <v>105</v>
      </c>
      <c r="E1401">
        <v>2015</v>
      </c>
      <c r="F1401">
        <v>600000</v>
      </c>
      <c r="G1401" t="s">
        <v>31</v>
      </c>
      <c r="H1401" t="s">
        <v>2701</v>
      </c>
      <c r="I1401" t="s">
        <v>60</v>
      </c>
      <c r="J1401" t="s">
        <v>4545</v>
      </c>
      <c r="K1401" t="s">
        <v>31</v>
      </c>
      <c r="L1401" t="s">
        <v>31</v>
      </c>
      <c r="M1401" t="s">
        <v>27</v>
      </c>
      <c r="N1401" t="s">
        <v>27</v>
      </c>
      <c r="O1401" t="s">
        <v>27</v>
      </c>
      <c r="P1401" t="s">
        <v>31</v>
      </c>
      <c r="Q1401" t="s">
        <v>31</v>
      </c>
      <c r="R1401" t="s">
        <v>31</v>
      </c>
      <c r="S1401" t="s">
        <v>31</v>
      </c>
      <c r="T1401" t="s">
        <v>31</v>
      </c>
    </row>
    <row r="1402" spans="1:20" hidden="1" x14ac:dyDescent="0.3">
      <c r="A1402" t="s">
        <v>345</v>
      </c>
      <c r="B1402" t="s">
        <v>28</v>
      </c>
      <c r="C1402" t="s">
        <v>29</v>
      </c>
      <c r="D1402" t="s">
        <v>64</v>
      </c>
      <c r="E1402">
        <v>2015</v>
      </c>
      <c r="F1402">
        <v>2000</v>
      </c>
      <c r="G1402" t="s">
        <v>31</v>
      </c>
      <c r="H1402" t="s">
        <v>2672</v>
      </c>
      <c r="I1402" t="s">
        <v>73</v>
      </c>
      <c r="J1402" t="s">
        <v>4546</v>
      </c>
      <c r="K1402" t="s">
        <v>31</v>
      </c>
      <c r="L1402" t="s">
        <v>100</v>
      </c>
      <c r="M1402" t="s">
        <v>27</v>
      </c>
      <c r="N1402" t="s">
        <v>27</v>
      </c>
      <c r="O1402" t="s">
        <v>27</v>
      </c>
      <c r="P1402" t="s">
        <v>31</v>
      </c>
      <c r="Q1402" t="s">
        <v>31</v>
      </c>
      <c r="R1402" t="s">
        <v>31</v>
      </c>
      <c r="S1402" t="s">
        <v>31</v>
      </c>
      <c r="T1402" t="s">
        <v>31</v>
      </c>
    </row>
    <row r="1403" spans="1:20" hidden="1" x14ac:dyDescent="0.3">
      <c r="A1403" t="s">
        <v>346</v>
      </c>
      <c r="B1403" t="s">
        <v>51</v>
      </c>
      <c r="C1403" t="s">
        <v>37</v>
      </c>
      <c r="D1403" t="s">
        <v>121</v>
      </c>
      <c r="E1403">
        <v>2015</v>
      </c>
      <c r="F1403" t="s">
        <v>31</v>
      </c>
      <c r="G1403" t="s">
        <v>4547</v>
      </c>
      <c r="H1403" t="s">
        <v>2666</v>
      </c>
      <c r="I1403" t="s">
        <v>109</v>
      </c>
      <c r="J1403" t="s">
        <v>4548</v>
      </c>
      <c r="K1403" t="s">
        <v>2664</v>
      </c>
      <c r="L1403" t="s">
        <v>54</v>
      </c>
      <c r="M1403" t="s">
        <v>27</v>
      </c>
      <c r="N1403" t="s">
        <v>27</v>
      </c>
      <c r="O1403" t="s">
        <v>27</v>
      </c>
      <c r="P1403" t="s">
        <v>31</v>
      </c>
      <c r="Q1403" t="s">
        <v>31</v>
      </c>
      <c r="R1403" t="s">
        <v>31</v>
      </c>
      <c r="S1403" t="s">
        <v>31</v>
      </c>
      <c r="T1403" t="s">
        <v>31</v>
      </c>
    </row>
    <row r="1404" spans="1:20" hidden="1" x14ac:dyDescent="0.3">
      <c r="A1404" t="s">
        <v>347</v>
      </c>
      <c r="B1404" t="s">
        <v>51</v>
      </c>
      <c r="C1404" t="s">
        <v>37</v>
      </c>
      <c r="D1404" t="s">
        <v>56</v>
      </c>
      <c r="E1404">
        <v>2015</v>
      </c>
      <c r="F1404">
        <v>1500000</v>
      </c>
      <c r="G1404" t="s">
        <v>4549</v>
      </c>
      <c r="H1404" t="s">
        <v>2701</v>
      </c>
      <c r="I1404" t="s">
        <v>60</v>
      </c>
      <c r="J1404" t="s">
        <v>4550</v>
      </c>
      <c r="K1404" t="s">
        <v>31</v>
      </c>
      <c r="L1404" t="s">
        <v>54</v>
      </c>
      <c r="M1404" t="s">
        <v>27</v>
      </c>
      <c r="N1404" t="s">
        <v>27</v>
      </c>
      <c r="O1404" t="s">
        <v>33</v>
      </c>
      <c r="P1404" t="s">
        <v>31</v>
      </c>
      <c r="Q1404">
        <v>154773.20000000001</v>
      </c>
      <c r="R1404">
        <v>-22.361699999999999</v>
      </c>
      <c r="S1404">
        <v>-68.89</v>
      </c>
      <c r="T1404" t="s">
        <v>4551</v>
      </c>
    </row>
    <row r="1405" spans="1:20" hidden="1" x14ac:dyDescent="0.3">
      <c r="A1405" t="s">
        <v>348</v>
      </c>
      <c r="B1405" t="s">
        <v>91</v>
      </c>
      <c r="C1405" t="s">
        <v>2712</v>
      </c>
      <c r="D1405" t="s">
        <v>105</v>
      </c>
      <c r="E1405">
        <v>2015</v>
      </c>
      <c r="F1405" t="s">
        <v>31</v>
      </c>
      <c r="G1405" t="s">
        <v>4552</v>
      </c>
      <c r="H1405" t="s">
        <v>2695</v>
      </c>
      <c r="I1405" t="s">
        <v>161</v>
      </c>
      <c r="J1405" t="s">
        <v>4553</v>
      </c>
      <c r="K1405" t="s">
        <v>31</v>
      </c>
      <c r="L1405" t="s">
        <v>31</v>
      </c>
      <c r="M1405" t="s">
        <v>27</v>
      </c>
      <c r="N1405" t="s">
        <v>27</v>
      </c>
      <c r="O1405" t="s">
        <v>27</v>
      </c>
      <c r="P1405" t="s">
        <v>31</v>
      </c>
      <c r="Q1405" t="s">
        <v>31</v>
      </c>
      <c r="R1405" t="s">
        <v>31</v>
      </c>
      <c r="S1405" t="s">
        <v>31</v>
      </c>
      <c r="T1405" t="s">
        <v>31</v>
      </c>
    </row>
    <row r="1406" spans="1:20" hidden="1" x14ac:dyDescent="0.3">
      <c r="A1406" t="s">
        <v>354</v>
      </c>
      <c r="B1406" t="s">
        <v>28</v>
      </c>
      <c r="C1406" t="s">
        <v>29</v>
      </c>
      <c r="D1406" t="s">
        <v>67</v>
      </c>
      <c r="E1406">
        <v>2015</v>
      </c>
      <c r="F1406">
        <v>80000</v>
      </c>
      <c r="G1406" t="s">
        <v>31</v>
      </c>
      <c r="H1406" t="s">
        <v>2645</v>
      </c>
      <c r="I1406" t="s">
        <v>34</v>
      </c>
      <c r="J1406" t="s">
        <v>4554</v>
      </c>
      <c r="K1406" t="s">
        <v>31</v>
      </c>
      <c r="L1406" t="s">
        <v>355</v>
      </c>
      <c r="M1406" t="s">
        <v>27</v>
      </c>
      <c r="N1406" t="s">
        <v>27</v>
      </c>
      <c r="O1406" t="s">
        <v>33</v>
      </c>
      <c r="P1406" t="s">
        <v>31</v>
      </c>
      <c r="Q1406">
        <v>104</v>
      </c>
      <c r="R1406" t="s">
        <v>31</v>
      </c>
      <c r="S1406" t="s">
        <v>31</v>
      </c>
      <c r="T1406" t="s">
        <v>31</v>
      </c>
    </row>
    <row r="1407" spans="1:20" hidden="1" x14ac:dyDescent="0.3">
      <c r="A1407" t="s">
        <v>356</v>
      </c>
      <c r="B1407" t="s">
        <v>39</v>
      </c>
      <c r="C1407" t="s">
        <v>157</v>
      </c>
      <c r="D1407" t="s">
        <v>157</v>
      </c>
      <c r="E1407">
        <v>2015</v>
      </c>
      <c r="F1407">
        <v>100000</v>
      </c>
      <c r="G1407" t="s">
        <v>4493</v>
      </c>
      <c r="H1407" t="s">
        <v>2680</v>
      </c>
      <c r="I1407" t="s">
        <v>115</v>
      </c>
      <c r="J1407" t="s">
        <v>4555</v>
      </c>
      <c r="K1407" t="s">
        <v>31</v>
      </c>
      <c r="L1407" t="s">
        <v>31</v>
      </c>
      <c r="M1407" t="s">
        <v>27</v>
      </c>
      <c r="N1407" t="s">
        <v>27</v>
      </c>
      <c r="O1407" t="s">
        <v>27</v>
      </c>
      <c r="P1407" t="s">
        <v>31</v>
      </c>
      <c r="Q1407" t="s">
        <v>31</v>
      </c>
      <c r="R1407" t="s">
        <v>31</v>
      </c>
      <c r="S1407" t="s">
        <v>31</v>
      </c>
      <c r="T1407" t="s">
        <v>31</v>
      </c>
    </row>
    <row r="1408" spans="1:20" hidden="1" x14ac:dyDescent="0.3">
      <c r="A1408" t="s">
        <v>368</v>
      </c>
      <c r="B1408" t="s">
        <v>51</v>
      </c>
      <c r="C1408" t="s">
        <v>37</v>
      </c>
      <c r="D1408" t="s">
        <v>121</v>
      </c>
      <c r="E1408">
        <v>2015</v>
      </c>
      <c r="F1408" t="s">
        <v>31</v>
      </c>
      <c r="G1408" t="s">
        <v>31</v>
      </c>
      <c r="H1408" t="s">
        <v>2669</v>
      </c>
      <c r="I1408" t="s">
        <v>111</v>
      </c>
      <c r="J1408" t="s">
        <v>4556</v>
      </c>
      <c r="K1408" t="s">
        <v>31</v>
      </c>
      <c r="L1408" t="s">
        <v>31</v>
      </c>
      <c r="M1408" t="s">
        <v>27</v>
      </c>
      <c r="N1408" t="s">
        <v>27</v>
      </c>
      <c r="O1408" t="s">
        <v>33</v>
      </c>
      <c r="P1408" t="s">
        <v>31</v>
      </c>
      <c r="Q1408" t="s">
        <v>31</v>
      </c>
      <c r="R1408" t="s">
        <v>31</v>
      </c>
      <c r="S1408" t="s">
        <v>31</v>
      </c>
      <c r="T1408" t="s">
        <v>31</v>
      </c>
    </row>
    <row r="1409" spans="1:20" hidden="1" x14ac:dyDescent="0.3">
      <c r="A1409" t="s">
        <v>1162</v>
      </c>
      <c r="B1409" t="s">
        <v>39</v>
      </c>
      <c r="C1409" t="s">
        <v>157</v>
      </c>
      <c r="D1409" t="s">
        <v>157</v>
      </c>
      <c r="E1409">
        <v>2015</v>
      </c>
      <c r="F1409" t="s">
        <v>31</v>
      </c>
      <c r="G1409" t="s">
        <v>4493</v>
      </c>
      <c r="H1409" t="s">
        <v>2695</v>
      </c>
      <c r="I1409" t="s">
        <v>161</v>
      </c>
      <c r="J1409" t="s">
        <v>4557</v>
      </c>
      <c r="K1409" t="s">
        <v>31</v>
      </c>
      <c r="L1409" t="s">
        <v>31</v>
      </c>
      <c r="M1409" t="s">
        <v>27</v>
      </c>
      <c r="N1409" t="s">
        <v>27</v>
      </c>
      <c r="O1409" t="s">
        <v>27</v>
      </c>
      <c r="P1409" t="s">
        <v>31</v>
      </c>
      <c r="Q1409" t="s">
        <v>31</v>
      </c>
      <c r="R1409" t="s">
        <v>31</v>
      </c>
      <c r="S1409" t="s">
        <v>31</v>
      </c>
      <c r="T1409" t="s">
        <v>31</v>
      </c>
    </row>
    <row r="1410" spans="1:20" hidden="1" x14ac:dyDescent="0.3">
      <c r="A1410" t="s">
        <v>1163</v>
      </c>
      <c r="B1410" t="s">
        <v>28</v>
      </c>
      <c r="C1410" t="s">
        <v>29</v>
      </c>
      <c r="D1410" t="s">
        <v>67</v>
      </c>
      <c r="E1410">
        <v>2015</v>
      </c>
      <c r="F1410">
        <v>100000</v>
      </c>
      <c r="G1410" t="s">
        <v>31</v>
      </c>
      <c r="H1410" t="s">
        <v>2645</v>
      </c>
      <c r="I1410" t="s">
        <v>34</v>
      </c>
      <c r="J1410" t="s">
        <v>4558</v>
      </c>
      <c r="K1410" t="s">
        <v>31</v>
      </c>
      <c r="L1410" t="s">
        <v>68</v>
      </c>
      <c r="M1410" t="s">
        <v>27</v>
      </c>
      <c r="N1410" t="s">
        <v>27</v>
      </c>
      <c r="O1410" t="s">
        <v>33</v>
      </c>
      <c r="P1410" t="s">
        <v>31</v>
      </c>
      <c r="Q1410" t="s">
        <v>31</v>
      </c>
      <c r="R1410" t="s">
        <v>31</v>
      </c>
      <c r="S1410" t="s">
        <v>31</v>
      </c>
      <c r="T1410" t="s">
        <v>31</v>
      </c>
    </row>
    <row r="1411" spans="1:20" hidden="1" x14ac:dyDescent="0.3">
      <c r="A1411" t="s">
        <v>1164</v>
      </c>
      <c r="B1411" t="s">
        <v>51</v>
      </c>
      <c r="C1411" t="s">
        <v>2655</v>
      </c>
      <c r="D1411" t="s">
        <v>134</v>
      </c>
      <c r="E1411">
        <v>2015</v>
      </c>
      <c r="F1411">
        <v>5000</v>
      </c>
      <c r="G1411" t="s">
        <v>4559</v>
      </c>
      <c r="H1411" t="s">
        <v>2719</v>
      </c>
      <c r="I1411" t="s">
        <v>90</v>
      </c>
      <c r="J1411" t="s">
        <v>4560</v>
      </c>
      <c r="K1411" t="s">
        <v>31</v>
      </c>
      <c r="L1411" t="s">
        <v>31</v>
      </c>
      <c r="M1411" t="s">
        <v>33</v>
      </c>
      <c r="N1411" t="s">
        <v>27</v>
      </c>
      <c r="O1411" t="s">
        <v>27</v>
      </c>
      <c r="P1411" t="s">
        <v>31</v>
      </c>
      <c r="Q1411" t="s">
        <v>31</v>
      </c>
      <c r="R1411">
        <v>14.826000000000001</v>
      </c>
      <c r="S1411">
        <v>-90.613</v>
      </c>
      <c r="T1411" t="s">
        <v>31</v>
      </c>
    </row>
    <row r="1412" spans="1:20" hidden="1" x14ac:dyDescent="0.3">
      <c r="A1412" t="s">
        <v>1165</v>
      </c>
      <c r="B1412" t="s">
        <v>91</v>
      </c>
      <c r="C1412" t="s">
        <v>92</v>
      </c>
      <c r="D1412" t="s">
        <v>93</v>
      </c>
      <c r="E1412">
        <v>2015</v>
      </c>
      <c r="F1412" t="s">
        <v>31</v>
      </c>
      <c r="G1412" t="s">
        <v>4561</v>
      </c>
      <c r="H1412" t="s">
        <v>2647</v>
      </c>
      <c r="I1412" t="s">
        <v>47</v>
      </c>
      <c r="J1412" t="s">
        <v>4562</v>
      </c>
      <c r="K1412" t="s">
        <v>31</v>
      </c>
      <c r="L1412" t="s">
        <v>54</v>
      </c>
      <c r="M1412" t="s">
        <v>27</v>
      </c>
      <c r="N1412" t="s">
        <v>27</v>
      </c>
      <c r="O1412" t="s">
        <v>27</v>
      </c>
      <c r="P1412" t="s">
        <v>31</v>
      </c>
      <c r="Q1412">
        <v>6.2</v>
      </c>
      <c r="R1412">
        <v>6.7756999999999996</v>
      </c>
      <c r="S1412">
        <v>-72.987499999999997</v>
      </c>
      <c r="T1412" t="s">
        <v>31</v>
      </c>
    </row>
    <row r="1413" spans="1:20" hidden="1" x14ac:dyDescent="0.3">
      <c r="A1413" t="s">
        <v>1166</v>
      </c>
      <c r="B1413" t="s">
        <v>51</v>
      </c>
      <c r="C1413" t="s">
        <v>37</v>
      </c>
      <c r="D1413" t="s">
        <v>121</v>
      </c>
      <c r="E1413">
        <v>2015</v>
      </c>
      <c r="F1413" t="s">
        <v>31</v>
      </c>
      <c r="G1413" t="s">
        <v>4563</v>
      </c>
      <c r="H1413" t="s">
        <v>2749</v>
      </c>
      <c r="I1413" t="s">
        <v>45</v>
      </c>
      <c r="J1413" t="s">
        <v>4564</v>
      </c>
      <c r="K1413" t="s">
        <v>2649</v>
      </c>
      <c r="L1413" t="s">
        <v>31</v>
      </c>
      <c r="M1413" t="s">
        <v>27</v>
      </c>
      <c r="N1413" t="s">
        <v>27</v>
      </c>
      <c r="O1413" t="s">
        <v>27</v>
      </c>
      <c r="P1413" t="s">
        <v>31</v>
      </c>
      <c r="Q1413">
        <v>3672</v>
      </c>
      <c r="R1413">
        <v>18.695</v>
      </c>
      <c r="S1413">
        <v>-72.19</v>
      </c>
      <c r="T1413" t="s">
        <v>31</v>
      </c>
    </row>
    <row r="1414" spans="1:20" hidden="1" x14ac:dyDescent="0.3">
      <c r="A1414" t="s">
        <v>1167</v>
      </c>
      <c r="B1414" t="s">
        <v>28</v>
      </c>
      <c r="C1414" t="s">
        <v>29</v>
      </c>
      <c r="D1414" t="s">
        <v>67</v>
      </c>
      <c r="E1414">
        <v>2015</v>
      </c>
      <c r="F1414">
        <v>170000</v>
      </c>
      <c r="G1414" t="s">
        <v>31</v>
      </c>
      <c r="H1414" t="s">
        <v>2645</v>
      </c>
      <c r="I1414" t="s">
        <v>34</v>
      </c>
      <c r="J1414" t="s">
        <v>4565</v>
      </c>
      <c r="K1414" t="s">
        <v>31</v>
      </c>
      <c r="L1414" t="s">
        <v>31</v>
      </c>
      <c r="M1414" t="s">
        <v>27</v>
      </c>
      <c r="N1414" t="s">
        <v>27</v>
      </c>
      <c r="O1414" t="s">
        <v>27</v>
      </c>
      <c r="P1414" t="s">
        <v>31</v>
      </c>
      <c r="Q1414" t="s">
        <v>31</v>
      </c>
      <c r="R1414" t="s">
        <v>31</v>
      </c>
      <c r="S1414" t="s">
        <v>31</v>
      </c>
      <c r="T1414" t="s">
        <v>31</v>
      </c>
    </row>
    <row r="1415" spans="1:20" hidden="1" x14ac:dyDescent="0.3">
      <c r="A1415" t="s">
        <v>1168</v>
      </c>
      <c r="B1415" t="s">
        <v>51</v>
      </c>
      <c r="C1415" t="s">
        <v>37</v>
      </c>
      <c r="D1415" t="s">
        <v>121</v>
      </c>
      <c r="E1415">
        <v>2015</v>
      </c>
      <c r="F1415" t="s">
        <v>31</v>
      </c>
      <c r="G1415" t="s">
        <v>31</v>
      </c>
      <c r="H1415" t="s">
        <v>2647</v>
      </c>
      <c r="I1415" t="s">
        <v>47</v>
      </c>
      <c r="J1415" t="s">
        <v>4566</v>
      </c>
      <c r="K1415" t="s">
        <v>31</v>
      </c>
      <c r="L1415" t="s">
        <v>31</v>
      </c>
      <c r="M1415" t="s">
        <v>27</v>
      </c>
      <c r="N1415" t="s">
        <v>27</v>
      </c>
      <c r="O1415" t="s">
        <v>27</v>
      </c>
      <c r="P1415" t="s">
        <v>31</v>
      </c>
      <c r="Q1415" t="s">
        <v>31</v>
      </c>
      <c r="R1415" t="s">
        <v>31</v>
      </c>
      <c r="S1415" t="s">
        <v>31</v>
      </c>
      <c r="T1415" t="s">
        <v>31</v>
      </c>
    </row>
    <row r="1416" spans="1:20" hidden="1" x14ac:dyDescent="0.3">
      <c r="A1416" t="s">
        <v>1169</v>
      </c>
      <c r="B1416" t="s">
        <v>28</v>
      </c>
      <c r="C1416" t="s">
        <v>29</v>
      </c>
      <c r="D1416" t="s">
        <v>97</v>
      </c>
      <c r="E1416">
        <v>2015</v>
      </c>
      <c r="F1416">
        <v>500000</v>
      </c>
      <c r="G1416" t="s">
        <v>31</v>
      </c>
      <c r="H1416" t="s">
        <v>2645</v>
      </c>
      <c r="I1416" t="s">
        <v>34</v>
      </c>
      <c r="J1416" t="s">
        <v>4567</v>
      </c>
      <c r="K1416" t="s">
        <v>31</v>
      </c>
      <c r="L1416" t="s">
        <v>65</v>
      </c>
      <c r="M1416" t="s">
        <v>27</v>
      </c>
      <c r="N1416" t="s">
        <v>27</v>
      </c>
      <c r="O1416" t="s">
        <v>27</v>
      </c>
      <c r="P1416" t="s">
        <v>31</v>
      </c>
      <c r="Q1416">
        <v>110</v>
      </c>
      <c r="R1416" t="s">
        <v>31</v>
      </c>
      <c r="S1416" t="s">
        <v>31</v>
      </c>
      <c r="T1416" t="s">
        <v>31</v>
      </c>
    </row>
    <row r="1417" spans="1:20" hidden="1" x14ac:dyDescent="0.3">
      <c r="A1417" t="s">
        <v>1170</v>
      </c>
      <c r="B1417" t="s">
        <v>28</v>
      </c>
      <c r="C1417" t="s">
        <v>29</v>
      </c>
      <c r="D1417" t="s">
        <v>97</v>
      </c>
      <c r="E1417">
        <v>2015</v>
      </c>
      <c r="F1417">
        <v>1400000</v>
      </c>
      <c r="G1417" t="s">
        <v>31</v>
      </c>
      <c r="H1417" t="s">
        <v>2645</v>
      </c>
      <c r="I1417" t="s">
        <v>34</v>
      </c>
      <c r="J1417" t="s">
        <v>4568</v>
      </c>
      <c r="K1417" t="s">
        <v>31</v>
      </c>
      <c r="L1417" t="s">
        <v>100</v>
      </c>
      <c r="M1417" t="s">
        <v>27</v>
      </c>
      <c r="N1417" t="s">
        <v>27</v>
      </c>
      <c r="O1417" t="s">
        <v>27</v>
      </c>
      <c r="P1417" t="s">
        <v>31</v>
      </c>
      <c r="Q1417" t="s">
        <v>31</v>
      </c>
      <c r="R1417" t="s">
        <v>31</v>
      </c>
      <c r="S1417" t="s">
        <v>31</v>
      </c>
      <c r="T1417" t="s">
        <v>31</v>
      </c>
    </row>
    <row r="1418" spans="1:20" hidden="1" x14ac:dyDescent="0.3">
      <c r="A1418" t="s">
        <v>1171</v>
      </c>
      <c r="B1418" t="s">
        <v>91</v>
      </c>
      <c r="C1418" t="s">
        <v>2712</v>
      </c>
      <c r="D1418" t="s">
        <v>105</v>
      </c>
      <c r="E1418">
        <v>2015</v>
      </c>
      <c r="F1418" t="s">
        <v>31</v>
      </c>
      <c r="G1418" t="s">
        <v>31</v>
      </c>
      <c r="H1418" t="s">
        <v>2701</v>
      </c>
      <c r="I1418" t="s">
        <v>60</v>
      </c>
      <c r="J1418" t="s">
        <v>4569</v>
      </c>
      <c r="K1418" t="s">
        <v>31</v>
      </c>
      <c r="L1418" t="s">
        <v>31</v>
      </c>
      <c r="M1418" t="s">
        <v>27</v>
      </c>
      <c r="N1418" t="s">
        <v>27</v>
      </c>
      <c r="O1418" t="s">
        <v>27</v>
      </c>
      <c r="P1418" t="s">
        <v>31</v>
      </c>
      <c r="Q1418" t="s">
        <v>31</v>
      </c>
      <c r="R1418" t="s">
        <v>31</v>
      </c>
      <c r="S1418" t="s">
        <v>31</v>
      </c>
      <c r="T1418" t="s">
        <v>31</v>
      </c>
    </row>
    <row r="1419" spans="1:20" hidden="1" x14ac:dyDescent="0.3">
      <c r="A1419" t="s">
        <v>1172</v>
      </c>
      <c r="B1419" t="s">
        <v>51</v>
      </c>
      <c r="C1419" t="s">
        <v>37</v>
      </c>
      <c r="D1419" t="s">
        <v>56</v>
      </c>
      <c r="E1419">
        <v>2015</v>
      </c>
      <c r="F1419" t="s">
        <v>31</v>
      </c>
      <c r="G1419" t="s">
        <v>31</v>
      </c>
      <c r="H1419" t="s">
        <v>2716</v>
      </c>
      <c r="I1419" t="s">
        <v>242</v>
      </c>
      <c r="J1419" t="s">
        <v>4570</v>
      </c>
      <c r="K1419" t="s">
        <v>3054</v>
      </c>
      <c r="L1419" t="s">
        <v>29</v>
      </c>
      <c r="M1419" t="s">
        <v>27</v>
      </c>
      <c r="N1419" t="s">
        <v>27</v>
      </c>
      <c r="O1419" t="s">
        <v>27</v>
      </c>
      <c r="P1419" t="s">
        <v>31</v>
      </c>
      <c r="Q1419" t="s">
        <v>31</v>
      </c>
      <c r="R1419" t="s">
        <v>31</v>
      </c>
      <c r="S1419" t="s">
        <v>31</v>
      </c>
      <c r="T1419" t="s">
        <v>31</v>
      </c>
    </row>
    <row r="1420" spans="1:20" hidden="1" x14ac:dyDescent="0.3">
      <c r="A1420" t="s">
        <v>1173</v>
      </c>
      <c r="B1420" t="s">
        <v>28</v>
      </c>
      <c r="C1420" t="s">
        <v>29</v>
      </c>
      <c r="D1420" t="s">
        <v>1174</v>
      </c>
      <c r="E1420">
        <v>2015</v>
      </c>
      <c r="F1420" t="s">
        <v>31</v>
      </c>
      <c r="G1420" t="s">
        <v>31</v>
      </c>
      <c r="H1420" t="s">
        <v>2680</v>
      </c>
      <c r="I1420" t="s">
        <v>115</v>
      </c>
      <c r="J1420" t="s">
        <v>4571</v>
      </c>
      <c r="K1420" t="s">
        <v>31</v>
      </c>
      <c r="L1420" t="s">
        <v>31</v>
      </c>
      <c r="M1420" t="s">
        <v>27</v>
      </c>
      <c r="N1420" t="s">
        <v>27</v>
      </c>
      <c r="O1420" t="s">
        <v>27</v>
      </c>
      <c r="P1420" t="s">
        <v>31</v>
      </c>
      <c r="Q1420" t="s">
        <v>31</v>
      </c>
      <c r="R1420" t="s">
        <v>31</v>
      </c>
      <c r="S1420" t="s">
        <v>31</v>
      </c>
      <c r="T1420" t="s">
        <v>31</v>
      </c>
    </row>
    <row r="1421" spans="1:20" hidden="1" x14ac:dyDescent="0.3">
      <c r="A1421" t="s">
        <v>1175</v>
      </c>
      <c r="B1421" t="s">
        <v>51</v>
      </c>
      <c r="C1421" t="s">
        <v>37</v>
      </c>
      <c r="D1421" t="s">
        <v>121</v>
      </c>
      <c r="E1421">
        <v>2015</v>
      </c>
      <c r="F1421" t="s">
        <v>31</v>
      </c>
      <c r="G1421" t="s">
        <v>4572</v>
      </c>
      <c r="H1421" t="s">
        <v>2678</v>
      </c>
      <c r="I1421" t="s">
        <v>53</v>
      </c>
      <c r="J1421" t="s">
        <v>4573</v>
      </c>
      <c r="K1421" t="s">
        <v>31</v>
      </c>
      <c r="L1421" t="s">
        <v>31</v>
      </c>
      <c r="M1421" t="s">
        <v>27</v>
      </c>
      <c r="N1421" t="s">
        <v>27</v>
      </c>
      <c r="O1421" t="s">
        <v>33</v>
      </c>
      <c r="P1421" t="s">
        <v>31</v>
      </c>
      <c r="Q1421" t="s">
        <v>31</v>
      </c>
      <c r="R1421" t="s">
        <v>31</v>
      </c>
      <c r="S1421" t="s">
        <v>31</v>
      </c>
      <c r="T1421" t="s">
        <v>31</v>
      </c>
    </row>
    <row r="1422" spans="1:20" hidden="1" x14ac:dyDescent="0.3">
      <c r="A1422" t="s">
        <v>1176</v>
      </c>
      <c r="B1422" t="s">
        <v>39</v>
      </c>
      <c r="C1422" t="s">
        <v>40</v>
      </c>
      <c r="D1422" t="s">
        <v>41</v>
      </c>
      <c r="E1422">
        <v>2015</v>
      </c>
      <c r="F1422" t="s">
        <v>31</v>
      </c>
      <c r="G1422" t="s">
        <v>31</v>
      </c>
      <c r="H1422" t="s">
        <v>2739</v>
      </c>
      <c r="I1422" t="s">
        <v>77</v>
      </c>
      <c r="J1422" t="s">
        <v>4574</v>
      </c>
      <c r="K1422" t="s">
        <v>4575</v>
      </c>
      <c r="L1422" t="s">
        <v>31</v>
      </c>
      <c r="M1422" t="s">
        <v>27</v>
      </c>
      <c r="N1422" t="s">
        <v>27</v>
      </c>
      <c r="O1422" t="s">
        <v>27</v>
      </c>
      <c r="P1422" t="s">
        <v>31</v>
      </c>
      <c r="Q1422" t="s">
        <v>31</v>
      </c>
      <c r="R1422" t="s">
        <v>31</v>
      </c>
      <c r="S1422" t="s">
        <v>31</v>
      </c>
      <c r="T1422" t="s">
        <v>31</v>
      </c>
    </row>
    <row r="1423" spans="1:20" hidden="1" x14ac:dyDescent="0.3">
      <c r="A1423" t="s">
        <v>1177</v>
      </c>
      <c r="B1423" t="s">
        <v>28</v>
      </c>
      <c r="C1423" t="s">
        <v>29</v>
      </c>
      <c r="D1423" t="s">
        <v>64</v>
      </c>
      <c r="E1423">
        <v>2015</v>
      </c>
      <c r="F1423" t="s">
        <v>31</v>
      </c>
      <c r="G1423" t="s">
        <v>31</v>
      </c>
      <c r="H1423" t="s">
        <v>2701</v>
      </c>
      <c r="I1423" t="s">
        <v>60</v>
      </c>
      <c r="J1423" t="s">
        <v>4576</v>
      </c>
      <c r="K1423" t="s">
        <v>31</v>
      </c>
      <c r="L1423" t="s">
        <v>82</v>
      </c>
      <c r="M1423" t="s">
        <v>27</v>
      </c>
      <c r="N1423" t="s">
        <v>27</v>
      </c>
      <c r="O1423" t="s">
        <v>27</v>
      </c>
      <c r="P1423" t="s">
        <v>31</v>
      </c>
      <c r="Q1423" t="s">
        <v>31</v>
      </c>
      <c r="R1423" t="s">
        <v>31</v>
      </c>
      <c r="S1423" t="s">
        <v>31</v>
      </c>
      <c r="T1423" t="s">
        <v>31</v>
      </c>
    </row>
    <row r="1424" spans="1:20" hidden="1" x14ac:dyDescent="0.3">
      <c r="A1424" t="s">
        <v>1178</v>
      </c>
      <c r="B1424" t="s">
        <v>43</v>
      </c>
      <c r="C1424" t="s">
        <v>2665</v>
      </c>
      <c r="D1424" t="s">
        <v>44</v>
      </c>
      <c r="E1424">
        <v>2015</v>
      </c>
      <c r="F1424" t="s">
        <v>31</v>
      </c>
      <c r="G1424" t="s">
        <v>31</v>
      </c>
      <c r="H1424" t="s">
        <v>2749</v>
      </c>
      <c r="I1424" t="s">
        <v>45</v>
      </c>
      <c r="J1424" t="s">
        <v>31</v>
      </c>
      <c r="K1424" t="s">
        <v>31</v>
      </c>
      <c r="L1424" t="s">
        <v>31</v>
      </c>
      <c r="M1424" t="s">
        <v>27</v>
      </c>
      <c r="N1424" t="s">
        <v>27</v>
      </c>
      <c r="O1424" t="s">
        <v>27</v>
      </c>
      <c r="P1424" t="s">
        <v>31</v>
      </c>
      <c r="Q1424" t="s">
        <v>31</v>
      </c>
      <c r="R1424" t="s">
        <v>31</v>
      </c>
      <c r="S1424" t="s">
        <v>31</v>
      </c>
      <c r="T1424" t="s">
        <v>31</v>
      </c>
    </row>
    <row r="1425" spans="1:20" hidden="1" x14ac:dyDescent="0.3">
      <c r="A1425" t="s">
        <v>1179</v>
      </c>
      <c r="B1425" t="s">
        <v>28</v>
      </c>
      <c r="C1425" t="s">
        <v>29</v>
      </c>
      <c r="D1425" t="s">
        <v>30</v>
      </c>
      <c r="E1425">
        <v>2015</v>
      </c>
      <c r="F1425" t="s">
        <v>31</v>
      </c>
      <c r="G1425" t="s">
        <v>4521</v>
      </c>
      <c r="H1425" t="s">
        <v>2749</v>
      </c>
      <c r="I1425" t="s">
        <v>45</v>
      </c>
      <c r="J1425" t="s">
        <v>4577</v>
      </c>
      <c r="K1425" t="s">
        <v>31</v>
      </c>
      <c r="L1425" t="s">
        <v>37</v>
      </c>
      <c r="M1425" t="s">
        <v>27</v>
      </c>
      <c r="N1425" t="s">
        <v>27</v>
      </c>
      <c r="O1425" t="s">
        <v>27</v>
      </c>
      <c r="P1425" t="s">
        <v>31</v>
      </c>
      <c r="Q1425" t="s">
        <v>31</v>
      </c>
      <c r="R1425" t="s">
        <v>31</v>
      </c>
      <c r="S1425" t="s">
        <v>31</v>
      </c>
      <c r="T1425" t="s">
        <v>31</v>
      </c>
    </row>
    <row r="1426" spans="1:20" hidden="1" x14ac:dyDescent="0.3">
      <c r="A1426" t="s">
        <v>1180</v>
      </c>
      <c r="B1426" t="s">
        <v>51</v>
      </c>
      <c r="C1426" t="s">
        <v>37</v>
      </c>
      <c r="D1426" t="s">
        <v>121</v>
      </c>
      <c r="E1426">
        <v>2015</v>
      </c>
      <c r="F1426" t="s">
        <v>31</v>
      </c>
      <c r="G1426" t="s">
        <v>4578</v>
      </c>
      <c r="H1426" t="s">
        <v>2672</v>
      </c>
      <c r="I1426" t="s">
        <v>73</v>
      </c>
      <c r="J1426" t="s">
        <v>4579</v>
      </c>
      <c r="K1426" t="s">
        <v>2664</v>
      </c>
      <c r="L1426" t="s">
        <v>31</v>
      </c>
      <c r="M1426" t="s">
        <v>27</v>
      </c>
      <c r="N1426" t="s">
        <v>27</v>
      </c>
      <c r="O1426" t="s">
        <v>27</v>
      </c>
      <c r="P1426" t="s">
        <v>31</v>
      </c>
      <c r="Q1426">
        <v>60978.86</v>
      </c>
      <c r="R1426">
        <v>19.481100000000001</v>
      </c>
      <c r="S1426">
        <v>-103.43</v>
      </c>
      <c r="T1426" t="s">
        <v>31</v>
      </c>
    </row>
    <row r="1427" spans="1:20" hidden="1" x14ac:dyDescent="0.3">
      <c r="A1427" t="s">
        <v>1181</v>
      </c>
      <c r="B1427" t="s">
        <v>28</v>
      </c>
      <c r="C1427" t="s">
        <v>29</v>
      </c>
      <c r="D1427" t="s">
        <v>64</v>
      </c>
      <c r="E1427">
        <v>2015</v>
      </c>
      <c r="F1427">
        <v>950000</v>
      </c>
      <c r="G1427" t="s">
        <v>31</v>
      </c>
      <c r="H1427" t="s">
        <v>2645</v>
      </c>
      <c r="I1427" t="s">
        <v>34</v>
      </c>
      <c r="J1427" t="s">
        <v>4580</v>
      </c>
      <c r="K1427" t="s">
        <v>31</v>
      </c>
      <c r="L1427" t="s">
        <v>65</v>
      </c>
      <c r="M1427" t="s">
        <v>27</v>
      </c>
      <c r="N1427" t="s">
        <v>27</v>
      </c>
      <c r="O1427" t="s">
        <v>27</v>
      </c>
      <c r="P1427" t="s">
        <v>31</v>
      </c>
      <c r="Q1427">
        <v>95</v>
      </c>
      <c r="R1427" t="s">
        <v>31</v>
      </c>
      <c r="S1427" t="s">
        <v>31</v>
      </c>
      <c r="T1427" t="s">
        <v>31</v>
      </c>
    </row>
    <row r="1428" spans="1:20" hidden="1" x14ac:dyDescent="0.3">
      <c r="A1428" t="s">
        <v>1182</v>
      </c>
      <c r="B1428" t="s">
        <v>39</v>
      </c>
      <c r="C1428" t="s">
        <v>40</v>
      </c>
      <c r="D1428" t="s">
        <v>142</v>
      </c>
      <c r="E1428">
        <v>2015</v>
      </c>
      <c r="F1428">
        <v>150000</v>
      </c>
      <c r="G1428" t="s">
        <v>31</v>
      </c>
      <c r="H1428" t="s">
        <v>2645</v>
      </c>
      <c r="I1428" t="s">
        <v>34</v>
      </c>
      <c r="J1428" t="s">
        <v>4581</v>
      </c>
      <c r="K1428" t="s">
        <v>4582</v>
      </c>
      <c r="L1428" t="s">
        <v>176</v>
      </c>
      <c r="M1428" t="s">
        <v>27</v>
      </c>
      <c r="N1428" t="s">
        <v>27</v>
      </c>
      <c r="O1428" t="s">
        <v>27</v>
      </c>
      <c r="P1428" t="s">
        <v>31</v>
      </c>
      <c r="Q1428" t="s">
        <v>31</v>
      </c>
      <c r="R1428" t="s">
        <v>31</v>
      </c>
      <c r="S1428" t="s">
        <v>31</v>
      </c>
      <c r="T1428" t="s">
        <v>31</v>
      </c>
    </row>
    <row r="1429" spans="1:20" hidden="1" x14ac:dyDescent="0.3">
      <c r="A1429" t="s">
        <v>1183</v>
      </c>
      <c r="B1429" t="s">
        <v>51</v>
      </c>
      <c r="C1429" t="s">
        <v>37</v>
      </c>
      <c r="D1429" t="s">
        <v>121</v>
      </c>
      <c r="E1429">
        <v>2015</v>
      </c>
      <c r="F1429" t="s">
        <v>31</v>
      </c>
      <c r="G1429" t="s">
        <v>31</v>
      </c>
      <c r="H1429" t="s">
        <v>2680</v>
      </c>
      <c r="I1429" t="s">
        <v>115</v>
      </c>
      <c r="J1429" t="s">
        <v>2681</v>
      </c>
      <c r="K1429" t="s">
        <v>31</v>
      </c>
      <c r="L1429" t="s">
        <v>31</v>
      </c>
      <c r="M1429" t="s">
        <v>27</v>
      </c>
      <c r="N1429" t="s">
        <v>27</v>
      </c>
      <c r="O1429" t="s">
        <v>27</v>
      </c>
      <c r="P1429" t="s">
        <v>31</v>
      </c>
      <c r="Q1429" t="s">
        <v>31</v>
      </c>
      <c r="R1429" t="s">
        <v>31</v>
      </c>
      <c r="S1429" t="s">
        <v>31</v>
      </c>
      <c r="T1429" t="s">
        <v>31</v>
      </c>
    </row>
    <row r="1430" spans="1:20" hidden="1" x14ac:dyDescent="0.3">
      <c r="A1430" t="s">
        <v>1184</v>
      </c>
      <c r="B1430" t="s">
        <v>91</v>
      </c>
      <c r="C1430" t="s">
        <v>2712</v>
      </c>
      <c r="D1430" t="s">
        <v>380</v>
      </c>
      <c r="E1430">
        <v>2015</v>
      </c>
      <c r="F1430" t="s">
        <v>31</v>
      </c>
      <c r="G1430" t="s">
        <v>4583</v>
      </c>
      <c r="H1430" t="s">
        <v>2666</v>
      </c>
      <c r="I1430" t="s">
        <v>109</v>
      </c>
      <c r="J1430" t="s">
        <v>4584</v>
      </c>
      <c r="K1430" t="s">
        <v>31</v>
      </c>
      <c r="L1430" t="s">
        <v>31</v>
      </c>
      <c r="M1430" t="s">
        <v>27</v>
      </c>
      <c r="N1430" t="s">
        <v>27</v>
      </c>
      <c r="O1430" t="s">
        <v>27</v>
      </c>
      <c r="P1430" t="s">
        <v>31</v>
      </c>
      <c r="Q1430" t="s">
        <v>31</v>
      </c>
      <c r="R1430">
        <v>-1.4670000000000001</v>
      </c>
      <c r="S1430">
        <v>-78.441999999999993</v>
      </c>
      <c r="T1430" t="s">
        <v>31</v>
      </c>
    </row>
    <row r="1431" spans="1:20" hidden="1" x14ac:dyDescent="0.3">
      <c r="A1431" t="s">
        <v>1185</v>
      </c>
      <c r="B1431" t="s">
        <v>51</v>
      </c>
      <c r="C1431" t="s">
        <v>37</v>
      </c>
      <c r="D1431" t="s">
        <v>121</v>
      </c>
      <c r="E1431">
        <v>2015</v>
      </c>
      <c r="F1431" t="s">
        <v>31</v>
      </c>
      <c r="G1431" t="s">
        <v>4585</v>
      </c>
      <c r="H1431" t="s">
        <v>2730</v>
      </c>
      <c r="I1431" t="s">
        <v>57</v>
      </c>
      <c r="J1431" t="s">
        <v>4586</v>
      </c>
      <c r="K1431" t="s">
        <v>3910</v>
      </c>
      <c r="L1431" t="s">
        <v>31</v>
      </c>
      <c r="M1431" t="s">
        <v>33</v>
      </c>
      <c r="N1431" t="s">
        <v>27</v>
      </c>
      <c r="O1431" t="s">
        <v>27</v>
      </c>
      <c r="P1431" t="s">
        <v>31</v>
      </c>
      <c r="Q1431" t="s">
        <v>31</v>
      </c>
      <c r="R1431" t="s">
        <v>31</v>
      </c>
      <c r="S1431" t="s">
        <v>31</v>
      </c>
      <c r="T1431" t="s">
        <v>31</v>
      </c>
    </row>
    <row r="1432" spans="1:20" hidden="1" x14ac:dyDescent="0.3">
      <c r="A1432" t="s">
        <v>1186</v>
      </c>
      <c r="B1432" t="s">
        <v>51</v>
      </c>
      <c r="C1432" t="s">
        <v>37</v>
      </c>
      <c r="D1432" t="s">
        <v>52</v>
      </c>
      <c r="E1432">
        <v>2015</v>
      </c>
      <c r="F1432">
        <v>600000</v>
      </c>
      <c r="G1432" t="s">
        <v>4587</v>
      </c>
      <c r="H1432" t="s">
        <v>2645</v>
      </c>
      <c r="I1432" t="s">
        <v>34</v>
      </c>
      <c r="J1432" t="s">
        <v>4588</v>
      </c>
      <c r="K1432" t="s">
        <v>2649</v>
      </c>
      <c r="L1432" t="s">
        <v>29</v>
      </c>
      <c r="M1432" t="s">
        <v>27</v>
      </c>
      <c r="N1432" t="s">
        <v>27</v>
      </c>
      <c r="O1432" t="s">
        <v>27</v>
      </c>
      <c r="P1432" t="s">
        <v>31</v>
      </c>
      <c r="Q1432" t="s">
        <v>31</v>
      </c>
      <c r="R1432">
        <v>35.665999999999997</v>
      </c>
      <c r="S1432">
        <v>-91.082999999999998</v>
      </c>
      <c r="T1432" t="s">
        <v>4589</v>
      </c>
    </row>
    <row r="1433" spans="1:20" hidden="1" x14ac:dyDescent="0.3">
      <c r="A1433" t="s">
        <v>1765</v>
      </c>
      <c r="B1433" t="s">
        <v>28</v>
      </c>
      <c r="C1433" t="s">
        <v>29</v>
      </c>
      <c r="D1433" t="s">
        <v>189</v>
      </c>
      <c r="E1433">
        <v>2015</v>
      </c>
      <c r="F1433">
        <v>17200</v>
      </c>
      <c r="G1433" t="s">
        <v>4590</v>
      </c>
      <c r="H1433" t="s">
        <v>2658</v>
      </c>
      <c r="I1433" t="s">
        <v>130</v>
      </c>
      <c r="J1433" t="s">
        <v>4591</v>
      </c>
      <c r="K1433" t="s">
        <v>31</v>
      </c>
      <c r="L1433" t="s">
        <v>37</v>
      </c>
      <c r="M1433" t="s">
        <v>27</v>
      </c>
      <c r="N1433" t="s">
        <v>27</v>
      </c>
      <c r="O1433" t="s">
        <v>27</v>
      </c>
      <c r="P1433" t="s">
        <v>31</v>
      </c>
      <c r="Q1433" t="s">
        <v>31</v>
      </c>
      <c r="R1433" t="s">
        <v>31</v>
      </c>
      <c r="S1433" t="s">
        <v>31</v>
      </c>
      <c r="T1433" t="s">
        <v>31</v>
      </c>
    </row>
    <row r="1434" spans="1:20" hidden="1" x14ac:dyDescent="0.3">
      <c r="A1434" t="s">
        <v>1766</v>
      </c>
      <c r="B1434" t="s">
        <v>51</v>
      </c>
      <c r="C1434" t="s">
        <v>37</v>
      </c>
      <c r="D1434" t="s">
        <v>56</v>
      </c>
      <c r="E1434">
        <v>2015</v>
      </c>
      <c r="F1434" t="s">
        <v>31</v>
      </c>
      <c r="G1434" t="s">
        <v>4592</v>
      </c>
      <c r="H1434" t="s">
        <v>2888</v>
      </c>
      <c r="I1434" t="s">
        <v>75</v>
      </c>
      <c r="J1434" t="s">
        <v>4593</v>
      </c>
      <c r="K1434" t="s">
        <v>2649</v>
      </c>
      <c r="L1434" t="s">
        <v>31</v>
      </c>
      <c r="M1434" t="s">
        <v>27</v>
      </c>
      <c r="N1434" t="s">
        <v>27</v>
      </c>
      <c r="O1434" t="s">
        <v>27</v>
      </c>
      <c r="P1434" t="s">
        <v>31</v>
      </c>
      <c r="Q1434" t="s">
        <v>31</v>
      </c>
      <c r="R1434" t="s">
        <v>31</v>
      </c>
      <c r="S1434" t="s">
        <v>31</v>
      </c>
      <c r="T1434" t="s">
        <v>31</v>
      </c>
    </row>
    <row r="1435" spans="1:20" hidden="1" x14ac:dyDescent="0.3">
      <c r="A1435" t="s">
        <v>1767</v>
      </c>
      <c r="B1435" t="s">
        <v>28</v>
      </c>
      <c r="C1435" t="s">
        <v>29</v>
      </c>
      <c r="D1435" t="s">
        <v>67</v>
      </c>
      <c r="E1435">
        <v>2015</v>
      </c>
      <c r="F1435">
        <v>150000</v>
      </c>
      <c r="G1435" t="s">
        <v>31</v>
      </c>
      <c r="H1435" t="s">
        <v>2645</v>
      </c>
      <c r="I1435" t="s">
        <v>34</v>
      </c>
      <c r="J1435" t="s">
        <v>4594</v>
      </c>
      <c r="K1435" t="s">
        <v>31</v>
      </c>
      <c r="L1435" t="s">
        <v>68</v>
      </c>
      <c r="M1435" t="s">
        <v>27</v>
      </c>
      <c r="N1435" t="s">
        <v>27</v>
      </c>
      <c r="O1435" t="s">
        <v>27</v>
      </c>
      <c r="P1435" t="s">
        <v>31</v>
      </c>
      <c r="Q1435" t="s">
        <v>31</v>
      </c>
      <c r="R1435" t="s">
        <v>31</v>
      </c>
      <c r="S1435" t="s">
        <v>31</v>
      </c>
      <c r="T1435" t="s">
        <v>31</v>
      </c>
    </row>
    <row r="1436" spans="1:20" hidden="1" x14ac:dyDescent="0.3">
      <c r="A1436" t="s">
        <v>1768</v>
      </c>
      <c r="B1436" t="s">
        <v>51</v>
      </c>
      <c r="C1436" t="s">
        <v>37</v>
      </c>
      <c r="D1436" t="s">
        <v>52</v>
      </c>
      <c r="E1436">
        <v>2015</v>
      </c>
      <c r="F1436" t="s">
        <v>31</v>
      </c>
      <c r="G1436" t="s">
        <v>4595</v>
      </c>
      <c r="H1436" t="s">
        <v>2656</v>
      </c>
      <c r="I1436" t="s">
        <v>119</v>
      </c>
      <c r="J1436" t="s">
        <v>4596</v>
      </c>
      <c r="K1436" t="s">
        <v>2649</v>
      </c>
      <c r="L1436" t="s">
        <v>31</v>
      </c>
      <c r="M1436" t="s">
        <v>27</v>
      </c>
      <c r="N1436" t="s">
        <v>27</v>
      </c>
      <c r="O1436" t="s">
        <v>27</v>
      </c>
      <c r="P1436" t="s">
        <v>31</v>
      </c>
      <c r="Q1436">
        <v>450353</v>
      </c>
      <c r="R1436">
        <v>-6.9780499999999996</v>
      </c>
      <c r="S1436">
        <v>-67.8</v>
      </c>
      <c r="T1436" t="s">
        <v>31</v>
      </c>
    </row>
    <row r="1437" spans="1:20" hidden="1" x14ac:dyDescent="0.3">
      <c r="A1437" t="s">
        <v>1769</v>
      </c>
      <c r="B1437" t="s">
        <v>91</v>
      </c>
      <c r="C1437" t="s">
        <v>2712</v>
      </c>
      <c r="D1437" t="s">
        <v>105</v>
      </c>
      <c r="E1437">
        <v>2015</v>
      </c>
      <c r="F1437" t="s">
        <v>31</v>
      </c>
      <c r="G1437" t="s">
        <v>31</v>
      </c>
      <c r="H1437" t="s">
        <v>2658</v>
      </c>
      <c r="I1437" t="s">
        <v>130</v>
      </c>
      <c r="J1437" t="s">
        <v>4597</v>
      </c>
      <c r="K1437" t="s">
        <v>31</v>
      </c>
      <c r="L1437" t="s">
        <v>31</v>
      </c>
      <c r="M1437" t="s">
        <v>27</v>
      </c>
      <c r="N1437" t="s">
        <v>27</v>
      </c>
      <c r="O1437" t="s">
        <v>27</v>
      </c>
      <c r="P1437" t="s">
        <v>31</v>
      </c>
      <c r="Q1437" t="s">
        <v>31</v>
      </c>
      <c r="R1437" t="s">
        <v>31</v>
      </c>
      <c r="S1437" t="s">
        <v>31</v>
      </c>
      <c r="T1437" t="s">
        <v>31</v>
      </c>
    </row>
    <row r="1438" spans="1:20" hidden="1" x14ac:dyDescent="0.3">
      <c r="A1438" t="s">
        <v>1770</v>
      </c>
      <c r="B1438" t="s">
        <v>51</v>
      </c>
      <c r="C1438" t="s">
        <v>2655</v>
      </c>
      <c r="D1438" t="s">
        <v>134</v>
      </c>
      <c r="E1438">
        <v>2015</v>
      </c>
      <c r="F1438" t="s">
        <v>31</v>
      </c>
      <c r="G1438" t="s">
        <v>4598</v>
      </c>
      <c r="H1438" t="s">
        <v>2647</v>
      </c>
      <c r="I1438" t="s">
        <v>47</v>
      </c>
      <c r="J1438" t="s">
        <v>4599</v>
      </c>
      <c r="K1438" t="s">
        <v>2649</v>
      </c>
      <c r="L1438" t="s">
        <v>37</v>
      </c>
      <c r="M1438" t="s">
        <v>27</v>
      </c>
      <c r="N1438" t="s">
        <v>27</v>
      </c>
      <c r="O1438" t="s">
        <v>27</v>
      </c>
      <c r="P1438" t="s">
        <v>31</v>
      </c>
      <c r="Q1438" t="s">
        <v>31</v>
      </c>
      <c r="R1438">
        <v>5.7069299999999998</v>
      </c>
      <c r="S1438">
        <v>-74.5</v>
      </c>
      <c r="T1438" t="s">
        <v>4600</v>
      </c>
    </row>
    <row r="1439" spans="1:20" hidden="1" x14ac:dyDescent="0.3">
      <c r="A1439" t="s">
        <v>1771</v>
      </c>
      <c r="B1439" t="s">
        <v>28</v>
      </c>
      <c r="C1439" t="s">
        <v>29</v>
      </c>
      <c r="D1439" t="s">
        <v>97</v>
      </c>
      <c r="E1439">
        <v>2015</v>
      </c>
      <c r="F1439">
        <v>1000000</v>
      </c>
      <c r="G1439" t="s">
        <v>31</v>
      </c>
      <c r="H1439" t="s">
        <v>2645</v>
      </c>
      <c r="I1439" t="s">
        <v>34</v>
      </c>
      <c r="J1439" t="s">
        <v>4601</v>
      </c>
      <c r="K1439" t="s">
        <v>31</v>
      </c>
      <c r="L1439" t="s">
        <v>31</v>
      </c>
      <c r="M1439" t="s">
        <v>27</v>
      </c>
      <c r="N1439" t="s">
        <v>27</v>
      </c>
      <c r="O1439" t="s">
        <v>27</v>
      </c>
      <c r="P1439" t="s">
        <v>31</v>
      </c>
      <c r="Q1439" t="s">
        <v>31</v>
      </c>
      <c r="R1439" t="s">
        <v>31</v>
      </c>
      <c r="S1439" t="s">
        <v>31</v>
      </c>
      <c r="T1439" t="s">
        <v>31</v>
      </c>
    </row>
    <row r="1440" spans="1:20" hidden="1" x14ac:dyDescent="0.3">
      <c r="A1440" t="s">
        <v>1772</v>
      </c>
      <c r="B1440" t="s">
        <v>28</v>
      </c>
      <c r="C1440" t="s">
        <v>29</v>
      </c>
      <c r="D1440" t="s">
        <v>97</v>
      </c>
      <c r="E1440">
        <v>2015</v>
      </c>
      <c r="F1440">
        <v>160000</v>
      </c>
      <c r="G1440" t="s">
        <v>31</v>
      </c>
      <c r="H1440" t="s">
        <v>2645</v>
      </c>
      <c r="I1440" t="s">
        <v>34</v>
      </c>
      <c r="J1440" t="s">
        <v>4602</v>
      </c>
      <c r="K1440" t="s">
        <v>31</v>
      </c>
      <c r="L1440" t="s">
        <v>100</v>
      </c>
      <c r="M1440" t="s">
        <v>27</v>
      </c>
      <c r="N1440" t="s">
        <v>27</v>
      </c>
      <c r="O1440" t="s">
        <v>27</v>
      </c>
      <c r="P1440" t="s">
        <v>31</v>
      </c>
      <c r="Q1440" t="s">
        <v>31</v>
      </c>
      <c r="R1440" t="s">
        <v>31</v>
      </c>
      <c r="S1440" t="s">
        <v>31</v>
      </c>
      <c r="T1440" t="s">
        <v>31</v>
      </c>
    </row>
    <row r="1441" spans="1:20" hidden="1" x14ac:dyDescent="0.3">
      <c r="A1441" t="s">
        <v>1773</v>
      </c>
      <c r="B1441" t="s">
        <v>28</v>
      </c>
      <c r="C1441" t="s">
        <v>29</v>
      </c>
      <c r="D1441" t="s">
        <v>64</v>
      </c>
      <c r="E1441">
        <v>2015</v>
      </c>
      <c r="F1441" t="s">
        <v>31</v>
      </c>
      <c r="G1441" t="s">
        <v>4603</v>
      </c>
      <c r="H1441" t="s">
        <v>2769</v>
      </c>
      <c r="I1441" t="s">
        <v>117</v>
      </c>
      <c r="J1441" t="s">
        <v>4604</v>
      </c>
      <c r="K1441" t="s">
        <v>31</v>
      </c>
      <c r="L1441" t="s">
        <v>31</v>
      </c>
      <c r="M1441" t="s">
        <v>33</v>
      </c>
      <c r="N1441" t="s">
        <v>27</v>
      </c>
      <c r="O1441" t="s">
        <v>33</v>
      </c>
      <c r="P1441" t="s">
        <v>31</v>
      </c>
      <c r="Q1441" t="s">
        <v>31</v>
      </c>
      <c r="R1441" t="s">
        <v>31</v>
      </c>
      <c r="S1441" t="s">
        <v>31</v>
      </c>
      <c r="T1441" t="s">
        <v>31</v>
      </c>
    </row>
    <row r="1442" spans="1:20" hidden="1" x14ac:dyDescent="0.3">
      <c r="A1442" t="s">
        <v>1774</v>
      </c>
      <c r="B1442" t="s">
        <v>28</v>
      </c>
      <c r="C1442" t="s">
        <v>29</v>
      </c>
      <c r="D1442" t="s">
        <v>97</v>
      </c>
      <c r="E1442">
        <v>2015</v>
      </c>
      <c r="F1442" t="s">
        <v>31</v>
      </c>
      <c r="G1442" t="s">
        <v>31</v>
      </c>
      <c r="H1442" t="s">
        <v>2672</v>
      </c>
      <c r="I1442" t="s">
        <v>73</v>
      </c>
      <c r="J1442" t="s">
        <v>4605</v>
      </c>
      <c r="K1442" t="s">
        <v>31</v>
      </c>
      <c r="L1442" t="s">
        <v>31</v>
      </c>
      <c r="M1442" t="s">
        <v>27</v>
      </c>
      <c r="N1442" t="s">
        <v>27</v>
      </c>
      <c r="O1442" t="s">
        <v>27</v>
      </c>
      <c r="P1442" t="s">
        <v>31</v>
      </c>
      <c r="Q1442">
        <v>200</v>
      </c>
      <c r="R1442" t="s">
        <v>31</v>
      </c>
      <c r="S1442" t="s">
        <v>31</v>
      </c>
      <c r="T1442" t="s">
        <v>31</v>
      </c>
    </row>
    <row r="1443" spans="1:20" hidden="1" x14ac:dyDescent="0.3">
      <c r="A1443" t="s">
        <v>1775</v>
      </c>
      <c r="B1443" t="s">
        <v>51</v>
      </c>
      <c r="C1443" t="s">
        <v>37</v>
      </c>
      <c r="D1443" t="s">
        <v>52</v>
      </c>
      <c r="E1443">
        <v>2015</v>
      </c>
      <c r="F1443" t="s">
        <v>31</v>
      </c>
      <c r="G1443" t="s">
        <v>4606</v>
      </c>
      <c r="H1443" t="s">
        <v>2656</v>
      </c>
      <c r="I1443" t="s">
        <v>119</v>
      </c>
      <c r="J1443" t="s">
        <v>4607</v>
      </c>
      <c r="K1443" t="s">
        <v>31</v>
      </c>
      <c r="L1443" t="s">
        <v>29</v>
      </c>
      <c r="M1443" t="s">
        <v>27</v>
      </c>
      <c r="N1443" t="s">
        <v>27</v>
      </c>
      <c r="O1443" t="s">
        <v>33</v>
      </c>
      <c r="P1443" t="s">
        <v>31</v>
      </c>
      <c r="Q1443">
        <v>115</v>
      </c>
      <c r="R1443">
        <v>-25.568899999999999</v>
      </c>
      <c r="S1443">
        <v>-50.75</v>
      </c>
      <c r="T1443" t="s">
        <v>4462</v>
      </c>
    </row>
    <row r="1444" spans="1:20" hidden="1" x14ac:dyDescent="0.3">
      <c r="A1444" t="s">
        <v>1776</v>
      </c>
      <c r="B1444" t="s">
        <v>51</v>
      </c>
      <c r="C1444" t="s">
        <v>37</v>
      </c>
      <c r="D1444" t="s">
        <v>121</v>
      </c>
      <c r="E1444">
        <v>2015</v>
      </c>
      <c r="F1444" t="s">
        <v>31</v>
      </c>
      <c r="G1444" t="s">
        <v>4608</v>
      </c>
      <c r="H1444" t="s">
        <v>2769</v>
      </c>
      <c r="I1444" t="s">
        <v>117</v>
      </c>
      <c r="J1444" t="s">
        <v>4609</v>
      </c>
      <c r="K1444" t="s">
        <v>2664</v>
      </c>
      <c r="L1444" t="s">
        <v>31</v>
      </c>
      <c r="M1444" t="s">
        <v>27</v>
      </c>
      <c r="N1444" t="s">
        <v>27</v>
      </c>
      <c r="O1444" t="s">
        <v>27</v>
      </c>
      <c r="P1444" t="s">
        <v>31</v>
      </c>
      <c r="Q1444">
        <v>28652.69</v>
      </c>
      <c r="R1444">
        <v>-25.451000000000001</v>
      </c>
      <c r="S1444">
        <v>-59.27</v>
      </c>
      <c r="T1444" t="s">
        <v>4610</v>
      </c>
    </row>
    <row r="1445" spans="1:20" hidden="1" x14ac:dyDescent="0.3">
      <c r="A1445" t="s">
        <v>1777</v>
      </c>
      <c r="B1445" t="s">
        <v>39</v>
      </c>
      <c r="C1445" t="s">
        <v>40</v>
      </c>
      <c r="D1445" t="s">
        <v>142</v>
      </c>
      <c r="E1445">
        <v>2015</v>
      </c>
      <c r="F1445">
        <v>2000</v>
      </c>
      <c r="G1445" t="s">
        <v>31</v>
      </c>
      <c r="H1445" t="s">
        <v>2645</v>
      </c>
      <c r="I1445" t="s">
        <v>34</v>
      </c>
      <c r="J1445" t="s">
        <v>4611</v>
      </c>
      <c r="K1445" t="s">
        <v>4612</v>
      </c>
      <c r="L1445" t="s">
        <v>31</v>
      </c>
      <c r="M1445" t="s">
        <v>27</v>
      </c>
      <c r="N1445" t="s">
        <v>27</v>
      </c>
      <c r="O1445" t="s">
        <v>33</v>
      </c>
      <c r="P1445" t="s">
        <v>31</v>
      </c>
      <c r="Q1445" t="s">
        <v>31</v>
      </c>
      <c r="R1445" t="s">
        <v>31</v>
      </c>
      <c r="S1445" t="s">
        <v>31</v>
      </c>
      <c r="T1445" t="s">
        <v>31</v>
      </c>
    </row>
    <row r="1446" spans="1:20" hidden="1" x14ac:dyDescent="0.3">
      <c r="A1446" t="s">
        <v>1778</v>
      </c>
      <c r="B1446" t="s">
        <v>91</v>
      </c>
      <c r="C1446" t="s">
        <v>2712</v>
      </c>
      <c r="D1446" t="s">
        <v>1779</v>
      </c>
      <c r="E1446">
        <v>2015</v>
      </c>
      <c r="F1446" t="s">
        <v>31</v>
      </c>
      <c r="G1446" t="s">
        <v>4613</v>
      </c>
      <c r="H1446" t="s">
        <v>2666</v>
      </c>
      <c r="I1446" t="s">
        <v>109</v>
      </c>
      <c r="J1446" t="s">
        <v>4614</v>
      </c>
      <c r="K1446" t="s">
        <v>31</v>
      </c>
      <c r="L1446" t="s">
        <v>31</v>
      </c>
      <c r="M1446" t="s">
        <v>27</v>
      </c>
      <c r="N1446" t="s">
        <v>27</v>
      </c>
      <c r="O1446" t="s">
        <v>33</v>
      </c>
      <c r="P1446" t="s">
        <v>31</v>
      </c>
      <c r="Q1446" t="s">
        <v>31</v>
      </c>
      <c r="R1446">
        <v>-0.67700000000000005</v>
      </c>
      <c r="S1446">
        <v>-78.436000000000007</v>
      </c>
      <c r="T1446" t="s">
        <v>31</v>
      </c>
    </row>
    <row r="1447" spans="1:20" hidden="1" x14ac:dyDescent="0.3">
      <c r="A1447" t="s">
        <v>1780</v>
      </c>
      <c r="B1447" t="s">
        <v>51</v>
      </c>
      <c r="C1447" t="s">
        <v>37</v>
      </c>
      <c r="D1447" t="s">
        <v>52</v>
      </c>
      <c r="E1447">
        <v>2015</v>
      </c>
      <c r="F1447" t="s">
        <v>31</v>
      </c>
      <c r="G1447" t="s">
        <v>4615</v>
      </c>
      <c r="H1447" t="s">
        <v>2669</v>
      </c>
      <c r="I1447" t="s">
        <v>111</v>
      </c>
      <c r="J1447" t="s">
        <v>4616</v>
      </c>
      <c r="K1447" t="s">
        <v>4617</v>
      </c>
      <c r="L1447" t="s">
        <v>31</v>
      </c>
      <c r="M1447" t="s">
        <v>27</v>
      </c>
      <c r="N1447" t="s">
        <v>27</v>
      </c>
      <c r="O1447" t="s">
        <v>27</v>
      </c>
      <c r="P1447" t="s">
        <v>31</v>
      </c>
      <c r="Q1447" t="s">
        <v>31</v>
      </c>
      <c r="R1447">
        <v>-11.504200000000001</v>
      </c>
      <c r="S1447">
        <v>-65.84</v>
      </c>
      <c r="T1447" t="s">
        <v>4618</v>
      </c>
    </row>
    <row r="1448" spans="1:20" hidden="1" x14ac:dyDescent="0.3">
      <c r="A1448" t="s">
        <v>1781</v>
      </c>
      <c r="B1448" t="s">
        <v>51</v>
      </c>
      <c r="C1448" t="s">
        <v>37</v>
      </c>
      <c r="D1448" t="s">
        <v>52</v>
      </c>
      <c r="E1448">
        <v>2015</v>
      </c>
      <c r="F1448">
        <v>100000</v>
      </c>
      <c r="G1448" t="s">
        <v>31</v>
      </c>
      <c r="H1448" t="s">
        <v>2645</v>
      </c>
      <c r="I1448" t="s">
        <v>34</v>
      </c>
      <c r="J1448" t="s">
        <v>4619</v>
      </c>
      <c r="K1448" t="s">
        <v>31</v>
      </c>
      <c r="L1448" t="s">
        <v>31</v>
      </c>
      <c r="M1448" t="s">
        <v>27</v>
      </c>
      <c r="N1448" t="s">
        <v>27</v>
      </c>
      <c r="O1448" t="s">
        <v>33</v>
      </c>
      <c r="P1448" t="s">
        <v>31</v>
      </c>
      <c r="Q1448" t="s">
        <v>31</v>
      </c>
      <c r="R1448" t="s">
        <v>31</v>
      </c>
      <c r="S1448" t="s">
        <v>31</v>
      </c>
      <c r="T1448" t="s">
        <v>31</v>
      </c>
    </row>
    <row r="1449" spans="1:20" hidden="1" x14ac:dyDescent="0.3">
      <c r="A1449" t="s">
        <v>1782</v>
      </c>
      <c r="B1449" t="s">
        <v>39</v>
      </c>
      <c r="C1449" t="s">
        <v>40</v>
      </c>
      <c r="D1449" t="s">
        <v>59</v>
      </c>
      <c r="E1449">
        <v>2015</v>
      </c>
      <c r="F1449">
        <v>1400000</v>
      </c>
      <c r="G1449" t="s">
        <v>4620</v>
      </c>
      <c r="H1449" t="s">
        <v>2645</v>
      </c>
      <c r="I1449" t="s">
        <v>34</v>
      </c>
      <c r="J1449" t="s">
        <v>4621</v>
      </c>
      <c r="K1449" t="s">
        <v>4622</v>
      </c>
      <c r="L1449" t="s">
        <v>31</v>
      </c>
      <c r="M1449" t="s">
        <v>27</v>
      </c>
      <c r="N1449" t="s">
        <v>27</v>
      </c>
      <c r="O1449" t="s">
        <v>33</v>
      </c>
      <c r="P1449" t="s">
        <v>31</v>
      </c>
      <c r="Q1449" t="s">
        <v>31</v>
      </c>
      <c r="R1449" t="s">
        <v>31</v>
      </c>
      <c r="S1449" t="s">
        <v>31</v>
      </c>
      <c r="T1449" t="s">
        <v>31</v>
      </c>
    </row>
    <row r="1450" spans="1:20" hidden="1" x14ac:dyDescent="0.3">
      <c r="A1450" t="s">
        <v>1783</v>
      </c>
      <c r="B1450" t="s">
        <v>51</v>
      </c>
      <c r="C1450" t="s">
        <v>37</v>
      </c>
      <c r="D1450" t="s">
        <v>121</v>
      </c>
      <c r="E1450">
        <v>2015</v>
      </c>
      <c r="F1450" t="s">
        <v>31</v>
      </c>
      <c r="G1450" t="s">
        <v>31</v>
      </c>
      <c r="H1450" t="s">
        <v>2888</v>
      </c>
      <c r="I1450" t="s">
        <v>75</v>
      </c>
      <c r="J1450" t="s">
        <v>4623</v>
      </c>
      <c r="K1450" t="s">
        <v>31</v>
      </c>
      <c r="L1450" t="s">
        <v>31</v>
      </c>
      <c r="M1450" t="s">
        <v>27</v>
      </c>
      <c r="N1450" t="s">
        <v>27</v>
      </c>
      <c r="O1450" t="s">
        <v>27</v>
      </c>
      <c r="P1450" t="s">
        <v>31</v>
      </c>
      <c r="Q1450" t="s">
        <v>31</v>
      </c>
      <c r="R1450" t="s">
        <v>31</v>
      </c>
      <c r="S1450" t="s">
        <v>31</v>
      </c>
      <c r="T1450" t="s">
        <v>31</v>
      </c>
    </row>
    <row r="1451" spans="1:20" hidden="1" x14ac:dyDescent="0.3">
      <c r="A1451" t="s">
        <v>1784</v>
      </c>
      <c r="B1451" t="s">
        <v>28</v>
      </c>
      <c r="C1451" t="s">
        <v>29</v>
      </c>
      <c r="D1451" t="s">
        <v>30</v>
      </c>
      <c r="E1451">
        <v>2015</v>
      </c>
      <c r="F1451">
        <v>823000</v>
      </c>
      <c r="G1451" t="s">
        <v>4624</v>
      </c>
      <c r="H1451" t="s">
        <v>2672</v>
      </c>
      <c r="I1451" t="s">
        <v>73</v>
      </c>
      <c r="J1451" t="s">
        <v>4625</v>
      </c>
      <c r="K1451" t="s">
        <v>31</v>
      </c>
      <c r="L1451" t="s">
        <v>37</v>
      </c>
      <c r="M1451" t="s">
        <v>27</v>
      </c>
      <c r="N1451" t="s">
        <v>27</v>
      </c>
      <c r="O1451" t="s">
        <v>27</v>
      </c>
      <c r="P1451" t="s">
        <v>31</v>
      </c>
      <c r="Q1451">
        <v>270</v>
      </c>
      <c r="R1451">
        <v>28.381</v>
      </c>
      <c r="S1451">
        <v>-101.77200000000001</v>
      </c>
      <c r="T1451" t="s">
        <v>31</v>
      </c>
    </row>
    <row r="1452" spans="1:20" x14ac:dyDescent="0.3">
      <c r="A1452" t="s">
        <v>1785</v>
      </c>
      <c r="B1452" t="s">
        <v>51</v>
      </c>
      <c r="C1452" t="s">
        <v>37</v>
      </c>
      <c r="D1452" t="s">
        <v>121</v>
      </c>
      <c r="E1452">
        <v>2015</v>
      </c>
      <c r="F1452">
        <v>2000</v>
      </c>
      <c r="G1452" t="s">
        <v>31</v>
      </c>
      <c r="H1452" t="s">
        <v>2656</v>
      </c>
      <c r="I1452" t="s">
        <v>119</v>
      </c>
      <c r="J1452" t="s">
        <v>2619</v>
      </c>
      <c r="K1452" t="s">
        <v>3910</v>
      </c>
      <c r="L1452" t="s">
        <v>31</v>
      </c>
      <c r="M1452" t="s">
        <v>27</v>
      </c>
      <c r="N1452" t="s">
        <v>27</v>
      </c>
      <c r="O1452" t="s">
        <v>33</v>
      </c>
      <c r="P1452" t="s">
        <v>31</v>
      </c>
      <c r="Q1452" t="s">
        <v>31</v>
      </c>
      <c r="R1452" t="s">
        <v>31</v>
      </c>
      <c r="S1452" t="s">
        <v>31</v>
      </c>
      <c r="T1452" t="s">
        <v>4626</v>
      </c>
    </row>
    <row r="1453" spans="1:20" hidden="1" x14ac:dyDescent="0.3">
      <c r="A1453" t="s">
        <v>1786</v>
      </c>
      <c r="B1453" t="s">
        <v>51</v>
      </c>
      <c r="C1453" t="s">
        <v>37</v>
      </c>
      <c r="D1453" t="s">
        <v>121</v>
      </c>
      <c r="E1453">
        <v>2015</v>
      </c>
      <c r="F1453" t="s">
        <v>31</v>
      </c>
      <c r="G1453" t="s">
        <v>4585</v>
      </c>
      <c r="H1453" t="s">
        <v>2656</v>
      </c>
      <c r="I1453" t="s">
        <v>119</v>
      </c>
      <c r="J1453" t="s">
        <v>2602</v>
      </c>
      <c r="K1453" t="s">
        <v>3910</v>
      </c>
      <c r="L1453" t="s">
        <v>31</v>
      </c>
      <c r="M1453" t="s">
        <v>27</v>
      </c>
      <c r="N1453" t="s">
        <v>27</v>
      </c>
      <c r="O1453" t="s">
        <v>27</v>
      </c>
      <c r="P1453" t="s">
        <v>31</v>
      </c>
      <c r="Q1453" t="s">
        <v>31</v>
      </c>
      <c r="R1453" t="s">
        <v>31</v>
      </c>
      <c r="S1453" t="s">
        <v>31</v>
      </c>
      <c r="T1453" t="s">
        <v>4627</v>
      </c>
    </row>
    <row r="1454" spans="1:20" hidden="1" x14ac:dyDescent="0.3">
      <c r="A1454" t="s">
        <v>1787</v>
      </c>
      <c r="B1454" t="s">
        <v>39</v>
      </c>
      <c r="C1454" t="s">
        <v>40</v>
      </c>
      <c r="D1454" t="s">
        <v>59</v>
      </c>
      <c r="E1454">
        <v>2015</v>
      </c>
      <c r="F1454">
        <v>400000</v>
      </c>
      <c r="G1454" t="s">
        <v>31</v>
      </c>
      <c r="H1454" t="s">
        <v>2645</v>
      </c>
      <c r="I1454" t="s">
        <v>34</v>
      </c>
      <c r="J1454" t="s">
        <v>4628</v>
      </c>
      <c r="K1454" t="s">
        <v>31</v>
      </c>
      <c r="L1454" t="s">
        <v>31</v>
      </c>
      <c r="M1454" t="s">
        <v>27</v>
      </c>
      <c r="N1454" t="s">
        <v>27</v>
      </c>
      <c r="O1454" t="s">
        <v>27</v>
      </c>
      <c r="P1454" t="s">
        <v>31</v>
      </c>
      <c r="Q1454" t="s">
        <v>31</v>
      </c>
      <c r="R1454" t="s">
        <v>31</v>
      </c>
      <c r="S1454" t="s">
        <v>31</v>
      </c>
      <c r="T1454" t="s">
        <v>31</v>
      </c>
    </row>
    <row r="1455" spans="1:20" hidden="1" x14ac:dyDescent="0.3">
      <c r="A1455" t="s">
        <v>1788</v>
      </c>
      <c r="B1455" t="s">
        <v>28</v>
      </c>
      <c r="C1455" t="s">
        <v>29</v>
      </c>
      <c r="D1455" t="s">
        <v>67</v>
      </c>
      <c r="E1455">
        <v>2015</v>
      </c>
      <c r="F1455">
        <v>140000</v>
      </c>
      <c r="G1455" t="s">
        <v>31</v>
      </c>
      <c r="H1455" t="s">
        <v>2645</v>
      </c>
      <c r="I1455" t="s">
        <v>34</v>
      </c>
      <c r="J1455" t="s">
        <v>3598</v>
      </c>
      <c r="K1455" t="s">
        <v>2664</v>
      </c>
      <c r="L1455" t="s">
        <v>37</v>
      </c>
      <c r="M1455" t="s">
        <v>27</v>
      </c>
      <c r="N1455" t="s">
        <v>27</v>
      </c>
      <c r="O1455" t="s">
        <v>27</v>
      </c>
      <c r="P1455" t="s">
        <v>31</v>
      </c>
      <c r="Q1455" t="s">
        <v>31</v>
      </c>
      <c r="R1455" t="s">
        <v>31</v>
      </c>
      <c r="S1455" t="s">
        <v>31</v>
      </c>
      <c r="T1455" t="s">
        <v>31</v>
      </c>
    </row>
    <row r="1456" spans="1:20" hidden="1" x14ac:dyDescent="0.3">
      <c r="A1456" t="s">
        <v>1789</v>
      </c>
      <c r="B1456" t="s">
        <v>51</v>
      </c>
      <c r="C1456" t="s">
        <v>37</v>
      </c>
      <c r="D1456" t="s">
        <v>121</v>
      </c>
      <c r="E1456">
        <v>2015</v>
      </c>
      <c r="F1456" t="s">
        <v>31</v>
      </c>
      <c r="G1456" t="s">
        <v>4585</v>
      </c>
      <c r="H1456" t="s">
        <v>2769</v>
      </c>
      <c r="I1456" t="s">
        <v>117</v>
      </c>
      <c r="J1456" t="s">
        <v>4629</v>
      </c>
      <c r="K1456" t="s">
        <v>4630</v>
      </c>
      <c r="L1456" t="s">
        <v>31</v>
      </c>
      <c r="M1456" t="s">
        <v>33</v>
      </c>
      <c r="N1456" t="s">
        <v>27</v>
      </c>
      <c r="O1456" t="s">
        <v>33</v>
      </c>
      <c r="P1456" t="s">
        <v>31</v>
      </c>
      <c r="Q1456">
        <v>574056.99</v>
      </c>
      <c r="R1456">
        <v>-26.036999999999999</v>
      </c>
      <c r="S1456">
        <v>-55.847999999999999</v>
      </c>
      <c r="T1456" t="s">
        <v>4631</v>
      </c>
    </row>
    <row r="1457" spans="1:20" hidden="1" x14ac:dyDescent="0.3">
      <c r="A1457" t="s">
        <v>2451</v>
      </c>
      <c r="B1457" t="s">
        <v>28</v>
      </c>
      <c r="C1457" t="s">
        <v>29</v>
      </c>
      <c r="D1457" t="s">
        <v>67</v>
      </c>
      <c r="E1457">
        <v>2015</v>
      </c>
      <c r="F1457">
        <v>100000</v>
      </c>
      <c r="G1457" t="s">
        <v>31</v>
      </c>
      <c r="H1457" t="s">
        <v>2645</v>
      </c>
      <c r="I1457" t="s">
        <v>34</v>
      </c>
      <c r="J1457" t="s">
        <v>4632</v>
      </c>
      <c r="K1457" t="s">
        <v>31</v>
      </c>
      <c r="L1457" t="s">
        <v>31</v>
      </c>
      <c r="M1457" t="s">
        <v>27</v>
      </c>
      <c r="N1457" t="s">
        <v>27</v>
      </c>
      <c r="O1457" t="s">
        <v>27</v>
      </c>
      <c r="P1457" t="s">
        <v>31</v>
      </c>
      <c r="Q1457" t="s">
        <v>31</v>
      </c>
      <c r="R1457" t="s">
        <v>31</v>
      </c>
      <c r="S1457" t="s">
        <v>31</v>
      </c>
      <c r="T1457" t="s">
        <v>31</v>
      </c>
    </row>
    <row r="1458" spans="1:20" hidden="1" x14ac:dyDescent="0.3">
      <c r="A1458" t="s">
        <v>2452</v>
      </c>
      <c r="B1458" t="s">
        <v>51</v>
      </c>
      <c r="C1458" t="s">
        <v>37</v>
      </c>
      <c r="D1458" t="s">
        <v>121</v>
      </c>
      <c r="E1458">
        <v>2015</v>
      </c>
      <c r="F1458" t="s">
        <v>31</v>
      </c>
      <c r="G1458" t="s">
        <v>4633</v>
      </c>
      <c r="H1458" t="s">
        <v>2658</v>
      </c>
      <c r="I1458" t="s">
        <v>130</v>
      </c>
      <c r="J1458" t="s">
        <v>4634</v>
      </c>
      <c r="K1458" t="s">
        <v>2649</v>
      </c>
      <c r="L1458" t="s">
        <v>31</v>
      </c>
      <c r="M1458" t="s">
        <v>27</v>
      </c>
      <c r="N1458" t="s">
        <v>27</v>
      </c>
      <c r="O1458" t="s">
        <v>33</v>
      </c>
      <c r="P1458" t="s">
        <v>31</v>
      </c>
      <c r="Q1458" t="s">
        <v>31</v>
      </c>
      <c r="R1458" t="s">
        <v>31</v>
      </c>
      <c r="S1458" t="s">
        <v>31</v>
      </c>
      <c r="T1458" t="s">
        <v>31</v>
      </c>
    </row>
    <row r="1459" spans="1:20" hidden="1" x14ac:dyDescent="0.3">
      <c r="A1459" t="s">
        <v>2453</v>
      </c>
      <c r="B1459" t="s">
        <v>28</v>
      </c>
      <c r="C1459" t="s">
        <v>29</v>
      </c>
      <c r="D1459" t="s">
        <v>67</v>
      </c>
      <c r="E1459">
        <v>2015</v>
      </c>
      <c r="F1459">
        <v>3000000</v>
      </c>
      <c r="G1459" t="s">
        <v>4635</v>
      </c>
      <c r="H1459" t="s">
        <v>2645</v>
      </c>
      <c r="I1459" t="s">
        <v>34</v>
      </c>
      <c r="J1459" t="s">
        <v>4636</v>
      </c>
      <c r="K1459" t="s">
        <v>31</v>
      </c>
      <c r="L1459" t="s">
        <v>31</v>
      </c>
      <c r="M1459" t="s">
        <v>27</v>
      </c>
      <c r="N1459" t="s">
        <v>27</v>
      </c>
      <c r="O1459" t="s">
        <v>27</v>
      </c>
      <c r="P1459" t="s">
        <v>31</v>
      </c>
      <c r="Q1459" t="s">
        <v>31</v>
      </c>
      <c r="R1459" t="s">
        <v>31</v>
      </c>
      <c r="S1459" t="s">
        <v>31</v>
      </c>
      <c r="T1459" t="s">
        <v>31</v>
      </c>
    </row>
    <row r="1460" spans="1:20" hidden="1" x14ac:dyDescent="0.3">
      <c r="A1460" t="s">
        <v>2454</v>
      </c>
      <c r="B1460" t="s">
        <v>39</v>
      </c>
      <c r="C1460" t="s">
        <v>40</v>
      </c>
      <c r="D1460" t="s">
        <v>41</v>
      </c>
      <c r="E1460">
        <v>2015</v>
      </c>
      <c r="F1460" t="s">
        <v>31</v>
      </c>
      <c r="G1460" t="s">
        <v>4637</v>
      </c>
      <c r="H1460" t="s">
        <v>2701</v>
      </c>
      <c r="I1460" t="s">
        <v>60</v>
      </c>
      <c r="J1460" t="s">
        <v>3129</v>
      </c>
      <c r="K1460" t="s">
        <v>4638</v>
      </c>
      <c r="L1460" t="s">
        <v>31</v>
      </c>
      <c r="M1460" t="s">
        <v>27</v>
      </c>
      <c r="N1460" t="s">
        <v>27</v>
      </c>
      <c r="O1460" t="s">
        <v>27</v>
      </c>
      <c r="P1460" t="s">
        <v>31</v>
      </c>
      <c r="Q1460" t="s">
        <v>31</v>
      </c>
      <c r="R1460" t="s">
        <v>31</v>
      </c>
      <c r="S1460" t="s">
        <v>31</v>
      </c>
      <c r="T1460" t="s">
        <v>31</v>
      </c>
    </row>
    <row r="1461" spans="1:20" hidden="1" x14ac:dyDescent="0.3">
      <c r="A1461" t="s">
        <v>2455</v>
      </c>
      <c r="B1461" t="s">
        <v>28</v>
      </c>
      <c r="C1461" t="s">
        <v>29</v>
      </c>
      <c r="D1461" t="s">
        <v>97</v>
      </c>
      <c r="E1461">
        <v>2015</v>
      </c>
      <c r="F1461">
        <v>950000</v>
      </c>
      <c r="G1461" t="s">
        <v>31</v>
      </c>
      <c r="H1461" t="s">
        <v>2645</v>
      </c>
      <c r="I1461" t="s">
        <v>34</v>
      </c>
      <c r="J1461" t="s">
        <v>4639</v>
      </c>
      <c r="K1461" t="s">
        <v>31</v>
      </c>
      <c r="L1461" t="s">
        <v>100</v>
      </c>
      <c r="M1461" t="s">
        <v>27</v>
      </c>
      <c r="N1461" t="s">
        <v>27</v>
      </c>
      <c r="O1461" t="s">
        <v>27</v>
      </c>
      <c r="P1461" t="s">
        <v>31</v>
      </c>
      <c r="Q1461" t="s">
        <v>31</v>
      </c>
      <c r="R1461" t="s">
        <v>31</v>
      </c>
      <c r="S1461" t="s">
        <v>31</v>
      </c>
      <c r="T1461" t="s">
        <v>31</v>
      </c>
    </row>
    <row r="1462" spans="1:20" hidden="1" x14ac:dyDescent="0.3">
      <c r="A1462" t="s">
        <v>2456</v>
      </c>
      <c r="B1462" t="s">
        <v>28</v>
      </c>
      <c r="C1462" t="s">
        <v>29</v>
      </c>
      <c r="D1462" t="s">
        <v>99</v>
      </c>
      <c r="E1462">
        <v>2015</v>
      </c>
      <c r="F1462">
        <v>2000</v>
      </c>
      <c r="G1462" t="s">
        <v>31</v>
      </c>
      <c r="H1462" t="s">
        <v>2656</v>
      </c>
      <c r="I1462" t="s">
        <v>119</v>
      </c>
      <c r="J1462" t="s">
        <v>4640</v>
      </c>
      <c r="K1462" t="s">
        <v>31</v>
      </c>
      <c r="L1462" t="s">
        <v>31</v>
      </c>
      <c r="M1462" t="s">
        <v>27</v>
      </c>
      <c r="N1462" t="s">
        <v>27</v>
      </c>
      <c r="O1462" t="s">
        <v>27</v>
      </c>
      <c r="P1462" t="s">
        <v>31</v>
      </c>
      <c r="Q1462">
        <v>320</v>
      </c>
      <c r="R1462" t="s">
        <v>31</v>
      </c>
      <c r="S1462" t="s">
        <v>31</v>
      </c>
      <c r="T1462" t="s">
        <v>31</v>
      </c>
    </row>
    <row r="1463" spans="1:20" hidden="1" x14ac:dyDescent="0.3">
      <c r="A1463" t="s">
        <v>2457</v>
      </c>
      <c r="B1463" t="s">
        <v>51</v>
      </c>
      <c r="C1463" t="s">
        <v>2655</v>
      </c>
      <c r="D1463" t="s">
        <v>134</v>
      </c>
      <c r="E1463">
        <v>2015</v>
      </c>
      <c r="F1463" t="s">
        <v>31</v>
      </c>
      <c r="G1463" t="s">
        <v>31</v>
      </c>
      <c r="H1463" t="s">
        <v>2656</v>
      </c>
      <c r="I1463" t="s">
        <v>119</v>
      </c>
      <c r="J1463" t="s">
        <v>4641</v>
      </c>
      <c r="K1463" t="s">
        <v>4642</v>
      </c>
      <c r="L1463" t="s">
        <v>31</v>
      </c>
      <c r="M1463" t="s">
        <v>27</v>
      </c>
      <c r="N1463" t="s">
        <v>27</v>
      </c>
      <c r="O1463" t="s">
        <v>27</v>
      </c>
      <c r="P1463" t="s">
        <v>31</v>
      </c>
      <c r="Q1463" t="s">
        <v>31</v>
      </c>
      <c r="R1463" t="s">
        <v>31</v>
      </c>
      <c r="S1463" t="s">
        <v>31</v>
      </c>
      <c r="T1463" t="s">
        <v>31</v>
      </c>
    </row>
    <row r="1464" spans="1:20" hidden="1" x14ac:dyDescent="0.3">
      <c r="A1464" t="s">
        <v>2458</v>
      </c>
      <c r="B1464" t="s">
        <v>51</v>
      </c>
      <c r="C1464" t="s">
        <v>37</v>
      </c>
      <c r="D1464" t="s">
        <v>52</v>
      </c>
      <c r="E1464">
        <v>2015</v>
      </c>
      <c r="F1464" t="s">
        <v>31</v>
      </c>
      <c r="G1464" t="s">
        <v>4643</v>
      </c>
      <c r="H1464" t="s">
        <v>2701</v>
      </c>
      <c r="I1464" t="s">
        <v>60</v>
      </c>
      <c r="J1464" t="s">
        <v>4644</v>
      </c>
      <c r="K1464" t="s">
        <v>2649</v>
      </c>
      <c r="L1464" t="s">
        <v>31</v>
      </c>
      <c r="M1464" t="s">
        <v>27</v>
      </c>
      <c r="N1464" t="s">
        <v>27</v>
      </c>
      <c r="O1464" t="s">
        <v>27</v>
      </c>
      <c r="P1464" t="s">
        <v>31</v>
      </c>
      <c r="Q1464">
        <v>224189</v>
      </c>
      <c r="R1464">
        <v>-44.103299999999997</v>
      </c>
      <c r="S1464">
        <v>-72.92</v>
      </c>
      <c r="T1464" t="s">
        <v>31</v>
      </c>
    </row>
    <row r="1465" spans="1:20" hidden="1" x14ac:dyDescent="0.3">
      <c r="A1465" t="s">
        <v>2459</v>
      </c>
      <c r="B1465" t="s">
        <v>28</v>
      </c>
      <c r="C1465" t="s">
        <v>29</v>
      </c>
      <c r="D1465" t="s">
        <v>99</v>
      </c>
      <c r="E1465">
        <v>2015</v>
      </c>
      <c r="F1465">
        <v>1400000</v>
      </c>
      <c r="G1465" t="s">
        <v>31</v>
      </c>
      <c r="H1465" t="s">
        <v>2645</v>
      </c>
      <c r="I1465" t="s">
        <v>34</v>
      </c>
      <c r="J1465" t="s">
        <v>4645</v>
      </c>
      <c r="K1465" t="s">
        <v>31</v>
      </c>
      <c r="L1465" t="s">
        <v>100</v>
      </c>
      <c r="M1465" t="s">
        <v>27</v>
      </c>
      <c r="N1465" t="s">
        <v>27</v>
      </c>
      <c r="O1465" t="s">
        <v>27</v>
      </c>
      <c r="P1465" t="s">
        <v>31</v>
      </c>
      <c r="Q1465">
        <v>130</v>
      </c>
      <c r="R1465" t="s">
        <v>31</v>
      </c>
      <c r="S1465" t="s">
        <v>31</v>
      </c>
      <c r="T1465" t="s">
        <v>31</v>
      </c>
    </row>
    <row r="1466" spans="1:20" hidden="1" x14ac:dyDescent="0.3">
      <c r="A1466" t="s">
        <v>2460</v>
      </c>
      <c r="B1466" t="s">
        <v>51</v>
      </c>
      <c r="C1466" t="s">
        <v>37</v>
      </c>
      <c r="D1466" t="s">
        <v>56</v>
      </c>
      <c r="E1466">
        <v>2015</v>
      </c>
      <c r="F1466">
        <v>2700000</v>
      </c>
      <c r="G1466" t="s">
        <v>4646</v>
      </c>
      <c r="H1466" t="s">
        <v>2645</v>
      </c>
      <c r="I1466" t="s">
        <v>34</v>
      </c>
      <c r="J1466" t="s">
        <v>4647</v>
      </c>
      <c r="K1466" t="s">
        <v>2664</v>
      </c>
      <c r="L1466" t="s">
        <v>302</v>
      </c>
      <c r="M1466" t="s">
        <v>27</v>
      </c>
      <c r="N1466" t="s">
        <v>27</v>
      </c>
      <c r="O1466" t="s">
        <v>27</v>
      </c>
      <c r="P1466" t="s">
        <v>31</v>
      </c>
      <c r="Q1466">
        <v>849464.6</v>
      </c>
      <c r="R1466">
        <v>34.193600000000004</v>
      </c>
      <c r="S1466">
        <v>-97.99</v>
      </c>
      <c r="T1466" t="s">
        <v>31</v>
      </c>
    </row>
    <row r="1467" spans="1:20" hidden="1" x14ac:dyDescent="0.3">
      <c r="A1467" t="s">
        <v>2461</v>
      </c>
      <c r="B1467" t="s">
        <v>51</v>
      </c>
      <c r="C1467" t="s">
        <v>37</v>
      </c>
      <c r="D1467" t="s">
        <v>121</v>
      </c>
      <c r="E1467">
        <v>2015</v>
      </c>
      <c r="F1467" t="s">
        <v>31</v>
      </c>
      <c r="G1467" t="s">
        <v>4648</v>
      </c>
      <c r="H1467" t="s">
        <v>2695</v>
      </c>
      <c r="I1467" t="s">
        <v>161</v>
      </c>
      <c r="J1467" t="s">
        <v>4649</v>
      </c>
      <c r="K1467" t="s">
        <v>2664</v>
      </c>
      <c r="L1467" t="s">
        <v>54</v>
      </c>
      <c r="M1467" t="s">
        <v>27</v>
      </c>
      <c r="N1467" t="s">
        <v>27</v>
      </c>
      <c r="O1467" t="s">
        <v>27</v>
      </c>
      <c r="P1467" t="s">
        <v>31</v>
      </c>
      <c r="Q1467">
        <v>16754.38</v>
      </c>
      <c r="R1467">
        <v>10.174300000000001</v>
      </c>
      <c r="S1467">
        <v>-83.83</v>
      </c>
      <c r="T1467" t="s">
        <v>31</v>
      </c>
    </row>
    <row r="1468" spans="1:20" hidden="1" x14ac:dyDescent="0.3">
      <c r="A1468" t="s">
        <v>2462</v>
      </c>
      <c r="B1468" t="s">
        <v>51</v>
      </c>
      <c r="C1468" t="s">
        <v>37</v>
      </c>
      <c r="D1468" t="s">
        <v>194</v>
      </c>
      <c r="E1468">
        <v>2015</v>
      </c>
      <c r="F1468" t="s">
        <v>31</v>
      </c>
      <c r="G1468" t="s">
        <v>4650</v>
      </c>
      <c r="H1468" t="s">
        <v>3306</v>
      </c>
      <c r="I1468" t="s">
        <v>604</v>
      </c>
      <c r="J1468" t="s">
        <v>4651</v>
      </c>
      <c r="K1468" t="s">
        <v>4489</v>
      </c>
      <c r="L1468" t="s">
        <v>31</v>
      </c>
      <c r="M1468" t="s">
        <v>27</v>
      </c>
      <c r="N1468" t="s">
        <v>27</v>
      </c>
      <c r="O1468" t="s">
        <v>27</v>
      </c>
      <c r="P1468" t="s">
        <v>31</v>
      </c>
      <c r="Q1468">
        <v>30931.23</v>
      </c>
      <c r="R1468">
        <v>6.6657599999999997</v>
      </c>
      <c r="S1468">
        <v>-58.74</v>
      </c>
      <c r="T1468" t="s">
        <v>4652</v>
      </c>
    </row>
    <row r="1469" spans="1:20" hidden="1" x14ac:dyDescent="0.3">
      <c r="A1469" t="s">
        <v>2463</v>
      </c>
      <c r="B1469" t="s">
        <v>28</v>
      </c>
      <c r="C1469" t="s">
        <v>29</v>
      </c>
      <c r="D1469" t="s">
        <v>64</v>
      </c>
      <c r="E1469">
        <v>2015</v>
      </c>
      <c r="F1469">
        <v>700000</v>
      </c>
      <c r="G1469" t="s">
        <v>31</v>
      </c>
      <c r="H1469" t="s">
        <v>2645</v>
      </c>
      <c r="I1469" t="s">
        <v>34</v>
      </c>
      <c r="J1469" t="s">
        <v>4653</v>
      </c>
      <c r="K1469" t="s">
        <v>31</v>
      </c>
      <c r="L1469" t="s">
        <v>104</v>
      </c>
      <c r="M1469" t="s">
        <v>27</v>
      </c>
      <c r="N1469" t="s">
        <v>27</v>
      </c>
      <c r="O1469" t="s">
        <v>27</v>
      </c>
      <c r="P1469" t="s">
        <v>31</v>
      </c>
      <c r="Q1469" t="s">
        <v>31</v>
      </c>
      <c r="R1469" t="s">
        <v>31</v>
      </c>
      <c r="S1469" t="s">
        <v>31</v>
      </c>
      <c r="T1469" t="s">
        <v>31</v>
      </c>
    </row>
    <row r="1470" spans="1:20" hidden="1" x14ac:dyDescent="0.3">
      <c r="A1470" t="s">
        <v>2464</v>
      </c>
      <c r="B1470" t="s">
        <v>51</v>
      </c>
      <c r="C1470" t="s">
        <v>37</v>
      </c>
      <c r="D1470" t="s">
        <v>52</v>
      </c>
      <c r="E1470">
        <v>2015</v>
      </c>
      <c r="F1470" t="s">
        <v>31</v>
      </c>
      <c r="G1470" t="s">
        <v>31</v>
      </c>
      <c r="H1470" t="s">
        <v>2719</v>
      </c>
      <c r="I1470" t="s">
        <v>90</v>
      </c>
      <c r="J1470" t="s">
        <v>4654</v>
      </c>
      <c r="K1470" t="s">
        <v>31</v>
      </c>
      <c r="L1470" t="s">
        <v>31</v>
      </c>
      <c r="M1470" t="s">
        <v>27</v>
      </c>
      <c r="N1470" t="s">
        <v>27</v>
      </c>
      <c r="O1470" t="s">
        <v>27</v>
      </c>
      <c r="P1470" t="s">
        <v>31</v>
      </c>
      <c r="Q1470" t="s">
        <v>31</v>
      </c>
      <c r="R1470" t="s">
        <v>31</v>
      </c>
      <c r="S1470" t="s">
        <v>31</v>
      </c>
      <c r="T1470" t="s">
        <v>31</v>
      </c>
    </row>
    <row r="1471" spans="1:20" hidden="1" x14ac:dyDescent="0.3">
      <c r="A1471" t="s">
        <v>2465</v>
      </c>
      <c r="B1471" t="s">
        <v>43</v>
      </c>
      <c r="C1471" t="s">
        <v>2665</v>
      </c>
      <c r="D1471" t="s">
        <v>114</v>
      </c>
      <c r="E1471">
        <v>2015</v>
      </c>
      <c r="F1471" t="s">
        <v>31</v>
      </c>
      <c r="G1471" t="s">
        <v>31</v>
      </c>
      <c r="H1471" t="s">
        <v>2719</v>
      </c>
      <c r="I1471" t="s">
        <v>90</v>
      </c>
      <c r="J1471" t="s">
        <v>4655</v>
      </c>
      <c r="K1471" t="s">
        <v>31</v>
      </c>
      <c r="L1471" t="s">
        <v>31</v>
      </c>
      <c r="M1471" t="s">
        <v>27</v>
      </c>
      <c r="N1471" t="s">
        <v>27</v>
      </c>
      <c r="O1471" t="s">
        <v>27</v>
      </c>
      <c r="P1471" t="s">
        <v>31</v>
      </c>
      <c r="Q1471" t="s">
        <v>31</v>
      </c>
      <c r="R1471" t="s">
        <v>31</v>
      </c>
      <c r="S1471" t="s">
        <v>31</v>
      </c>
      <c r="T1471" t="s">
        <v>31</v>
      </c>
    </row>
    <row r="1472" spans="1:20" hidden="1" x14ac:dyDescent="0.3">
      <c r="A1472" t="s">
        <v>2466</v>
      </c>
      <c r="B1472" t="s">
        <v>91</v>
      </c>
      <c r="C1472" t="s">
        <v>92</v>
      </c>
      <c r="D1472" t="s">
        <v>798</v>
      </c>
      <c r="E1472">
        <v>2015</v>
      </c>
      <c r="F1472">
        <v>800000</v>
      </c>
      <c r="G1472" t="s">
        <v>4656</v>
      </c>
      <c r="H1472" t="s">
        <v>2701</v>
      </c>
      <c r="I1472" t="s">
        <v>60</v>
      </c>
      <c r="J1472" t="s">
        <v>4657</v>
      </c>
      <c r="K1472" t="s">
        <v>31</v>
      </c>
      <c r="L1472" t="s">
        <v>173</v>
      </c>
      <c r="M1472" t="s">
        <v>27</v>
      </c>
      <c r="N1472" t="s">
        <v>27</v>
      </c>
      <c r="O1472" t="s">
        <v>33</v>
      </c>
      <c r="P1472" t="s">
        <v>31</v>
      </c>
      <c r="Q1472">
        <v>8.3000000000000007</v>
      </c>
      <c r="R1472">
        <v>-31.572900000000001</v>
      </c>
      <c r="S1472">
        <v>-71.674400000000006</v>
      </c>
      <c r="T1472" t="s">
        <v>31</v>
      </c>
    </row>
    <row r="1473" spans="1:20" hidden="1" x14ac:dyDescent="0.3">
      <c r="A1473" t="s">
        <v>2467</v>
      </c>
      <c r="B1473" t="s">
        <v>51</v>
      </c>
      <c r="C1473" t="s">
        <v>37</v>
      </c>
      <c r="D1473" t="s">
        <v>52</v>
      </c>
      <c r="E1473">
        <v>2015</v>
      </c>
      <c r="F1473" t="s">
        <v>31</v>
      </c>
      <c r="G1473" t="s">
        <v>4658</v>
      </c>
      <c r="H1473" t="s">
        <v>2706</v>
      </c>
      <c r="I1473" t="s">
        <v>32</v>
      </c>
      <c r="J1473" t="s">
        <v>4659</v>
      </c>
      <c r="K1473" t="s">
        <v>2649</v>
      </c>
      <c r="L1473" t="s">
        <v>31</v>
      </c>
      <c r="M1473" t="s">
        <v>27</v>
      </c>
      <c r="N1473" t="s">
        <v>27</v>
      </c>
      <c r="O1473" t="s">
        <v>27</v>
      </c>
      <c r="P1473" t="s">
        <v>31</v>
      </c>
      <c r="Q1473" t="s">
        <v>31</v>
      </c>
      <c r="R1473" t="s">
        <v>31</v>
      </c>
      <c r="S1473" t="s">
        <v>31</v>
      </c>
      <c r="T1473" t="s">
        <v>31</v>
      </c>
    </row>
    <row r="1474" spans="1:20" hidden="1" x14ac:dyDescent="0.3">
      <c r="A1474" t="s">
        <v>2468</v>
      </c>
      <c r="B1474" t="s">
        <v>51</v>
      </c>
      <c r="C1474" t="s">
        <v>37</v>
      </c>
      <c r="D1474" t="s">
        <v>121</v>
      </c>
      <c r="E1474">
        <v>2015</v>
      </c>
      <c r="F1474" t="s">
        <v>31</v>
      </c>
      <c r="G1474" t="s">
        <v>31</v>
      </c>
      <c r="H1474" t="s">
        <v>2719</v>
      </c>
      <c r="I1474" t="s">
        <v>90</v>
      </c>
      <c r="J1474" t="s">
        <v>4660</v>
      </c>
      <c r="K1474" t="s">
        <v>31</v>
      </c>
      <c r="L1474" t="s">
        <v>31</v>
      </c>
      <c r="M1474" t="s">
        <v>27</v>
      </c>
      <c r="N1474" t="s">
        <v>27</v>
      </c>
      <c r="O1474" t="s">
        <v>27</v>
      </c>
      <c r="P1474" t="s">
        <v>31</v>
      </c>
      <c r="Q1474" t="s">
        <v>31</v>
      </c>
      <c r="R1474" t="s">
        <v>31</v>
      </c>
      <c r="S1474" t="s">
        <v>31</v>
      </c>
      <c r="T1474" t="s">
        <v>31</v>
      </c>
    </row>
    <row r="1475" spans="1:20" hidden="1" x14ac:dyDescent="0.3">
      <c r="A1475" t="s">
        <v>2470</v>
      </c>
      <c r="B1475" t="s">
        <v>51</v>
      </c>
      <c r="C1475" t="s">
        <v>37</v>
      </c>
      <c r="D1475" t="s">
        <v>121</v>
      </c>
      <c r="E1475">
        <v>2015</v>
      </c>
      <c r="F1475" t="s">
        <v>31</v>
      </c>
      <c r="G1475" t="s">
        <v>31</v>
      </c>
      <c r="H1475" t="s">
        <v>2675</v>
      </c>
      <c r="I1475" t="s">
        <v>81</v>
      </c>
      <c r="J1475" t="s">
        <v>4661</v>
      </c>
      <c r="K1475" t="s">
        <v>4662</v>
      </c>
      <c r="L1475" t="s">
        <v>31</v>
      </c>
      <c r="M1475" t="s">
        <v>27</v>
      </c>
      <c r="N1475" t="s">
        <v>27</v>
      </c>
      <c r="O1475" t="s">
        <v>27</v>
      </c>
      <c r="P1475" t="s">
        <v>31</v>
      </c>
      <c r="Q1475" t="s">
        <v>31</v>
      </c>
      <c r="R1475" t="s">
        <v>31</v>
      </c>
      <c r="S1475" t="s">
        <v>31</v>
      </c>
      <c r="T1475" t="s">
        <v>31</v>
      </c>
    </row>
    <row r="1476" spans="1:20" hidden="1" x14ac:dyDescent="0.3">
      <c r="A1476" t="s">
        <v>2471</v>
      </c>
      <c r="B1476" t="s">
        <v>51</v>
      </c>
      <c r="C1476" t="s">
        <v>37</v>
      </c>
      <c r="D1476" t="s">
        <v>121</v>
      </c>
      <c r="E1476">
        <v>2015</v>
      </c>
      <c r="F1476" t="s">
        <v>31</v>
      </c>
      <c r="G1476" t="s">
        <v>4572</v>
      </c>
      <c r="H1476" t="s">
        <v>2678</v>
      </c>
      <c r="I1476" t="s">
        <v>53</v>
      </c>
      <c r="J1476" t="s">
        <v>4663</v>
      </c>
      <c r="K1476" t="s">
        <v>31</v>
      </c>
      <c r="L1476" t="s">
        <v>54</v>
      </c>
      <c r="M1476" t="s">
        <v>27</v>
      </c>
      <c r="N1476" t="s">
        <v>27</v>
      </c>
      <c r="O1476" t="s">
        <v>27</v>
      </c>
      <c r="P1476" t="s">
        <v>31</v>
      </c>
      <c r="Q1476" t="s">
        <v>31</v>
      </c>
      <c r="R1476" t="s">
        <v>31</v>
      </c>
      <c r="S1476" t="s">
        <v>31</v>
      </c>
      <c r="T1476" t="s">
        <v>31</v>
      </c>
    </row>
    <row r="1477" spans="1:20" hidden="1" x14ac:dyDescent="0.3">
      <c r="A1477" t="s">
        <v>2472</v>
      </c>
      <c r="B1477" t="s">
        <v>51</v>
      </c>
      <c r="C1477" t="s">
        <v>37</v>
      </c>
      <c r="D1477" t="s">
        <v>121</v>
      </c>
      <c r="E1477">
        <v>2015</v>
      </c>
      <c r="F1477" t="s">
        <v>31</v>
      </c>
      <c r="G1477" t="s">
        <v>4585</v>
      </c>
      <c r="H1477" t="s">
        <v>2658</v>
      </c>
      <c r="I1477" t="s">
        <v>130</v>
      </c>
      <c r="J1477" t="s">
        <v>4664</v>
      </c>
      <c r="K1477" t="s">
        <v>3910</v>
      </c>
      <c r="L1477" t="s">
        <v>31</v>
      </c>
      <c r="M1477" t="s">
        <v>27</v>
      </c>
      <c r="N1477" t="s">
        <v>27</v>
      </c>
      <c r="O1477" t="s">
        <v>27</v>
      </c>
      <c r="P1477" t="s">
        <v>31</v>
      </c>
      <c r="Q1477" t="s">
        <v>31</v>
      </c>
      <c r="R1477" t="s">
        <v>31</v>
      </c>
      <c r="S1477" t="s">
        <v>31</v>
      </c>
      <c r="T1477" t="s">
        <v>4462</v>
      </c>
    </row>
    <row r="1478" spans="1:20" hidden="1" x14ac:dyDescent="0.3">
      <c r="A1478" t="s">
        <v>2473</v>
      </c>
      <c r="B1478" t="s">
        <v>28</v>
      </c>
      <c r="C1478" t="s">
        <v>29</v>
      </c>
      <c r="D1478" t="s">
        <v>97</v>
      </c>
      <c r="E1478">
        <v>2015</v>
      </c>
      <c r="F1478">
        <v>2000000</v>
      </c>
      <c r="G1478" t="s">
        <v>4665</v>
      </c>
      <c r="H1478" t="s">
        <v>2645</v>
      </c>
      <c r="I1478" t="s">
        <v>34</v>
      </c>
      <c r="J1478" t="s">
        <v>4666</v>
      </c>
      <c r="K1478" t="s">
        <v>31</v>
      </c>
      <c r="L1478" t="s">
        <v>37</v>
      </c>
      <c r="M1478" t="s">
        <v>27</v>
      </c>
      <c r="N1478" t="s">
        <v>27</v>
      </c>
      <c r="O1478" t="s">
        <v>33</v>
      </c>
      <c r="P1478" t="s">
        <v>31</v>
      </c>
      <c r="Q1478" t="s">
        <v>31</v>
      </c>
      <c r="R1478" t="s">
        <v>31</v>
      </c>
      <c r="S1478" t="s">
        <v>31</v>
      </c>
      <c r="T1478" t="s">
        <v>31</v>
      </c>
    </row>
    <row r="1479" spans="1:20" hidden="1" x14ac:dyDescent="0.3">
      <c r="A1479" t="s">
        <v>2474</v>
      </c>
      <c r="B1479" t="s">
        <v>39</v>
      </c>
      <c r="C1479" t="s">
        <v>40</v>
      </c>
      <c r="D1479" t="s">
        <v>41</v>
      </c>
      <c r="E1479">
        <v>2015</v>
      </c>
      <c r="F1479" t="s">
        <v>31</v>
      </c>
      <c r="G1479" t="s">
        <v>31</v>
      </c>
      <c r="H1479" t="s">
        <v>2647</v>
      </c>
      <c r="I1479" t="s">
        <v>47</v>
      </c>
      <c r="J1479" t="s">
        <v>4667</v>
      </c>
      <c r="K1479" t="s">
        <v>4668</v>
      </c>
      <c r="L1479" t="s">
        <v>31</v>
      </c>
      <c r="M1479" t="s">
        <v>33</v>
      </c>
      <c r="N1479" t="s">
        <v>27</v>
      </c>
      <c r="O1479" t="s">
        <v>27</v>
      </c>
      <c r="P1479" t="s">
        <v>31</v>
      </c>
      <c r="Q1479" t="s">
        <v>31</v>
      </c>
      <c r="R1479" t="s">
        <v>31</v>
      </c>
      <c r="S1479" t="s">
        <v>31</v>
      </c>
      <c r="T1479" t="s">
        <v>31</v>
      </c>
    </row>
    <row r="1480" spans="1:20" hidden="1" x14ac:dyDescent="0.3">
      <c r="A1480" t="s">
        <v>2475</v>
      </c>
      <c r="B1480" t="s">
        <v>39</v>
      </c>
      <c r="C1480" t="s">
        <v>157</v>
      </c>
      <c r="D1480" t="s">
        <v>157</v>
      </c>
      <c r="E1480">
        <v>2015</v>
      </c>
      <c r="F1480" t="s">
        <v>31</v>
      </c>
      <c r="G1480" t="s">
        <v>4490</v>
      </c>
      <c r="H1480" t="s">
        <v>2774</v>
      </c>
      <c r="I1480" t="s">
        <v>166</v>
      </c>
      <c r="J1480" t="s">
        <v>3530</v>
      </c>
      <c r="K1480" t="s">
        <v>3910</v>
      </c>
      <c r="L1480" t="s">
        <v>31</v>
      </c>
      <c r="M1480" t="s">
        <v>27</v>
      </c>
      <c r="N1480" t="s">
        <v>27</v>
      </c>
      <c r="O1480" t="s">
        <v>33</v>
      </c>
      <c r="P1480" t="s">
        <v>31</v>
      </c>
      <c r="Q1480" t="s">
        <v>31</v>
      </c>
      <c r="R1480" t="s">
        <v>31</v>
      </c>
      <c r="S1480" t="s">
        <v>31</v>
      </c>
      <c r="T1480" t="s">
        <v>31</v>
      </c>
    </row>
    <row r="1481" spans="1:20" hidden="1" x14ac:dyDescent="0.3">
      <c r="A1481" t="s">
        <v>2476</v>
      </c>
      <c r="B1481" t="s">
        <v>39</v>
      </c>
      <c r="C1481" t="s">
        <v>157</v>
      </c>
      <c r="D1481" t="s">
        <v>157</v>
      </c>
      <c r="E1481">
        <v>2015</v>
      </c>
      <c r="F1481" t="s">
        <v>31</v>
      </c>
      <c r="G1481" t="s">
        <v>31</v>
      </c>
      <c r="H1481" t="s">
        <v>2716</v>
      </c>
      <c r="I1481" t="s">
        <v>242</v>
      </c>
      <c r="J1481" t="s">
        <v>4669</v>
      </c>
      <c r="K1481" t="s">
        <v>4670</v>
      </c>
      <c r="L1481" t="s">
        <v>31</v>
      </c>
      <c r="M1481" t="s">
        <v>27</v>
      </c>
      <c r="N1481" t="s">
        <v>27</v>
      </c>
      <c r="O1481" t="s">
        <v>27</v>
      </c>
      <c r="P1481" t="s">
        <v>31</v>
      </c>
      <c r="Q1481" t="s">
        <v>31</v>
      </c>
      <c r="R1481" t="s">
        <v>31</v>
      </c>
      <c r="S1481" t="s">
        <v>31</v>
      </c>
      <c r="T1481" t="s">
        <v>31</v>
      </c>
    </row>
    <row r="1482" spans="1:20" hidden="1" x14ac:dyDescent="0.3">
      <c r="A1482" t="s">
        <v>239</v>
      </c>
      <c r="B1482" t="s">
        <v>91</v>
      </c>
      <c r="C1482" t="s">
        <v>92</v>
      </c>
      <c r="D1482" t="s">
        <v>93</v>
      </c>
      <c r="E1482">
        <v>2016</v>
      </c>
      <c r="F1482" t="s">
        <v>31</v>
      </c>
      <c r="G1482" t="s">
        <v>4671</v>
      </c>
      <c r="H1482" t="s">
        <v>2678</v>
      </c>
      <c r="I1482" t="s">
        <v>53</v>
      </c>
      <c r="J1482" t="s">
        <v>4672</v>
      </c>
      <c r="K1482" t="s">
        <v>31</v>
      </c>
      <c r="L1482" t="s">
        <v>31</v>
      </c>
      <c r="M1482" t="s">
        <v>27</v>
      </c>
      <c r="N1482" t="s">
        <v>27</v>
      </c>
      <c r="O1482" t="s">
        <v>27</v>
      </c>
      <c r="P1482" t="s">
        <v>31</v>
      </c>
      <c r="Q1482">
        <v>6.3</v>
      </c>
      <c r="R1482">
        <v>-15.321</v>
      </c>
      <c r="S1482">
        <v>-70.826999999999998</v>
      </c>
      <c r="T1482" t="s">
        <v>31</v>
      </c>
    </row>
    <row r="1483" spans="1:20" hidden="1" x14ac:dyDescent="0.3">
      <c r="A1483" t="s">
        <v>254</v>
      </c>
      <c r="B1483" t="s">
        <v>51</v>
      </c>
      <c r="C1483" t="s">
        <v>37</v>
      </c>
      <c r="D1483" t="s">
        <v>52</v>
      </c>
      <c r="E1483">
        <v>2016</v>
      </c>
      <c r="F1483" t="s">
        <v>31</v>
      </c>
      <c r="G1483" t="s">
        <v>31</v>
      </c>
      <c r="H1483" t="s">
        <v>2669</v>
      </c>
      <c r="I1483" t="s">
        <v>111</v>
      </c>
      <c r="J1483" t="s">
        <v>4673</v>
      </c>
      <c r="K1483" t="s">
        <v>31</v>
      </c>
      <c r="L1483" t="s">
        <v>54</v>
      </c>
      <c r="M1483" t="s">
        <v>27</v>
      </c>
      <c r="N1483" t="s">
        <v>27</v>
      </c>
      <c r="O1483" t="s">
        <v>27</v>
      </c>
      <c r="P1483" t="s">
        <v>31</v>
      </c>
      <c r="Q1483" t="s">
        <v>31</v>
      </c>
      <c r="R1483" t="s">
        <v>31</v>
      </c>
      <c r="S1483" t="s">
        <v>31</v>
      </c>
      <c r="T1483" t="s">
        <v>4674</v>
      </c>
    </row>
    <row r="1484" spans="1:20" hidden="1" x14ac:dyDescent="0.3">
      <c r="A1484" t="s">
        <v>255</v>
      </c>
      <c r="B1484" t="s">
        <v>51</v>
      </c>
      <c r="C1484" t="s">
        <v>37</v>
      </c>
      <c r="D1484" t="s">
        <v>121</v>
      </c>
      <c r="E1484">
        <v>2016</v>
      </c>
      <c r="F1484">
        <v>2000</v>
      </c>
      <c r="G1484" t="s">
        <v>4675</v>
      </c>
      <c r="H1484" t="s">
        <v>2658</v>
      </c>
      <c r="I1484" t="s">
        <v>130</v>
      </c>
      <c r="J1484" t="s">
        <v>4676</v>
      </c>
      <c r="K1484" t="s">
        <v>3252</v>
      </c>
      <c r="L1484" t="s">
        <v>237</v>
      </c>
      <c r="M1484" t="s">
        <v>27</v>
      </c>
      <c r="N1484" t="s">
        <v>27</v>
      </c>
      <c r="O1484" t="s">
        <v>27</v>
      </c>
      <c r="P1484" t="s">
        <v>31</v>
      </c>
      <c r="Q1484" t="s">
        <v>31</v>
      </c>
      <c r="R1484" t="s">
        <v>31</v>
      </c>
      <c r="S1484" t="s">
        <v>31</v>
      </c>
      <c r="T1484" t="s">
        <v>31</v>
      </c>
    </row>
    <row r="1485" spans="1:20" hidden="1" x14ac:dyDescent="0.3">
      <c r="A1485" t="s">
        <v>256</v>
      </c>
      <c r="B1485" t="s">
        <v>43</v>
      </c>
      <c r="C1485" t="s">
        <v>2665</v>
      </c>
      <c r="D1485" t="s">
        <v>114</v>
      </c>
      <c r="E1485">
        <v>2016</v>
      </c>
      <c r="F1485" t="s">
        <v>31</v>
      </c>
      <c r="G1485" t="s">
        <v>31</v>
      </c>
      <c r="H1485" t="s">
        <v>2656</v>
      </c>
      <c r="I1485" t="s">
        <v>119</v>
      </c>
      <c r="J1485" t="s">
        <v>4677</v>
      </c>
      <c r="K1485" t="s">
        <v>31</v>
      </c>
      <c r="L1485" t="s">
        <v>31</v>
      </c>
      <c r="M1485" t="s">
        <v>27</v>
      </c>
      <c r="N1485" t="s">
        <v>27</v>
      </c>
      <c r="O1485" t="s">
        <v>33</v>
      </c>
      <c r="P1485" t="s">
        <v>31</v>
      </c>
      <c r="Q1485" t="s">
        <v>31</v>
      </c>
      <c r="R1485" t="s">
        <v>31</v>
      </c>
      <c r="S1485" t="s">
        <v>31</v>
      </c>
      <c r="T1485" t="s">
        <v>31</v>
      </c>
    </row>
    <row r="1486" spans="1:20" hidden="1" x14ac:dyDescent="0.3">
      <c r="A1486" t="s">
        <v>260</v>
      </c>
      <c r="B1486" t="s">
        <v>28</v>
      </c>
      <c r="C1486" t="s">
        <v>29</v>
      </c>
      <c r="D1486" t="s">
        <v>30</v>
      </c>
      <c r="E1486">
        <v>2016</v>
      </c>
      <c r="F1486" t="s">
        <v>31</v>
      </c>
      <c r="G1486" t="s">
        <v>4678</v>
      </c>
      <c r="H1486" t="s">
        <v>2774</v>
      </c>
      <c r="I1486" t="s">
        <v>166</v>
      </c>
      <c r="J1486" t="s">
        <v>4679</v>
      </c>
      <c r="K1486" t="s">
        <v>31</v>
      </c>
      <c r="L1486" t="s">
        <v>82</v>
      </c>
      <c r="M1486" t="s">
        <v>27</v>
      </c>
      <c r="N1486" t="s">
        <v>27</v>
      </c>
      <c r="O1486" t="s">
        <v>27</v>
      </c>
      <c r="P1486" t="s">
        <v>31</v>
      </c>
      <c r="Q1486">
        <v>120</v>
      </c>
      <c r="R1486" t="s">
        <v>31</v>
      </c>
      <c r="S1486" t="s">
        <v>31</v>
      </c>
      <c r="T1486" t="s">
        <v>31</v>
      </c>
    </row>
    <row r="1487" spans="1:20" hidden="1" x14ac:dyDescent="0.3">
      <c r="A1487" t="s">
        <v>261</v>
      </c>
      <c r="B1487" t="s">
        <v>51</v>
      </c>
      <c r="C1487" t="s">
        <v>37</v>
      </c>
      <c r="D1487" t="s">
        <v>56</v>
      </c>
      <c r="E1487">
        <v>2016</v>
      </c>
      <c r="F1487" t="s">
        <v>31</v>
      </c>
      <c r="G1487" t="s">
        <v>4680</v>
      </c>
      <c r="H1487" t="s">
        <v>2672</v>
      </c>
      <c r="I1487" t="s">
        <v>73</v>
      </c>
      <c r="J1487" t="s">
        <v>4681</v>
      </c>
      <c r="K1487" t="s">
        <v>2649</v>
      </c>
      <c r="L1487" t="s">
        <v>262</v>
      </c>
      <c r="M1487" t="s">
        <v>27</v>
      </c>
      <c r="N1487" t="s">
        <v>27</v>
      </c>
      <c r="O1487" t="s">
        <v>27</v>
      </c>
      <c r="P1487" t="s">
        <v>31</v>
      </c>
      <c r="Q1487">
        <v>322162.36</v>
      </c>
      <c r="R1487">
        <v>23.273</v>
      </c>
      <c r="S1487">
        <v>-99.793000000000006</v>
      </c>
      <c r="T1487" t="s">
        <v>31</v>
      </c>
    </row>
    <row r="1488" spans="1:20" hidden="1" x14ac:dyDescent="0.3">
      <c r="A1488" t="s">
        <v>268</v>
      </c>
      <c r="B1488" t="s">
        <v>43</v>
      </c>
      <c r="C1488" t="s">
        <v>2665</v>
      </c>
      <c r="D1488" t="s">
        <v>44</v>
      </c>
      <c r="E1488">
        <v>2016</v>
      </c>
      <c r="F1488" t="s">
        <v>31</v>
      </c>
      <c r="G1488" t="s">
        <v>31</v>
      </c>
      <c r="H1488" t="s">
        <v>2749</v>
      </c>
      <c r="I1488" t="s">
        <v>45</v>
      </c>
      <c r="J1488" t="s">
        <v>4682</v>
      </c>
      <c r="K1488" t="s">
        <v>31</v>
      </c>
      <c r="L1488" t="s">
        <v>31</v>
      </c>
      <c r="M1488" t="s">
        <v>27</v>
      </c>
      <c r="N1488" t="s">
        <v>27</v>
      </c>
      <c r="O1488" t="s">
        <v>27</v>
      </c>
      <c r="P1488" t="s">
        <v>31</v>
      </c>
      <c r="Q1488" t="s">
        <v>31</v>
      </c>
      <c r="R1488" t="s">
        <v>31</v>
      </c>
      <c r="S1488" t="s">
        <v>31</v>
      </c>
      <c r="T1488" t="s">
        <v>31</v>
      </c>
    </row>
    <row r="1489" spans="1:20" hidden="1" x14ac:dyDescent="0.3">
      <c r="A1489" t="s">
        <v>271</v>
      </c>
      <c r="B1489" t="s">
        <v>28</v>
      </c>
      <c r="C1489" t="s">
        <v>29</v>
      </c>
      <c r="D1489" t="s">
        <v>30</v>
      </c>
      <c r="E1489">
        <v>2016</v>
      </c>
      <c r="F1489" t="s">
        <v>31</v>
      </c>
      <c r="G1489" t="s">
        <v>4683</v>
      </c>
      <c r="H1489" t="s">
        <v>2903</v>
      </c>
      <c r="I1489" t="s">
        <v>148</v>
      </c>
      <c r="J1489" t="s">
        <v>4684</v>
      </c>
      <c r="K1489" t="s">
        <v>31</v>
      </c>
      <c r="L1489" t="s">
        <v>31</v>
      </c>
      <c r="M1489" t="s">
        <v>27</v>
      </c>
      <c r="N1489" t="s">
        <v>27</v>
      </c>
      <c r="O1489" t="s">
        <v>27</v>
      </c>
      <c r="P1489" t="s">
        <v>31</v>
      </c>
      <c r="Q1489" t="s">
        <v>31</v>
      </c>
      <c r="R1489" t="s">
        <v>31</v>
      </c>
      <c r="S1489" t="s">
        <v>31</v>
      </c>
      <c r="T1489" t="s">
        <v>31</v>
      </c>
    </row>
    <row r="1490" spans="1:20" hidden="1" x14ac:dyDescent="0.3">
      <c r="A1490" t="s">
        <v>272</v>
      </c>
      <c r="B1490" t="s">
        <v>28</v>
      </c>
      <c r="C1490" t="s">
        <v>29</v>
      </c>
      <c r="D1490" t="s">
        <v>30</v>
      </c>
      <c r="E1490">
        <v>2016</v>
      </c>
      <c r="F1490">
        <v>10000000</v>
      </c>
      <c r="G1490" t="s">
        <v>4683</v>
      </c>
      <c r="H1490" t="s">
        <v>2645</v>
      </c>
      <c r="I1490" t="s">
        <v>34</v>
      </c>
      <c r="J1490" t="s">
        <v>4685</v>
      </c>
      <c r="K1490" t="s">
        <v>31</v>
      </c>
      <c r="L1490" t="s">
        <v>37</v>
      </c>
      <c r="M1490" t="s">
        <v>27</v>
      </c>
      <c r="N1490" t="s">
        <v>27</v>
      </c>
      <c r="O1490" t="s">
        <v>27</v>
      </c>
      <c r="P1490" t="s">
        <v>31</v>
      </c>
      <c r="Q1490" t="s">
        <v>31</v>
      </c>
      <c r="R1490" t="s">
        <v>31</v>
      </c>
      <c r="S1490" t="s">
        <v>31</v>
      </c>
      <c r="T1490" t="s">
        <v>31</v>
      </c>
    </row>
    <row r="1491" spans="1:20" hidden="1" x14ac:dyDescent="0.3">
      <c r="A1491" t="s">
        <v>273</v>
      </c>
      <c r="B1491" t="s">
        <v>28</v>
      </c>
      <c r="C1491" t="s">
        <v>29</v>
      </c>
      <c r="D1491" t="s">
        <v>30</v>
      </c>
      <c r="E1491">
        <v>2016</v>
      </c>
      <c r="F1491" t="s">
        <v>31</v>
      </c>
      <c r="G1491" t="s">
        <v>4683</v>
      </c>
      <c r="H1491" t="s">
        <v>2751</v>
      </c>
      <c r="I1491" t="s">
        <v>234</v>
      </c>
      <c r="J1491" t="s">
        <v>4686</v>
      </c>
      <c r="K1491" t="s">
        <v>31</v>
      </c>
      <c r="L1491" t="s">
        <v>31</v>
      </c>
      <c r="M1491" t="s">
        <v>33</v>
      </c>
      <c r="N1491" t="s">
        <v>27</v>
      </c>
      <c r="O1491" t="s">
        <v>27</v>
      </c>
      <c r="P1491" t="s">
        <v>31</v>
      </c>
      <c r="Q1491" t="s">
        <v>31</v>
      </c>
      <c r="R1491" t="s">
        <v>31</v>
      </c>
      <c r="S1491" t="s">
        <v>31</v>
      </c>
      <c r="T1491" t="s">
        <v>31</v>
      </c>
    </row>
    <row r="1492" spans="1:20" hidden="1" x14ac:dyDescent="0.3">
      <c r="A1492" t="s">
        <v>274</v>
      </c>
      <c r="B1492" t="s">
        <v>28</v>
      </c>
      <c r="C1492" t="s">
        <v>29</v>
      </c>
      <c r="D1492" t="s">
        <v>30</v>
      </c>
      <c r="E1492">
        <v>2016</v>
      </c>
      <c r="F1492">
        <v>2600000</v>
      </c>
      <c r="G1492" t="s">
        <v>4683</v>
      </c>
      <c r="H1492" t="s">
        <v>2716</v>
      </c>
      <c r="I1492" t="s">
        <v>242</v>
      </c>
      <c r="J1492" t="s">
        <v>4687</v>
      </c>
      <c r="K1492" t="s">
        <v>31</v>
      </c>
      <c r="L1492" t="s">
        <v>31</v>
      </c>
      <c r="M1492" t="s">
        <v>27</v>
      </c>
      <c r="N1492" t="s">
        <v>27</v>
      </c>
      <c r="O1492" t="s">
        <v>27</v>
      </c>
      <c r="P1492" t="s">
        <v>31</v>
      </c>
      <c r="Q1492" t="s">
        <v>31</v>
      </c>
      <c r="R1492" t="s">
        <v>31</v>
      </c>
      <c r="S1492" t="s">
        <v>31</v>
      </c>
      <c r="T1492" t="s">
        <v>31</v>
      </c>
    </row>
    <row r="1493" spans="1:20" hidden="1" x14ac:dyDescent="0.3">
      <c r="A1493" t="s">
        <v>275</v>
      </c>
      <c r="B1493" t="s">
        <v>51</v>
      </c>
      <c r="C1493" t="s">
        <v>37</v>
      </c>
      <c r="D1493" t="s">
        <v>56</v>
      </c>
      <c r="E1493">
        <v>2016</v>
      </c>
      <c r="F1493">
        <v>25000</v>
      </c>
      <c r="G1493" t="s">
        <v>4688</v>
      </c>
      <c r="H1493" t="s">
        <v>2672</v>
      </c>
      <c r="I1493" t="s">
        <v>73</v>
      </c>
      <c r="J1493" t="s">
        <v>4689</v>
      </c>
      <c r="K1493" t="s">
        <v>2649</v>
      </c>
      <c r="L1493" t="s">
        <v>31</v>
      </c>
      <c r="M1493" t="s">
        <v>27</v>
      </c>
      <c r="N1493" t="s">
        <v>27</v>
      </c>
      <c r="O1493" t="s">
        <v>27</v>
      </c>
      <c r="P1493" t="s">
        <v>31</v>
      </c>
      <c r="Q1493">
        <v>22329.119999999999</v>
      </c>
      <c r="R1493">
        <v>23.672000000000001</v>
      </c>
      <c r="S1493">
        <v>-104.964</v>
      </c>
      <c r="T1493" t="s">
        <v>31</v>
      </c>
    </row>
    <row r="1494" spans="1:20" hidden="1" x14ac:dyDescent="0.3">
      <c r="A1494" t="s">
        <v>276</v>
      </c>
      <c r="B1494" t="s">
        <v>51</v>
      </c>
      <c r="C1494" t="s">
        <v>37</v>
      </c>
      <c r="D1494" t="s">
        <v>52</v>
      </c>
      <c r="E1494">
        <v>2016</v>
      </c>
      <c r="F1494" t="s">
        <v>31</v>
      </c>
      <c r="G1494" t="s">
        <v>4690</v>
      </c>
      <c r="H1494" t="s">
        <v>2672</v>
      </c>
      <c r="I1494" t="s">
        <v>73</v>
      </c>
      <c r="J1494" t="s">
        <v>4691</v>
      </c>
      <c r="K1494" t="s">
        <v>2649</v>
      </c>
      <c r="L1494" t="s">
        <v>31</v>
      </c>
      <c r="M1494" t="s">
        <v>27</v>
      </c>
      <c r="N1494" t="s">
        <v>27</v>
      </c>
      <c r="O1494" t="s">
        <v>27</v>
      </c>
      <c r="P1494" t="s">
        <v>31</v>
      </c>
      <c r="Q1494">
        <v>127233.91</v>
      </c>
      <c r="R1494">
        <v>17.071000000000002</v>
      </c>
      <c r="S1494">
        <v>-93.805000000000007</v>
      </c>
      <c r="T1494" t="s">
        <v>31</v>
      </c>
    </row>
    <row r="1495" spans="1:20" hidden="1" x14ac:dyDescent="0.3">
      <c r="A1495" t="s">
        <v>281</v>
      </c>
      <c r="B1495" t="s">
        <v>39</v>
      </c>
      <c r="C1495" t="s">
        <v>40</v>
      </c>
      <c r="D1495" t="s">
        <v>41</v>
      </c>
      <c r="E1495">
        <v>2016</v>
      </c>
      <c r="F1495">
        <v>50000</v>
      </c>
      <c r="G1495" t="s">
        <v>4692</v>
      </c>
      <c r="H1495" t="s">
        <v>2645</v>
      </c>
      <c r="I1495" t="s">
        <v>34</v>
      </c>
      <c r="J1495" t="s">
        <v>4693</v>
      </c>
      <c r="K1495" t="s">
        <v>157</v>
      </c>
      <c r="L1495" t="s">
        <v>31</v>
      </c>
      <c r="M1495" t="s">
        <v>27</v>
      </c>
      <c r="N1495" t="s">
        <v>27</v>
      </c>
      <c r="O1495" t="s">
        <v>27</v>
      </c>
      <c r="P1495" t="s">
        <v>31</v>
      </c>
      <c r="Q1495" t="s">
        <v>31</v>
      </c>
      <c r="R1495" t="s">
        <v>31</v>
      </c>
      <c r="S1495" t="s">
        <v>31</v>
      </c>
      <c r="T1495" t="s">
        <v>31</v>
      </c>
    </row>
    <row r="1496" spans="1:20" hidden="1" x14ac:dyDescent="0.3">
      <c r="A1496" t="s">
        <v>285</v>
      </c>
      <c r="B1496" t="s">
        <v>39</v>
      </c>
      <c r="C1496" t="s">
        <v>40</v>
      </c>
      <c r="D1496" t="s">
        <v>41</v>
      </c>
      <c r="E1496">
        <v>2016</v>
      </c>
      <c r="F1496">
        <v>150000</v>
      </c>
      <c r="G1496" t="s">
        <v>31</v>
      </c>
      <c r="H1496" t="s">
        <v>2645</v>
      </c>
      <c r="I1496" t="s">
        <v>34</v>
      </c>
      <c r="J1496" t="s">
        <v>3454</v>
      </c>
      <c r="K1496" t="s">
        <v>4694</v>
      </c>
      <c r="L1496" t="s">
        <v>31</v>
      </c>
      <c r="M1496" t="s">
        <v>27</v>
      </c>
      <c r="N1496" t="s">
        <v>27</v>
      </c>
      <c r="O1496" t="s">
        <v>33</v>
      </c>
      <c r="P1496" t="s">
        <v>31</v>
      </c>
      <c r="Q1496" t="s">
        <v>31</v>
      </c>
      <c r="R1496" t="s">
        <v>31</v>
      </c>
      <c r="S1496" t="s">
        <v>31</v>
      </c>
      <c r="T1496" t="s">
        <v>31</v>
      </c>
    </row>
    <row r="1497" spans="1:20" hidden="1" x14ac:dyDescent="0.3">
      <c r="A1497" t="s">
        <v>288</v>
      </c>
      <c r="B1497" t="s">
        <v>51</v>
      </c>
      <c r="C1497" t="s">
        <v>37</v>
      </c>
      <c r="D1497" t="s">
        <v>52</v>
      </c>
      <c r="E1497">
        <v>2016</v>
      </c>
      <c r="F1497" t="s">
        <v>31</v>
      </c>
      <c r="G1497" t="s">
        <v>31</v>
      </c>
      <c r="H1497" t="s">
        <v>2645</v>
      </c>
      <c r="I1497" t="s">
        <v>34</v>
      </c>
      <c r="J1497" t="s">
        <v>4695</v>
      </c>
      <c r="K1497" t="s">
        <v>31</v>
      </c>
      <c r="L1497" t="s">
        <v>31</v>
      </c>
      <c r="M1497" t="s">
        <v>27</v>
      </c>
      <c r="N1497" t="s">
        <v>27</v>
      </c>
      <c r="O1497" t="s">
        <v>27</v>
      </c>
      <c r="P1497" t="s">
        <v>31</v>
      </c>
      <c r="Q1497" t="s">
        <v>31</v>
      </c>
      <c r="R1497" t="s">
        <v>31</v>
      </c>
      <c r="S1497" t="s">
        <v>31</v>
      </c>
      <c r="T1497" t="s">
        <v>31</v>
      </c>
    </row>
    <row r="1498" spans="1:20" hidden="1" x14ac:dyDescent="0.3">
      <c r="A1498" t="s">
        <v>289</v>
      </c>
      <c r="B1498" t="s">
        <v>51</v>
      </c>
      <c r="C1498" t="s">
        <v>37</v>
      </c>
      <c r="D1498" t="s">
        <v>121</v>
      </c>
      <c r="E1498">
        <v>2016</v>
      </c>
      <c r="F1498" t="s">
        <v>31</v>
      </c>
      <c r="G1498" t="s">
        <v>31</v>
      </c>
      <c r="H1498" t="s">
        <v>2749</v>
      </c>
      <c r="I1498" t="s">
        <v>45</v>
      </c>
      <c r="J1498" t="s">
        <v>4696</v>
      </c>
      <c r="K1498" t="s">
        <v>31</v>
      </c>
      <c r="L1498" t="s">
        <v>290</v>
      </c>
      <c r="M1498" t="s">
        <v>27</v>
      </c>
      <c r="N1498" t="s">
        <v>27</v>
      </c>
      <c r="O1498" t="s">
        <v>27</v>
      </c>
      <c r="P1498" t="s">
        <v>31</v>
      </c>
      <c r="Q1498" t="s">
        <v>31</v>
      </c>
      <c r="R1498" t="s">
        <v>31</v>
      </c>
      <c r="S1498" t="s">
        <v>31</v>
      </c>
      <c r="T1498" t="s">
        <v>31</v>
      </c>
    </row>
    <row r="1499" spans="1:20" hidden="1" x14ac:dyDescent="0.3">
      <c r="A1499" t="s">
        <v>292</v>
      </c>
      <c r="B1499" t="s">
        <v>51</v>
      </c>
      <c r="C1499" t="s">
        <v>37</v>
      </c>
      <c r="D1499" t="s">
        <v>121</v>
      </c>
      <c r="E1499">
        <v>2016</v>
      </c>
      <c r="F1499">
        <v>1000000</v>
      </c>
      <c r="G1499" t="s">
        <v>31</v>
      </c>
      <c r="H1499" t="s">
        <v>2658</v>
      </c>
      <c r="I1499" t="s">
        <v>130</v>
      </c>
      <c r="J1499" t="s">
        <v>4697</v>
      </c>
      <c r="K1499" t="s">
        <v>4355</v>
      </c>
      <c r="L1499" t="s">
        <v>31</v>
      </c>
      <c r="M1499" t="s">
        <v>27</v>
      </c>
      <c r="N1499" t="s">
        <v>27</v>
      </c>
      <c r="O1499" t="s">
        <v>27</v>
      </c>
      <c r="P1499" t="s">
        <v>31</v>
      </c>
      <c r="Q1499" t="s">
        <v>31</v>
      </c>
      <c r="R1499" t="s">
        <v>31</v>
      </c>
      <c r="S1499" t="s">
        <v>31</v>
      </c>
      <c r="T1499" t="s">
        <v>4698</v>
      </c>
    </row>
    <row r="1500" spans="1:20" hidden="1" x14ac:dyDescent="0.3">
      <c r="A1500" t="s">
        <v>293</v>
      </c>
      <c r="B1500" t="s">
        <v>51</v>
      </c>
      <c r="C1500" t="s">
        <v>37</v>
      </c>
      <c r="D1500" t="s">
        <v>121</v>
      </c>
      <c r="E1500">
        <v>2016</v>
      </c>
      <c r="F1500">
        <v>100000</v>
      </c>
      <c r="G1500" t="s">
        <v>31</v>
      </c>
      <c r="H1500" t="s">
        <v>2701</v>
      </c>
      <c r="I1500" t="s">
        <v>60</v>
      </c>
      <c r="J1500" t="s">
        <v>4699</v>
      </c>
      <c r="K1500" t="s">
        <v>2649</v>
      </c>
      <c r="L1500" t="s">
        <v>31</v>
      </c>
      <c r="M1500" t="s">
        <v>27</v>
      </c>
      <c r="N1500" t="s">
        <v>27</v>
      </c>
      <c r="O1500" t="s">
        <v>27</v>
      </c>
      <c r="P1500" t="s">
        <v>31</v>
      </c>
      <c r="Q1500" t="s">
        <v>31</v>
      </c>
      <c r="R1500" t="s">
        <v>31</v>
      </c>
      <c r="S1500" t="s">
        <v>31</v>
      </c>
      <c r="T1500" t="s">
        <v>4700</v>
      </c>
    </row>
    <row r="1501" spans="1:20" hidden="1" x14ac:dyDescent="0.3">
      <c r="A1501" t="s">
        <v>296</v>
      </c>
      <c r="B1501" t="s">
        <v>28</v>
      </c>
      <c r="C1501" t="s">
        <v>29</v>
      </c>
      <c r="D1501" t="s">
        <v>64</v>
      </c>
      <c r="E1501">
        <v>2016</v>
      </c>
      <c r="F1501">
        <v>1200000</v>
      </c>
      <c r="G1501" t="s">
        <v>31</v>
      </c>
      <c r="H1501" t="s">
        <v>2645</v>
      </c>
      <c r="I1501" t="s">
        <v>34</v>
      </c>
      <c r="J1501" t="s">
        <v>4701</v>
      </c>
      <c r="K1501" t="s">
        <v>31</v>
      </c>
      <c r="L1501" t="s">
        <v>65</v>
      </c>
      <c r="M1501" t="s">
        <v>27</v>
      </c>
      <c r="N1501" t="s">
        <v>27</v>
      </c>
      <c r="O1501" t="s">
        <v>33</v>
      </c>
      <c r="P1501" t="s">
        <v>31</v>
      </c>
      <c r="Q1501" t="s">
        <v>31</v>
      </c>
      <c r="R1501" t="s">
        <v>31</v>
      </c>
      <c r="S1501" t="s">
        <v>31</v>
      </c>
      <c r="T1501" t="s">
        <v>31</v>
      </c>
    </row>
    <row r="1502" spans="1:20" x14ac:dyDescent="0.3">
      <c r="A1502" t="s">
        <v>298</v>
      </c>
      <c r="B1502" t="s">
        <v>51</v>
      </c>
      <c r="C1502" t="s">
        <v>37</v>
      </c>
      <c r="D1502" t="s">
        <v>56</v>
      </c>
      <c r="E1502">
        <v>2016</v>
      </c>
      <c r="F1502">
        <v>100000</v>
      </c>
      <c r="G1502" t="s">
        <v>31</v>
      </c>
      <c r="H1502" t="s">
        <v>2656</v>
      </c>
      <c r="I1502" t="s">
        <v>119</v>
      </c>
      <c r="J1502" t="s">
        <v>2587</v>
      </c>
      <c r="K1502" t="s">
        <v>4702</v>
      </c>
      <c r="L1502" t="s">
        <v>54</v>
      </c>
      <c r="M1502" t="s">
        <v>27</v>
      </c>
      <c r="N1502" t="s">
        <v>27</v>
      </c>
      <c r="O1502" t="s">
        <v>27</v>
      </c>
      <c r="P1502" t="s">
        <v>31</v>
      </c>
      <c r="Q1502" t="s">
        <v>31</v>
      </c>
      <c r="R1502" t="s">
        <v>31</v>
      </c>
      <c r="S1502" t="s">
        <v>31</v>
      </c>
      <c r="T1502" t="s">
        <v>4703</v>
      </c>
    </row>
    <row r="1503" spans="1:20" hidden="1" x14ac:dyDescent="0.3">
      <c r="A1503" t="s">
        <v>301</v>
      </c>
      <c r="B1503" t="s">
        <v>28</v>
      </c>
      <c r="C1503" t="s">
        <v>29</v>
      </c>
      <c r="D1503" t="s">
        <v>67</v>
      </c>
      <c r="E1503">
        <v>2016</v>
      </c>
      <c r="F1503">
        <v>1200000</v>
      </c>
      <c r="G1503" t="s">
        <v>4704</v>
      </c>
      <c r="H1503" t="s">
        <v>2645</v>
      </c>
      <c r="I1503" t="s">
        <v>34</v>
      </c>
      <c r="J1503" t="s">
        <v>4705</v>
      </c>
      <c r="K1503" t="s">
        <v>31</v>
      </c>
      <c r="L1503" t="s">
        <v>302</v>
      </c>
      <c r="M1503" t="s">
        <v>27</v>
      </c>
      <c r="N1503" t="s">
        <v>27</v>
      </c>
      <c r="O1503" t="s">
        <v>33</v>
      </c>
      <c r="P1503" t="s">
        <v>31</v>
      </c>
      <c r="Q1503" t="s">
        <v>31</v>
      </c>
      <c r="R1503" t="s">
        <v>31</v>
      </c>
      <c r="S1503" t="s">
        <v>31</v>
      </c>
      <c r="T1503" t="s">
        <v>31</v>
      </c>
    </row>
    <row r="1504" spans="1:20" hidden="1" x14ac:dyDescent="0.3">
      <c r="A1504" t="s">
        <v>304</v>
      </c>
      <c r="B1504" t="s">
        <v>51</v>
      </c>
      <c r="C1504" t="s">
        <v>37</v>
      </c>
      <c r="D1504" t="s">
        <v>56</v>
      </c>
      <c r="E1504">
        <v>2016</v>
      </c>
      <c r="F1504">
        <v>10000</v>
      </c>
      <c r="G1504" t="s">
        <v>4706</v>
      </c>
      <c r="H1504" t="s">
        <v>2666</v>
      </c>
      <c r="I1504" t="s">
        <v>109</v>
      </c>
      <c r="J1504" t="s">
        <v>4707</v>
      </c>
      <c r="K1504" t="s">
        <v>4489</v>
      </c>
      <c r="L1504" t="s">
        <v>31</v>
      </c>
      <c r="M1504" t="s">
        <v>27</v>
      </c>
      <c r="N1504" t="s">
        <v>27</v>
      </c>
      <c r="O1504" t="s">
        <v>27</v>
      </c>
      <c r="P1504" t="s">
        <v>31</v>
      </c>
      <c r="Q1504">
        <v>69541.98</v>
      </c>
      <c r="R1504">
        <v>-0.78600000000000003</v>
      </c>
      <c r="S1504">
        <v>-79.700999999999993</v>
      </c>
      <c r="T1504" t="s">
        <v>4708</v>
      </c>
    </row>
    <row r="1505" spans="1:20" hidden="1" x14ac:dyDescent="0.3">
      <c r="A1505" t="s">
        <v>1187</v>
      </c>
      <c r="B1505" t="s">
        <v>28</v>
      </c>
      <c r="C1505" t="s">
        <v>29</v>
      </c>
      <c r="D1505" t="s">
        <v>64</v>
      </c>
      <c r="E1505">
        <v>2016</v>
      </c>
      <c r="F1505">
        <v>125000</v>
      </c>
      <c r="G1505" t="s">
        <v>31</v>
      </c>
      <c r="H1505" t="s">
        <v>2645</v>
      </c>
      <c r="I1505" t="s">
        <v>34</v>
      </c>
      <c r="J1505" t="s">
        <v>4709</v>
      </c>
      <c r="K1505" t="s">
        <v>4710</v>
      </c>
      <c r="L1505" t="s">
        <v>82</v>
      </c>
      <c r="M1505" t="s">
        <v>27</v>
      </c>
      <c r="N1505" t="s">
        <v>27</v>
      </c>
      <c r="O1505" t="s">
        <v>27</v>
      </c>
      <c r="P1505" t="s">
        <v>31</v>
      </c>
      <c r="Q1505" t="s">
        <v>31</v>
      </c>
      <c r="R1505" t="s">
        <v>31</v>
      </c>
      <c r="S1505" t="s">
        <v>31</v>
      </c>
      <c r="T1505" t="s">
        <v>31</v>
      </c>
    </row>
    <row r="1506" spans="1:20" hidden="1" x14ac:dyDescent="0.3">
      <c r="A1506" t="s">
        <v>1188</v>
      </c>
      <c r="B1506" t="s">
        <v>51</v>
      </c>
      <c r="C1506" t="s">
        <v>37</v>
      </c>
      <c r="D1506" t="s">
        <v>52</v>
      </c>
      <c r="E1506">
        <v>2016</v>
      </c>
      <c r="F1506" t="s">
        <v>31</v>
      </c>
      <c r="G1506" t="s">
        <v>31</v>
      </c>
      <c r="H1506" t="s">
        <v>2672</v>
      </c>
      <c r="I1506" t="s">
        <v>73</v>
      </c>
      <c r="J1506" t="s">
        <v>4711</v>
      </c>
      <c r="K1506" t="s">
        <v>2649</v>
      </c>
      <c r="L1506" t="s">
        <v>54</v>
      </c>
      <c r="M1506" t="s">
        <v>27</v>
      </c>
      <c r="N1506" t="s">
        <v>27</v>
      </c>
      <c r="O1506" t="s">
        <v>27</v>
      </c>
      <c r="P1506" t="s">
        <v>31</v>
      </c>
      <c r="Q1506" t="s">
        <v>31</v>
      </c>
      <c r="R1506" t="s">
        <v>31</v>
      </c>
      <c r="S1506" t="s">
        <v>31</v>
      </c>
      <c r="T1506" t="s">
        <v>31</v>
      </c>
    </row>
    <row r="1507" spans="1:20" x14ac:dyDescent="0.3">
      <c r="A1507" t="s">
        <v>1189</v>
      </c>
      <c r="B1507" t="s">
        <v>51</v>
      </c>
      <c r="C1507" t="s">
        <v>37</v>
      </c>
      <c r="D1507" t="s">
        <v>52</v>
      </c>
      <c r="E1507">
        <v>2016</v>
      </c>
      <c r="F1507">
        <v>100000</v>
      </c>
      <c r="G1507" t="s">
        <v>4712</v>
      </c>
      <c r="H1507" t="s">
        <v>2656</v>
      </c>
      <c r="I1507" t="s">
        <v>119</v>
      </c>
      <c r="J1507" t="s">
        <v>2607</v>
      </c>
      <c r="K1507" t="s">
        <v>3910</v>
      </c>
      <c r="L1507" t="s">
        <v>31</v>
      </c>
      <c r="M1507" t="s">
        <v>27</v>
      </c>
      <c r="N1507" t="s">
        <v>27</v>
      </c>
      <c r="O1507" t="s">
        <v>33</v>
      </c>
      <c r="P1507" t="s">
        <v>31</v>
      </c>
      <c r="Q1507">
        <v>110514.83</v>
      </c>
      <c r="R1507">
        <v>-17.956</v>
      </c>
      <c r="S1507">
        <v>-56.442</v>
      </c>
      <c r="T1507" t="s">
        <v>31</v>
      </c>
    </row>
    <row r="1508" spans="1:20" hidden="1" x14ac:dyDescent="0.3">
      <c r="A1508" t="s">
        <v>1190</v>
      </c>
      <c r="B1508" t="s">
        <v>51</v>
      </c>
      <c r="C1508" t="s">
        <v>37</v>
      </c>
      <c r="D1508" t="s">
        <v>121</v>
      </c>
      <c r="E1508">
        <v>2016</v>
      </c>
      <c r="F1508">
        <v>2000</v>
      </c>
      <c r="G1508" t="s">
        <v>31</v>
      </c>
      <c r="H1508" t="s">
        <v>2749</v>
      </c>
      <c r="I1508" t="s">
        <v>45</v>
      </c>
      <c r="J1508" t="s">
        <v>4713</v>
      </c>
      <c r="K1508" t="s">
        <v>2649</v>
      </c>
      <c r="L1508" t="s">
        <v>302</v>
      </c>
      <c r="M1508" t="s">
        <v>27</v>
      </c>
      <c r="N1508" t="s">
        <v>27</v>
      </c>
      <c r="O1508" t="s">
        <v>27</v>
      </c>
      <c r="P1508" t="s">
        <v>31</v>
      </c>
      <c r="Q1508" t="s">
        <v>31</v>
      </c>
      <c r="R1508" t="s">
        <v>31</v>
      </c>
      <c r="S1508" t="s">
        <v>31</v>
      </c>
      <c r="T1508" t="s">
        <v>4714</v>
      </c>
    </row>
    <row r="1509" spans="1:20" hidden="1" x14ac:dyDescent="0.3">
      <c r="A1509" t="s">
        <v>1191</v>
      </c>
      <c r="B1509" t="s">
        <v>51</v>
      </c>
      <c r="C1509" t="s">
        <v>37</v>
      </c>
      <c r="D1509" t="s">
        <v>52</v>
      </c>
      <c r="E1509">
        <v>2016</v>
      </c>
      <c r="F1509">
        <v>3000</v>
      </c>
      <c r="G1509" t="s">
        <v>4715</v>
      </c>
      <c r="H1509" t="s">
        <v>2730</v>
      </c>
      <c r="I1509" t="s">
        <v>57</v>
      </c>
      <c r="J1509" t="s">
        <v>4716</v>
      </c>
      <c r="K1509" t="s">
        <v>97</v>
      </c>
      <c r="L1509" t="s">
        <v>1192</v>
      </c>
      <c r="M1509" t="s">
        <v>27</v>
      </c>
      <c r="N1509" t="s">
        <v>27</v>
      </c>
      <c r="O1509" t="s">
        <v>27</v>
      </c>
      <c r="P1509" t="s">
        <v>31</v>
      </c>
      <c r="Q1509">
        <v>126653.11</v>
      </c>
      <c r="R1509">
        <v>-32.435000000000002</v>
      </c>
      <c r="S1509">
        <v>-56.195</v>
      </c>
      <c r="T1509" t="s">
        <v>31</v>
      </c>
    </row>
    <row r="1510" spans="1:20" hidden="1" x14ac:dyDescent="0.3">
      <c r="A1510" t="s">
        <v>1193</v>
      </c>
      <c r="B1510" t="s">
        <v>28</v>
      </c>
      <c r="C1510" t="s">
        <v>29</v>
      </c>
      <c r="D1510" t="s">
        <v>99</v>
      </c>
      <c r="E1510">
        <v>2016</v>
      </c>
      <c r="F1510">
        <v>3900000</v>
      </c>
      <c r="G1510" t="s">
        <v>31</v>
      </c>
      <c r="H1510" t="s">
        <v>2645</v>
      </c>
      <c r="I1510" t="s">
        <v>34</v>
      </c>
      <c r="J1510" t="s">
        <v>4717</v>
      </c>
      <c r="K1510" t="s">
        <v>31</v>
      </c>
      <c r="L1510" t="s">
        <v>65</v>
      </c>
      <c r="M1510" t="s">
        <v>27</v>
      </c>
      <c r="N1510" t="s">
        <v>27</v>
      </c>
      <c r="O1510" t="s">
        <v>27</v>
      </c>
      <c r="P1510" t="s">
        <v>31</v>
      </c>
      <c r="Q1510" t="s">
        <v>31</v>
      </c>
      <c r="R1510" t="s">
        <v>31</v>
      </c>
      <c r="S1510" t="s">
        <v>31</v>
      </c>
      <c r="T1510" t="s">
        <v>31</v>
      </c>
    </row>
    <row r="1511" spans="1:20" hidden="1" x14ac:dyDescent="0.3">
      <c r="A1511" t="s">
        <v>1194</v>
      </c>
      <c r="B1511" t="s">
        <v>28</v>
      </c>
      <c r="C1511" t="s">
        <v>29</v>
      </c>
      <c r="D1511" t="s">
        <v>97</v>
      </c>
      <c r="E1511">
        <v>2016</v>
      </c>
      <c r="F1511">
        <v>1700000</v>
      </c>
      <c r="G1511" t="s">
        <v>4718</v>
      </c>
      <c r="H1511" t="s">
        <v>2645</v>
      </c>
      <c r="I1511" t="s">
        <v>34</v>
      </c>
      <c r="J1511" t="s">
        <v>4719</v>
      </c>
      <c r="K1511" t="s">
        <v>31</v>
      </c>
      <c r="L1511" t="s">
        <v>65</v>
      </c>
      <c r="M1511" t="s">
        <v>27</v>
      </c>
      <c r="N1511" t="s">
        <v>27</v>
      </c>
      <c r="O1511" t="s">
        <v>27</v>
      </c>
      <c r="P1511" t="s">
        <v>31</v>
      </c>
      <c r="Q1511" t="s">
        <v>31</v>
      </c>
      <c r="R1511" t="s">
        <v>31</v>
      </c>
      <c r="S1511" t="s">
        <v>31</v>
      </c>
      <c r="T1511" t="s">
        <v>31</v>
      </c>
    </row>
    <row r="1512" spans="1:20" hidden="1" x14ac:dyDescent="0.3">
      <c r="A1512" t="s">
        <v>1195</v>
      </c>
      <c r="B1512" t="s">
        <v>51</v>
      </c>
      <c r="C1512" t="s">
        <v>37</v>
      </c>
      <c r="D1512" t="s">
        <v>52</v>
      </c>
      <c r="E1512">
        <v>2016</v>
      </c>
      <c r="F1512">
        <v>300000</v>
      </c>
      <c r="G1512" t="s">
        <v>4720</v>
      </c>
      <c r="H1512" t="s">
        <v>2645</v>
      </c>
      <c r="I1512" t="s">
        <v>34</v>
      </c>
      <c r="J1512" t="s">
        <v>4721</v>
      </c>
      <c r="K1512" t="s">
        <v>2664</v>
      </c>
      <c r="L1512" t="s">
        <v>29</v>
      </c>
      <c r="M1512" t="s">
        <v>27</v>
      </c>
      <c r="N1512" t="s">
        <v>27</v>
      </c>
      <c r="O1512" t="s">
        <v>33</v>
      </c>
      <c r="P1512" t="s">
        <v>31</v>
      </c>
      <c r="Q1512" t="s">
        <v>31</v>
      </c>
      <c r="R1512">
        <v>30.856999999999999</v>
      </c>
      <c r="S1512">
        <v>-95.537000000000006</v>
      </c>
      <c r="T1512" t="s">
        <v>31</v>
      </c>
    </row>
    <row r="1513" spans="1:20" hidden="1" x14ac:dyDescent="0.3">
      <c r="A1513" t="s">
        <v>1196</v>
      </c>
      <c r="B1513" t="s">
        <v>51</v>
      </c>
      <c r="C1513" t="s">
        <v>37</v>
      </c>
      <c r="D1513" t="s">
        <v>52</v>
      </c>
      <c r="E1513">
        <v>2016</v>
      </c>
      <c r="F1513" t="s">
        <v>31</v>
      </c>
      <c r="G1513" t="s">
        <v>4722</v>
      </c>
      <c r="H1513" t="s">
        <v>2888</v>
      </c>
      <c r="I1513" t="s">
        <v>75</v>
      </c>
      <c r="J1513" t="s">
        <v>4723</v>
      </c>
      <c r="K1513" t="s">
        <v>31</v>
      </c>
      <c r="L1513" t="s">
        <v>31</v>
      </c>
      <c r="M1513" t="s">
        <v>27</v>
      </c>
      <c r="N1513" t="s">
        <v>27</v>
      </c>
      <c r="O1513" t="s">
        <v>27</v>
      </c>
      <c r="P1513" t="s">
        <v>31</v>
      </c>
      <c r="Q1513" t="s">
        <v>31</v>
      </c>
      <c r="R1513" t="s">
        <v>31</v>
      </c>
      <c r="S1513" t="s">
        <v>31</v>
      </c>
      <c r="T1513" t="s">
        <v>31</v>
      </c>
    </row>
    <row r="1514" spans="1:20" hidden="1" x14ac:dyDescent="0.3">
      <c r="A1514" t="s">
        <v>1197</v>
      </c>
      <c r="B1514" t="s">
        <v>51</v>
      </c>
      <c r="C1514" t="s">
        <v>37</v>
      </c>
      <c r="D1514" t="s">
        <v>52</v>
      </c>
      <c r="E1514">
        <v>2016</v>
      </c>
      <c r="F1514" t="s">
        <v>31</v>
      </c>
      <c r="G1514" t="s">
        <v>31</v>
      </c>
      <c r="H1514" t="s">
        <v>2749</v>
      </c>
      <c r="I1514" t="s">
        <v>45</v>
      </c>
      <c r="J1514" t="s">
        <v>4724</v>
      </c>
      <c r="K1514" t="s">
        <v>2649</v>
      </c>
      <c r="L1514" t="s">
        <v>54</v>
      </c>
      <c r="M1514" t="s">
        <v>27</v>
      </c>
      <c r="N1514" t="s">
        <v>27</v>
      </c>
      <c r="O1514" t="s">
        <v>27</v>
      </c>
      <c r="P1514" t="s">
        <v>31</v>
      </c>
      <c r="Q1514" t="s">
        <v>31</v>
      </c>
      <c r="R1514" t="s">
        <v>31</v>
      </c>
      <c r="S1514" t="s">
        <v>31</v>
      </c>
      <c r="T1514" t="s">
        <v>31</v>
      </c>
    </row>
    <row r="1515" spans="1:20" hidden="1" x14ac:dyDescent="0.3">
      <c r="A1515" t="s">
        <v>1198</v>
      </c>
      <c r="B1515" t="s">
        <v>51</v>
      </c>
      <c r="C1515" t="s">
        <v>37</v>
      </c>
      <c r="D1515" t="s">
        <v>52</v>
      </c>
      <c r="E1515">
        <v>2016</v>
      </c>
      <c r="F1515" t="s">
        <v>31</v>
      </c>
      <c r="G1515" t="s">
        <v>4725</v>
      </c>
      <c r="H1515" t="s">
        <v>2739</v>
      </c>
      <c r="I1515" t="s">
        <v>77</v>
      </c>
      <c r="J1515" t="s">
        <v>4726</v>
      </c>
      <c r="K1515" t="s">
        <v>2664</v>
      </c>
      <c r="L1515" t="s">
        <v>31</v>
      </c>
      <c r="M1515" t="s">
        <v>27</v>
      </c>
      <c r="N1515" t="s">
        <v>27</v>
      </c>
      <c r="O1515" t="s">
        <v>33</v>
      </c>
      <c r="P1515" t="s">
        <v>31</v>
      </c>
      <c r="Q1515">
        <v>176099.51</v>
      </c>
      <c r="R1515">
        <v>58.292000000000002</v>
      </c>
      <c r="S1515">
        <v>-123.249</v>
      </c>
      <c r="T1515" t="s">
        <v>31</v>
      </c>
    </row>
    <row r="1516" spans="1:20" hidden="1" x14ac:dyDescent="0.3">
      <c r="A1516" t="s">
        <v>1199</v>
      </c>
      <c r="B1516" t="s">
        <v>51</v>
      </c>
      <c r="C1516" t="s">
        <v>37</v>
      </c>
      <c r="D1516" t="s">
        <v>121</v>
      </c>
      <c r="E1516">
        <v>2016</v>
      </c>
      <c r="F1516" t="s">
        <v>31</v>
      </c>
      <c r="G1516" t="s">
        <v>4727</v>
      </c>
      <c r="H1516" t="s">
        <v>2749</v>
      </c>
      <c r="I1516" t="s">
        <v>45</v>
      </c>
      <c r="J1516" t="s">
        <v>4728</v>
      </c>
      <c r="K1516" t="s">
        <v>2649</v>
      </c>
      <c r="L1516" t="s">
        <v>54</v>
      </c>
      <c r="M1516" t="s">
        <v>27</v>
      </c>
      <c r="N1516" t="s">
        <v>27</v>
      </c>
      <c r="O1516" t="s">
        <v>27</v>
      </c>
      <c r="P1516" t="s">
        <v>31</v>
      </c>
      <c r="Q1516">
        <v>4534.1000000000004</v>
      </c>
      <c r="R1516">
        <v>19.739000000000001</v>
      </c>
      <c r="S1516">
        <v>-72.587000000000003</v>
      </c>
      <c r="T1516" t="s">
        <v>31</v>
      </c>
    </row>
    <row r="1517" spans="1:20" hidden="1" x14ac:dyDescent="0.3">
      <c r="A1517" t="s">
        <v>1200</v>
      </c>
      <c r="B1517" t="s">
        <v>28</v>
      </c>
      <c r="C1517" t="s">
        <v>29</v>
      </c>
      <c r="D1517" t="s">
        <v>30</v>
      </c>
      <c r="E1517">
        <v>2016</v>
      </c>
      <c r="F1517" t="s">
        <v>31</v>
      </c>
      <c r="G1517" t="s">
        <v>4678</v>
      </c>
      <c r="H1517" t="s">
        <v>2675</v>
      </c>
      <c r="I1517" t="s">
        <v>81</v>
      </c>
      <c r="J1517" t="s">
        <v>4729</v>
      </c>
      <c r="K1517" t="s">
        <v>31</v>
      </c>
      <c r="L1517" t="s">
        <v>31</v>
      </c>
      <c r="M1517" t="s">
        <v>27</v>
      </c>
      <c r="N1517" t="s">
        <v>27</v>
      </c>
      <c r="O1517" t="s">
        <v>27</v>
      </c>
      <c r="P1517" t="s">
        <v>31</v>
      </c>
      <c r="Q1517" t="s">
        <v>31</v>
      </c>
      <c r="R1517" t="s">
        <v>31</v>
      </c>
      <c r="S1517" t="s">
        <v>31</v>
      </c>
      <c r="T1517" t="s">
        <v>31</v>
      </c>
    </row>
    <row r="1518" spans="1:20" hidden="1" x14ac:dyDescent="0.3">
      <c r="A1518" t="s">
        <v>1201</v>
      </c>
      <c r="B1518" t="s">
        <v>28</v>
      </c>
      <c r="C1518" t="s">
        <v>29</v>
      </c>
      <c r="D1518" t="s">
        <v>67</v>
      </c>
      <c r="E1518">
        <v>2016</v>
      </c>
      <c r="F1518">
        <v>100000</v>
      </c>
      <c r="G1518" t="s">
        <v>31</v>
      </c>
      <c r="H1518" t="s">
        <v>2645</v>
      </c>
      <c r="I1518" t="s">
        <v>34</v>
      </c>
      <c r="J1518" t="s">
        <v>4730</v>
      </c>
      <c r="K1518" t="s">
        <v>31</v>
      </c>
      <c r="L1518" t="s">
        <v>68</v>
      </c>
      <c r="M1518" t="s">
        <v>27</v>
      </c>
      <c r="N1518" t="s">
        <v>27</v>
      </c>
      <c r="O1518" t="s">
        <v>27</v>
      </c>
      <c r="P1518" t="s">
        <v>31</v>
      </c>
      <c r="Q1518" t="s">
        <v>31</v>
      </c>
      <c r="R1518" t="s">
        <v>31</v>
      </c>
      <c r="S1518" t="s">
        <v>31</v>
      </c>
      <c r="T1518" t="s">
        <v>31</v>
      </c>
    </row>
    <row r="1519" spans="1:20" hidden="1" x14ac:dyDescent="0.3">
      <c r="A1519" t="s">
        <v>1202</v>
      </c>
      <c r="B1519" t="s">
        <v>51</v>
      </c>
      <c r="C1519" t="s">
        <v>37</v>
      </c>
      <c r="D1519" t="s">
        <v>52</v>
      </c>
      <c r="E1519">
        <v>2016</v>
      </c>
      <c r="F1519" t="s">
        <v>31</v>
      </c>
      <c r="G1519" t="s">
        <v>31</v>
      </c>
      <c r="H1519" t="s">
        <v>2709</v>
      </c>
      <c r="I1519" t="s">
        <v>70</v>
      </c>
      <c r="J1519" t="s">
        <v>4731</v>
      </c>
      <c r="K1519" t="s">
        <v>31</v>
      </c>
      <c r="L1519" t="s">
        <v>31</v>
      </c>
      <c r="M1519" t="s">
        <v>27</v>
      </c>
      <c r="N1519" t="s">
        <v>27</v>
      </c>
      <c r="O1519" t="s">
        <v>27</v>
      </c>
      <c r="P1519" t="s">
        <v>31</v>
      </c>
      <c r="Q1519" t="s">
        <v>31</v>
      </c>
      <c r="R1519" t="s">
        <v>31</v>
      </c>
      <c r="S1519" t="s">
        <v>31</v>
      </c>
      <c r="T1519" t="s">
        <v>31</v>
      </c>
    </row>
    <row r="1520" spans="1:20" hidden="1" x14ac:dyDescent="0.3">
      <c r="A1520" t="s">
        <v>1203</v>
      </c>
      <c r="B1520" t="s">
        <v>51</v>
      </c>
      <c r="C1520" t="s">
        <v>37</v>
      </c>
      <c r="D1520" t="s">
        <v>52</v>
      </c>
      <c r="E1520">
        <v>2016</v>
      </c>
      <c r="F1520">
        <v>2300000</v>
      </c>
      <c r="G1520" t="s">
        <v>4732</v>
      </c>
      <c r="H1520" t="s">
        <v>2645</v>
      </c>
      <c r="I1520" t="s">
        <v>34</v>
      </c>
      <c r="J1520" t="s">
        <v>4733</v>
      </c>
      <c r="K1520" t="s">
        <v>31</v>
      </c>
      <c r="L1520" t="s">
        <v>31</v>
      </c>
      <c r="M1520" t="s">
        <v>27</v>
      </c>
      <c r="N1520" t="s">
        <v>27</v>
      </c>
      <c r="O1520" t="s">
        <v>33</v>
      </c>
      <c r="P1520" t="s">
        <v>31</v>
      </c>
      <c r="Q1520" t="s">
        <v>31</v>
      </c>
      <c r="R1520" t="s">
        <v>31</v>
      </c>
      <c r="S1520" t="s">
        <v>31</v>
      </c>
      <c r="T1520" t="s">
        <v>4734</v>
      </c>
    </row>
    <row r="1521" spans="1:20" hidden="1" x14ac:dyDescent="0.3">
      <c r="A1521" t="s">
        <v>1204</v>
      </c>
      <c r="B1521" t="s">
        <v>39</v>
      </c>
      <c r="C1521" t="s">
        <v>157</v>
      </c>
      <c r="D1521" t="s">
        <v>157</v>
      </c>
      <c r="E1521">
        <v>2016</v>
      </c>
      <c r="F1521">
        <v>84000</v>
      </c>
      <c r="G1521" t="s">
        <v>31</v>
      </c>
      <c r="H1521" t="s">
        <v>2749</v>
      </c>
      <c r="I1521" t="s">
        <v>45</v>
      </c>
      <c r="J1521" t="s">
        <v>4735</v>
      </c>
      <c r="K1521" t="s">
        <v>3206</v>
      </c>
      <c r="L1521" t="s">
        <v>196</v>
      </c>
      <c r="M1521" t="s">
        <v>27</v>
      </c>
      <c r="N1521" t="s">
        <v>27</v>
      </c>
      <c r="O1521" t="s">
        <v>27</v>
      </c>
      <c r="P1521" t="s">
        <v>31</v>
      </c>
      <c r="Q1521" t="s">
        <v>31</v>
      </c>
      <c r="R1521" t="s">
        <v>31</v>
      </c>
      <c r="S1521" t="s">
        <v>31</v>
      </c>
      <c r="T1521" t="s">
        <v>31</v>
      </c>
    </row>
    <row r="1522" spans="1:20" hidden="1" x14ac:dyDescent="0.3">
      <c r="A1522" t="s">
        <v>1205</v>
      </c>
      <c r="B1522" t="s">
        <v>39</v>
      </c>
      <c r="C1522" t="s">
        <v>157</v>
      </c>
      <c r="D1522" t="s">
        <v>157</v>
      </c>
      <c r="E1522">
        <v>2016</v>
      </c>
      <c r="F1522">
        <v>450000</v>
      </c>
      <c r="G1522" t="s">
        <v>31</v>
      </c>
      <c r="H1522" t="s">
        <v>2669</v>
      </c>
      <c r="I1522" t="s">
        <v>111</v>
      </c>
      <c r="J1522" t="s">
        <v>4736</v>
      </c>
      <c r="K1522" t="s">
        <v>31</v>
      </c>
      <c r="L1522" t="s">
        <v>447</v>
      </c>
      <c r="M1522" t="s">
        <v>27</v>
      </c>
      <c r="N1522" t="s">
        <v>27</v>
      </c>
      <c r="O1522" t="s">
        <v>33</v>
      </c>
      <c r="P1522" t="s">
        <v>31</v>
      </c>
      <c r="Q1522" t="s">
        <v>31</v>
      </c>
      <c r="R1522" t="s">
        <v>31</v>
      </c>
      <c r="S1522" t="s">
        <v>31</v>
      </c>
      <c r="T1522" t="s">
        <v>31</v>
      </c>
    </row>
    <row r="1523" spans="1:20" hidden="1" x14ac:dyDescent="0.3">
      <c r="A1523" t="s">
        <v>1790</v>
      </c>
      <c r="B1523" t="s">
        <v>28</v>
      </c>
      <c r="C1523" t="s">
        <v>29</v>
      </c>
      <c r="D1523" t="s">
        <v>67</v>
      </c>
      <c r="E1523">
        <v>2016</v>
      </c>
      <c r="F1523">
        <v>550000</v>
      </c>
      <c r="G1523" t="s">
        <v>31</v>
      </c>
      <c r="H1523" t="s">
        <v>2645</v>
      </c>
      <c r="I1523" t="s">
        <v>34</v>
      </c>
      <c r="J1523" t="s">
        <v>4737</v>
      </c>
      <c r="K1523" t="s">
        <v>31</v>
      </c>
      <c r="L1523" t="s">
        <v>355</v>
      </c>
      <c r="M1523" t="s">
        <v>27</v>
      </c>
      <c r="N1523" t="s">
        <v>27</v>
      </c>
      <c r="O1523" t="s">
        <v>33</v>
      </c>
      <c r="P1523" t="s">
        <v>31</v>
      </c>
      <c r="Q1523" t="s">
        <v>31</v>
      </c>
      <c r="R1523" t="s">
        <v>31</v>
      </c>
      <c r="S1523" t="s">
        <v>31</v>
      </c>
      <c r="T1523" t="s">
        <v>31</v>
      </c>
    </row>
    <row r="1524" spans="1:20" hidden="1" x14ac:dyDescent="0.3">
      <c r="A1524" t="s">
        <v>1791</v>
      </c>
      <c r="B1524" t="s">
        <v>51</v>
      </c>
      <c r="C1524" t="s">
        <v>37</v>
      </c>
      <c r="D1524" t="s">
        <v>121</v>
      </c>
      <c r="E1524">
        <v>2016</v>
      </c>
      <c r="F1524" t="s">
        <v>31</v>
      </c>
      <c r="G1524" t="s">
        <v>31</v>
      </c>
      <c r="H1524" t="s">
        <v>2666</v>
      </c>
      <c r="I1524" t="s">
        <v>109</v>
      </c>
      <c r="J1524" t="s">
        <v>4738</v>
      </c>
      <c r="K1524" t="s">
        <v>2649</v>
      </c>
      <c r="L1524" t="s">
        <v>54</v>
      </c>
      <c r="M1524" t="s">
        <v>27</v>
      </c>
      <c r="N1524" t="s">
        <v>27</v>
      </c>
      <c r="O1524" t="s">
        <v>33</v>
      </c>
      <c r="P1524" t="s">
        <v>31</v>
      </c>
      <c r="Q1524" t="s">
        <v>31</v>
      </c>
      <c r="R1524" t="s">
        <v>31</v>
      </c>
      <c r="S1524" t="s">
        <v>31</v>
      </c>
      <c r="T1524" t="s">
        <v>4739</v>
      </c>
    </row>
    <row r="1525" spans="1:20" hidden="1" x14ac:dyDescent="0.3">
      <c r="A1525" t="s">
        <v>1792</v>
      </c>
      <c r="B1525" t="s">
        <v>28</v>
      </c>
      <c r="C1525" t="s">
        <v>29</v>
      </c>
      <c r="D1525" t="s">
        <v>64</v>
      </c>
      <c r="E1525">
        <v>2016</v>
      </c>
      <c r="F1525">
        <v>1600000</v>
      </c>
      <c r="G1525" t="s">
        <v>31</v>
      </c>
      <c r="H1525" t="s">
        <v>2645</v>
      </c>
      <c r="I1525" t="s">
        <v>34</v>
      </c>
      <c r="J1525" t="s">
        <v>4740</v>
      </c>
      <c r="K1525" t="s">
        <v>31</v>
      </c>
      <c r="L1525" t="s">
        <v>37</v>
      </c>
      <c r="M1525" t="s">
        <v>27</v>
      </c>
      <c r="N1525" t="s">
        <v>27</v>
      </c>
      <c r="O1525" t="s">
        <v>33</v>
      </c>
      <c r="P1525" t="s">
        <v>31</v>
      </c>
      <c r="Q1525" t="s">
        <v>31</v>
      </c>
      <c r="R1525" t="s">
        <v>31</v>
      </c>
      <c r="S1525" t="s">
        <v>31</v>
      </c>
      <c r="T1525" t="s">
        <v>31</v>
      </c>
    </row>
    <row r="1526" spans="1:20" hidden="1" x14ac:dyDescent="0.3">
      <c r="A1526" t="s">
        <v>1793</v>
      </c>
      <c r="B1526" t="s">
        <v>28</v>
      </c>
      <c r="C1526" t="s">
        <v>29</v>
      </c>
      <c r="D1526" t="s">
        <v>64</v>
      </c>
      <c r="E1526">
        <v>2016</v>
      </c>
      <c r="F1526">
        <v>2300000</v>
      </c>
      <c r="G1526" t="s">
        <v>31</v>
      </c>
      <c r="H1526" t="s">
        <v>2645</v>
      </c>
      <c r="I1526" t="s">
        <v>34</v>
      </c>
      <c r="J1526" t="s">
        <v>4741</v>
      </c>
      <c r="K1526" t="s">
        <v>31</v>
      </c>
      <c r="L1526" t="s">
        <v>65</v>
      </c>
      <c r="M1526" t="s">
        <v>27</v>
      </c>
      <c r="N1526" t="s">
        <v>27</v>
      </c>
      <c r="O1526" t="s">
        <v>27</v>
      </c>
      <c r="P1526" t="s">
        <v>31</v>
      </c>
      <c r="Q1526" t="s">
        <v>31</v>
      </c>
      <c r="R1526" t="s">
        <v>31</v>
      </c>
      <c r="S1526" t="s">
        <v>31</v>
      </c>
      <c r="T1526" t="s">
        <v>31</v>
      </c>
    </row>
    <row r="1527" spans="1:20" hidden="1" x14ac:dyDescent="0.3">
      <c r="A1527" t="s">
        <v>1794</v>
      </c>
      <c r="B1527" t="s">
        <v>91</v>
      </c>
      <c r="C1527" t="s">
        <v>92</v>
      </c>
      <c r="D1527" t="s">
        <v>93</v>
      </c>
      <c r="E1527">
        <v>2016</v>
      </c>
      <c r="F1527">
        <v>2000000</v>
      </c>
      <c r="G1527" t="s">
        <v>4742</v>
      </c>
      <c r="H1527" t="s">
        <v>2666</v>
      </c>
      <c r="I1527" t="s">
        <v>109</v>
      </c>
      <c r="J1527" t="s">
        <v>4743</v>
      </c>
      <c r="K1527" t="s">
        <v>31</v>
      </c>
      <c r="L1527" t="s">
        <v>54</v>
      </c>
      <c r="M1527" t="s">
        <v>33</v>
      </c>
      <c r="N1527" t="s">
        <v>27</v>
      </c>
      <c r="O1527" t="s">
        <v>33</v>
      </c>
      <c r="P1527">
        <v>44992</v>
      </c>
      <c r="Q1527">
        <v>7.8</v>
      </c>
      <c r="R1527">
        <v>0.38200000000000001</v>
      </c>
      <c r="S1527">
        <v>-79.92</v>
      </c>
      <c r="T1527" t="s">
        <v>31</v>
      </c>
    </row>
    <row r="1528" spans="1:20" hidden="1" x14ac:dyDescent="0.3">
      <c r="A1528" t="s">
        <v>1795</v>
      </c>
      <c r="B1528" t="s">
        <v>28</v>
      </c>
      <c r="C1528" t="s">
        <v>29</v>
      </c>
      <c r="D1528" t="s">
        <v>65</v>
      </c>
      <c r="E1528">
        <v>2016</v>
      </c>
      <c r="F1528">
        <v>1100000</v>
      </c>
      <c r="G1528" t="s">
        <v>31</v>
      </c>
      <c r="H1528" t="s">
        <v>2645</v>
      </c>
      <c r="I1528" t="s">
        <v>34</v>
      </c>
      <c r="J1528" t="s">
        <v>4744</v>
      </c>
      <c r="K1528" t="s">
        <v>31</v>
      </c>
      <c r="L1528" t="s">
        <v>37</v>
      </c>
      <c r="M1528" t="s">
        <v>27</v>
      </c>
      <c r="N1528" t="s">
        <v>27</v>
      </c>
      <c r="O1528" t="s">
        <v>27</v>
      </c>
      <c r="P1528" t="s">
        <v>31</v>
      </c>
      <c r="Q1528" t="s">
        <v>31</v>
      </c>
      <c r="R1528" t="s">
        <v>31</v>
      </c>
      <c r="S1528" t="s">
        <v>31</v>
      </c>
      <c r="T1528" t="s">
        <v>31</v>
      </c>
    </row>
    <row r="1529" spans="1:20" hidden="1" x14ac:dyDescent="0.3">
      <c r="A1529" t="s">
        <v>1796</v>
      </c>
      <c r="B1529" t="s">
        <v>51</v>
      </c>
      <c r="C1529" t="s">
        <v>37</v>
      </c>
      <c r="D1529" t="s">
        <v>52</v>
      </c>
      <c r="E1529">
        <v>2016</v>
      </c>
      <c r="F1529" t="s">
        <v>31</v>
      </c>
      <c r="G1529" t="s">
        <v>4745</v>
      </c>
      <c r="H1529" t="s">
        <v>2669</v>
      </c>
      <c r="I1529" t="s">
        <v>111</v>
      </c>
      <c r="J1529" t="s">
        <v>4746</v>
      </c>
      <c r="K1529" t="s">
        <v>2649</v>
      </c>
      <c r="L1529" t="s">
        <v>54</v>
      </c>
      <c r="M1529" t="s">
        <v>27</v>
      </c>
      <c r="N1529" t="s">
        <v>27</v>
      </c>
      <c r="O1529" t="s">
        <v>27</v>
      </c>
      <c r="P1529" t="s">
        <v>31</v>
      </c>
      <c r="Q1529">
        <v>190581.43</v>
      </c>
      <c r="R1529">
        <v>-12.843</v>
      </c>
      <c r="S1529">
        <v>-64.930000000000007</v>
      </c>
      <c r="T1529" t="s">
        <v>31</v>
      </c>
    </row>
    <row r="1530" spans="1:20" hidden="1" x14ac:dyDescent="0.3">
      <c r="A1530" t="s">
        <v>1797</v>
      </c>
      <c r="B1530" t="s">
        <v>28</v>
      </c>
      <c r="C1530" t="s">
        <v>29</v>
      </c>
      <c r="D1530" t="s">
        <v>30</v>
      </c>
      <c r="E1530">
        <v>2016</v>
      </c>
      <c r="F1530" t="s">
        <v>31</v>
      </c>
      <c r="G1530" t="s">
        <v>4747</v>
      </c>
      <c r="H1530" t="s">
        <v>2753</v>
      </c>
      <c r="I1530" t="s">
        <v>49</v>
      </c>
      <c r="J1530" t="s">
        <v>4748</v>
      </c>
      <c r="K1530" t="s">
        <v>31</v>
      </c>
      <c r="L1530" t="s">
        <v>31</v>
      </c>
      <c r="M1530" t="s">
        <v>27</v>
      </c>
      <c r="N1530" t="s">
        <v>27</v>
      </c>
      <c r="O1530" t="s">
        <v>27</v>
      </c>
      <c r="P1530" t="s">
        <v>31</v>
      </c>
      <c r="Q1530" t="s">
        <v>31</v>
      </c>
      <c r="R1530" t="s">
        <v>31</v>
      </c>
      <c r="S1530" t="s">
        <v>31</v>
      </c>
      <c r="T1530" t="s">
        <v>31</v>
      </c>
    </row>
    <row r="1531" spans="1:20" hidden="1" x14ac:dyDescent="0.3">
      <c r="A1531" t="s">
        <v>1798</v>
      </c>
      <c r="B1531" t="s">
        <v>28</v>
      </c>
      <c r="C1531" t="s">
        <v>29</v>
      </c>
      <c r="D1531" t="s">
        <v>30</v>
      </c>
      <c r="E1531">
        <v>2016</v>
      </c>
      <c r="F1531" t="s">
        <v>31</v>
      </c>
      <c r="G1531" t="s">
        <v>4747</v>
      </c>
      <c r="H1531" t="s">
        <v>2706</v>
      </c>
      <c r="I1531" t="s">
        <v>32</v>
      </c>
      <c r="J1531" t="s">
        <v>4749</v>
      </c>
      <c r="K1531" t="s">
        <v>31</v>
      </c>
      <c r="L1531" t="s">
        <v>31</v>
      </c>
      <c r="M1531" t="s">
        <v>33</v>
      </c>
      <c r="N1531" t="s">
        <v>27</v>
      </c>
      <c r="O1531" t="s">
        <v>27</v>
      </c>
      <c r="P1531" t="s">
        <v>31</v>
      </c>
      <c r="Q1531">
        <v>110</v>
      </c>
      <c r="R1531" t="s">
        <v>31</v>
      </c>
      <c r="S1531" t="s">
        <v>31</v>
      </c>
      <c r="T1531" t="s">
        <v>31</v>
      </c>
    </row>
    <row r="1532" spans="1:20" hidden="1" x14ac:dyDescent="0.3">
      <c r="A1532" t="s">
        <v>1799</v>
      </c>
      <c r="B1532" t="s">
        <v>28</v>
      </c>
      <c r="C1532" t="s">
        <v>29</v>
      </c>
      <c r="D1532" t="s">
        <v>30</v>
      </c>
      <c r="E1532">
        <v>2016</v>
      </c>
      <c r="F1532" t="s">
        <v>31</v>
      </c>
      <c r="G1532" t="s">
        <v>4747</v>
      </c>
      <c r="H1532" t="s">
        <v>2672</v>
      </c>
      <c r="I1532" t="s">
        <v>73</v>
      </c>
      <c r="J1532" t="s">
        <v>4750</v>
      </c>
      <c r="K1532" t="s">
        <v>31</v>
      </c>
      <c r="L1532" t="s">
        <v>82</v>
      </c>
      <c r="M1532" t="s">
        <v>27</v>
      </c>
      <c r="N1532" t="s">
        <v>27</v>
      </c>
      <c r="O1532" t="s">
        <v>27</v>
      </c>
      <c r="P1532" t="s">
        <v>31</v>
      </c>
      <c r="Q1532" t="s">
        <v>31</v>
      </c>
      <c r="R1532" t="s">
        <v>31</v>
      </c>
      <c r="S1532" t="s">
        <v>31</v>
      </c>
      <c r="T1532" t="s">
        <v>31</v>
      </c>
    </row>
    <row r="1533" spans="1:20" hidden="1" x14ac:dyDescent="0.3">
      <c r="A1533" t="s">
        <v>1800</v>
      </c>
      <c r="B1533" t="s">
        <v>51</v>
      </c>
      <c r="C1533" t="s">
        <v>37</v>
      </c>
      <c r="D1533" t="s">
        <v>52</v>
      </c>
      <c r="E1533">
        <v>2016</v>
      </c>
      <c r="F1533">
        <v>10000000</v>
      </c>
      <c r="G1533" t="s">
        <v>4751</v>
      </c>
      <c r="H1533" t="s">
        <v>2645</v>
      </c>
      <c r="I1533" t="s">
        <v>34</v>
      </c>
      <c r="J1533" t="s">
        <v>4752</v>
      </c>
      <c r="K1533" t="s">
        <v>2649</v>
      </c>
      <c r="L1533" t="s">
        <v>31</v>
      </c>
      <c r="M1533" t="s">
        <v>27</v>
      </c>
      <c r="N1533" t="s">
        <v>27</v>
      </c>
      <c r="O1533" t="s">
        <v>33</v>
      </c>
      <c r="P1533" t="s">
        <v>31</v>
      </c>
      <c r="Q1533">
        <v>19554.02</v>
      </c>
      <c r="R1533">
        <v>29.988</v>
      </c>
      <c r="S1533">
        <v>-91.8</v>
      </c>
      <c r="T1533" t="s">
        <v>31</v>
      </c>
    </row>
    <row r="1534" spans="1:20" hidden="1" x14ac:dyDescent="0.3">
      <c r="A1534" t="s">
        <v>1801</v>
      </c>
      <c r="B1534" t="s">
        <v>91</v>
      </c>
      <c r="C1534" t="s">
        <v>92</v>
      </c>
      <c r="D1534" t="s">
        <v>93</v>
      </c>
      <c r="E1534">
        <v>2016</v>
      </c>
      <c r="F1534" t="s">
        <v>31</v>
      </c>
      <c r="G1534" t="s">
        <v>4753</v>
      </c>
      <c r="H1534" t="s">
        <v>2678</v>
      </c>
      <c r="I1534" t="s">
        <v>53</v>
      </c>
      <c r="J1534" t="s">
        <v>4754</v>
      </c>
      <c r="K1534" t="s">
        <v>31</v>
      </c>
      <c r="L1534" t="s">
        <v>31</v>
      </c>
      <c r="M1534" t="s">
        <v>27</v>
      </c>
      <c r="N1534" t="s">
        <v>27</v>
      </c>
      <c r="O1534" t="s">
        <v>27</v>
      </c>
      <c r="P1534" t="s">
        <v>31</v>
      </c>
      <c r="Q1534">
        <v>5.5</v>
      </c>
      <c r="R1534">
        <v>-15.64</v>
      </c>
      <c r="S1534">
        <v>-71.680000000000007</v>
      </c>
      <c r="T1534" t="s">
        <v>31</v>
      </c>
    </row>
    <row r="1535" spans="1:20" hidden="1" x14ac:dyDescent="0.3">
      <c r="A1535" t="s">
        <v>1802</v>
      </c>
      <c r="B1535" t="s">
        <v>28</v>
      </c>
      <c r="C1535" t="s">
        <v>29</v>
      </c>
      <c r="D1535" t="s">
        <v>30</v>
      </c>
      <c r="E1535">
        <v>2016</v>
      </c>
      <c r="F1535">
        <v>600000</v>
      </c>
      <c r="G1535" t="s">
        <v>31</v>
      </c>
      <c r="H1535" t="s">
        <v>2645</v>
      </c>
      <c r="I1535" t="s">
        <v>34</v>
      </c>
      <c r="J1535" t="s">
        <v>4755</v>
      </c>
      <c r="K1535" t="s">
        <v>31</v>
      </c>
      <c r="L1535" t="s">
        <v>85</v>
      </c>
      <c r="M1535" t="s">
        <v>27</v>
      </c>
      <c r="N1535" t="s">
        <v>27</v>
      </c>
      <c r="O1535" t="s">
        <v>27</v>
      </c>
      <c r="P1535" t="s">
        <v>31</v>
      </c>
      <c r="Q1535">
        <v>85</v>
      </c>
      <c r="R1535" t="s">
        <v>31</v>
      </c>
      <c r="S1535" t="s">
        <v>31</v>
      </c>
      <c r="T1535" t="s">
        <v>31</v>
      </c>
    </row>
    <row r="1536" spans="1:20" hidden="1" x14ac:dyDescent="0.3">
      <c r="A1536" t="s">
        <v>1803</v>
      </c>
      <c r="B1536" t="s">
        <v>51</v>
      </c>
      <c r="C1536" t="s">
        <v>37</v>
      </c>
      <c r="D1536" t="s">
        <v>121</v>
      </c>
      <c r="E1536">
        <v>2016</v>
      </c>
      <c r="F1536">
        <v>550000</v>
      </c>
      <c r="G1536" t="s">
        <v>31</v>
      </c>
      <c r="H1536" t="s">
        <v>2645</v>
      </c>
      <c r="I1536" t="s">
        <v>34</v>
      </c>
      <c r="J1536" t="s">
        <v>4756</v>
      </c>
      <c r="K1536" t="s">
        <v>4757</v>
      </c>
      <c r="L1536" t="s">
        <v>54</v>
      </c>
      <c r="M1536" t="s">
        <v>27</v>
      </c>
      <c r="N1536" t="s">
        <v>27</v>
      </c>
      <c r="O1536" t="s">
        <v>33</v>
      </c>
      <c r="P1536" t="s">
        <v>31</v>
      </c>
      <c r="Q1536" t="s">
        <v>31</v>
      </c>
      <c r="R1536" t="s">
        <v>31</v>
      </c>
      <c r="S1536" t="s">
        <v>31</v>
      </c>
      <c r="T1536" t="s">
        <v>31</v>
      </c>
    </row>
    <row r="1537" spans="1:20" hidden="1" x14ac:dyDescent="0.3">
      <c r="A1537" t="s">
        <v>1804</v>
      </c>
      <c r="B1537" t="s">
        <v>28</v>
      </c>
      <c r="C1537" t="s">
        <v>29</v>
      </c>
      <c r="D1537" t="s">
        <v>30</v>
      </c>
      <c r="E1537">
        <v>2016</v>
      </c>
      <c r="F1537">
        <v>600000</v>
      </c>
      <c r="G1537" t="s">
        <v>4683</v>
      </c>
      <c r="H1537" t="s">
        <v>2804</v>
      </c>
      <c r="I1537" t="s">
        <v>102</v>
      </c>
      <c r="J1537" t="s">
        <v>4758</v>
      </c>
      <c r="K1537" t="s">
        <v>31</v>
      </c>
      <c r="L1537" t="s">
        <v>37</v>
      </c>
      <c r="M1537" t="s">
        <v>33</v>
      </c>
      <c r="N1537" t="s">
        <v>27</v>
      </c>
      <c r="O1537" t="s">
        <v>27</v>
      </c>
      <c r="P1537" t="s">
        <v>31</v>
      </c>
      <c r="Q1537" t="s">
        <v>31</v>
      </c>
      <c r="R1537" t="s">
        <v>31</v>
      </c>
      <c r="S1537" t="s">
        <v>31</v>
      </c>
      <c r="T1537" t="s">
        <v>31</v>
      </c>
    </row>
    <row r="1538" spans="1:20" hidden="1" x14ac:dyDescent="0.3">
      <c r="A1538" t="s">
        <v>1805</v>
      </c>
      <c r="B1538" t="s">
        <v>28</v>
      </c>
      <c r="C1538" t="s">
        <v>29</v>
      </c>
      <c r="D1538" t="s">
        <v>30</v>
      </c>
      <c r="E1538">
        <v>2016</v>
      </c>
      <c r="F1538">
        <v>2000000</v>
      </c>
      <c r="G1538" t="s">
        <v>4683</v>
      </c>
      <c r="H1538" t="s">
        <v>2749</v>
      </c>
      <c r="I1538" t="s">
        <v>45</v>
      </c>
      <c r="J1538" t="s">
        <v>4759</v>
      </c>
      <c r="K1538" t="s">
        <v>31</v>
      </c>
      <c r="L1538" t="s">
        <v>31</v>
      </c>
      <c r="M1538" t="s">
        <v>33</v>
      </c>
      <c r="N1538" t="s">
        <v>27</v>
      </c>
      <c r="O1538" t="s">
        <v>27</v>
      </c>
      <c r="P1538" t="s">
        <v>31</v>
      </c>
      <c r="Q1538" t="s">
        <v>31</v>
      </c>
      <c r="R1538" t="s">
        <v>31</v>
      </c>
      <c r="S1538" t="s">
        <v>31</v>
      </c>
      <c r="T1538" t="s">
        <v>31</v>
      </c>
    </row>
    <row r="1539" spans="1:20" hidden="1" x14ac:dyDescent="0.3">
      <c r="A1539" t="s">
        <v>1806</v>
      </c>
      <c r="B1539" t="s">
        <v>28</v>
      </c>
      <c r="C1539" t="s">
        <v>29</v>
      </c>
      <c r="D1539" t="s">
        <v>30</v>
      </c>
      <c r="E1539">
        <v>2016</v>
      </c>
      <c r="F1539" t="s">
        <v>31</v>
      </c>
      <c r="G1539" t="s">
        <v>4683</v>
      </c>
      <c r="H1539" t="s">
        <v>3184</v>
      </c>
      <c r="I1539" t="s">
        <v>246</v>
      </c>
      <c r="J1539" t="s">
        <v>4760</v>
      </c>
      <c r="K1539" t="s">
        <v>31</v>
      </c>
      <c r="L1539" t="s">
        <v>37</v>
      </c>
      <c r="M1539" t="s">
        <v>27</v>
      </c>
      <c r="N1539" t="s">
        <v>27</v>
      </c>
      <c r="O1539" t="s">
        <v>27</v>
      </c>
      <c r="P1539" t="s">
        <v>31</v>
      </c>
      <c r="Q1539" t="s">
        <v>31</v>
      </c>
      <c r="R1539" t="s">
        <v>31</v>
      </c>
      <c r="S1539" t="s">
        <v>31</v>
      </c>
      <c r="T1539" t="s">
        <v>31</v>
      </c>
    </row>
    <row r="1540" spans="1:20" hidden="1" x14ac:dyDescent="0.3">
      <c r="A1540" t="s">
        <v>1807</v>
      </c>
      <c r="B1540" t="s">
        <v>28</v>
      </c>
      <c r="C1540" t="s">
        <v>29</v>
      </c>
      <c r="D1540" t="s">
        <v>30</v>
      </c>
      <c r="E1540">
        <v>2016</v>
      </c>
      <c r="F1540" t="s">
        <v>31</v>
      </c>
      <c r="G1540" t="s">
        <v>4678</v>
      </c>
      <c r="H1540" t="s">
        <v>2695</v>
      </c>
      <c r="I1540" t="s">
        <v>161</v>
      </c>
      <c r="J1540" t="s">
        <v>4761</v>
      </c>
      <c r="K1540" t="s">
        <v>31</v>
      </c>
      <c r="L1540" t="s">
        <v>37</v>
      </c>
      <c r="M1540" t="s">
        <v>33</v>
      </c>
      <c r="N1540" t="s">
        <v>27</v>
      </c>
      <c r="O1540" t="s">
        <v>33</v>
      </c>
      <c r="P1540" t="s">
        <v>31</v>
      </c>
      <c r="Q1540">
        <v>175</v>
      </c>
      <c r="R1540" t="s">
        <v>31</v>
      </c>
      <c r="S1540" t="s">
        <v>31</v>
      </c>
      <c r="T1540" t="s">
        <v>31</v>
      </c>
    </row>
    <row r="1541" spans="1:20" hidden="1" x14ac:dyDescent="0.3">
      <c r="A1541" t="s">
        <v>1808</v>
      </c>
      <c r="B1541" t="s">
        <v>39</v>
      </c>
      <c r="C1541" t="s">
        <v>40</v>
      </c>
      <c r="D1541" t="s">
        <v>41</v>
      </c>
      <c r="E1541">
        <v>2016</v>
      </c>
      <c r="F1541">
        <v>1200000</v>
      </c>
      <c r="G1541" t="s">
        <v>31</v>
      </c>
      <c r="H1541" t="s">
        <v>2645</v>
      </c>
      <c r="I1541" t="s">
        <v>34</v>
      </c>
      <c r="J1541" t="s">
        <v>4762</v>
      </c>
      <c r="K1541" t="s">
        <v>31</v>
      </c>
      <c r="L1541" t="s">
        <v>31</v>
      </c>
      <c r="M1541" t="s">
        <v>27</v>
      </c>
      <c r="N1541" t="s">
        <v>27</v>
      </c>
      <c r="O1541" t="s">
        <v>27</v>
      </c>
      <c r="P1541" t="s">
        <v>31</v>
      </c>
      <c r="Q1541" t="s">
        <v>31</v>
      </c>
      <c r="R1541" t="s">
        <v>31</v>
      </c>
      <c r="S1541" t="s">
        <v>31</v>
      </c>
      <c r="T1541" t="s">
        <v>31</v>
      </c>
    </row>
    <row r="1542" spans="1:20" hidden="1" x14ac:dyDescent="0.3">
      <c r="A1542" t="s">
        <v>1809</v>
      </c>
      <c r="B1542" t="s">
        <v>28</v>
      </c>
      <c r="C1542" t="s">
        <v>29</v>
      </c>
      <c r="D1542" t="s">
        <v>67</v>
      </c>
      <c r="E1542">
        <v>2016</v>
      </c>
      <c r="F1542">
        <v>275000</v>
      </c>
      <c r="G1542" t="s">
        <v>31</v>
      </c>
      <c r="H1542" t="s">
        <v>2645</v>
      </c>
      <c r="I1542" t="s">
        <v>34</v>
      </c>
      <c r="J1542" t="s">
        <v>4763</v>
      </c>
      <c r="K1542" t="s">
        <v>31</v>
      </c>
      <c r="L1542" t="s">
        <v>65</v>
      </c>
      <c r="M1542" t="s">
        <v>27</v>
      </c>
      <c r="N1542" t="s">
        <v>27</v>
      </c>
      <c r="O1542" t="s">
        <v>27</v>
      </c>
      <c r="P1542" t="s">
        <v>31</v>
      </c>
      <c r="Q1542" t="s">
        <v>31</v>
      </c>
      <c r="R1542" t="s">
        <v>31</v>
      </c>
      <c r="S1542" t="s">
        <v>31</v>
      </c>
      <c r="T1542" t="s">
        <v>31</v>
      </c>
    </row>
    <row r="1543" spans="1:20" hidden="1" x14ac:dyDescent="0.3">
      <c r="A1543" t="s">
        <v>1810</v>
      </c>
      <c r="B1543" t="s">
        <v>91</v>
      </c>
      <c r="C1543" t="s">
        <v>92</v>
      </c>
      <c r="D1543" t="s">
        <v>93</v>
      </c>
      <c r="E1543">
        <v>2016</v>
      </c>
      <c r="F1543">
        <v>20000</v>
      </c>
      <c r="G1543" t="s">
        <v>4764</v>
      </c>
      <c r="H1543" t="s">
        <v>2645</v>
      </c>
      <c r="I1543" t="s">
        <v>34</v>
      </c>
      <c r="J1543" t="s">
        <v>4765</v>
      </c>
      <c r="K1543" t="s">
        <v>31</v>
      </c>
      <c r="L1543" t="s">
        <v>31</v>
      </c>
      <c r="M1543" t="s">
        <v>27</v>
      </c>
      <c r="N1543" t="s">
        <v>27</v>
      </c>
      <c r="O1543" t="s">
        <v>27</v>
      </c>
      <c r="P1543" t="s">
        <v>31</v>
      </c>
      <c r="Q1543">
        <v>5</v>
      </c>
      <c r="R1543">
        <v>35.991</v>
      </c>
      <c r="S1543">
        <v>-96.802999999999997</v>
      </c>
      <c r="T1543" t="s">
        <v>31</v>
      </c>
    </row>
    <row r="1544" spans="1:20" hidden="1" x14ac:dyDescent="0.3">
      <c r="A1544" t="s">
        <v>1811</v>
      </c>
      <c r="B1544" t="s">
        <v>51</v>
      </c>
      <c r="C1544" t="s">
        <v>37</v>
      </c>
      <c r="D1544" t="s">
        <v>52</v>
      </c>
      <c r="E1544">
        <v>2016</v>
      </c>
      <c r="F1544">
        <v>29700</v>
      </c>
      <c r="G1544" t="s">
        <v>4766</v>
      </c>
      <c r="H1544" t="s">
        <v>2903</v>
      </c>
      <c r="I1544" t="s">
        <v>148</v>
      </c>
      <c r="J1544" t="s">
        <v>4767</v>
      </c>
      <c r="K1544" t="s">
        <v>2649</v>
      </c>
      <c r="L1544" t="s">
        <v>54</v>
      </c>
      <c r="M1544" t="s">
        <v>27</v>
      </c>
      <c r="N1544" t="s">
        <v>27</v>
      </c>
      <c r="O1544" t="s">
        <v>27</v>
      </c>
      <c r="P1544" t="s">
        <v>31</v>
      </c>
      <c r="Q1544" t="s">
        <v>31</v>
      </c>
      <c r="R1544" t="s">
        <v>31</v>
      </c>
      <c r="S1544" t="s">
        <v>31</v>
      </c>
      <c r="T1544" t="s">
        <v>31</v>
      </c>
    </row>
    <row r="1545" spans="1:20" hidden="1" x14ac:dyDescent="0.3">
      <c r="A1545" t="s">
        <v>1812</v>
      </c>
      <c r="B1545" t="s">
        <v>51</v>
      </c>
      <c r="C1545" t="s">
        <v>37</v>
      </c>
      <c r="D1545" t="s">
        <v>52</v>
      </c>
      <c r="E1545">
        <v>2016</v>
      </c>
      <c r="F1545" t="s">
        <v>31</v>
      </c>
      <c r="G1545" t="s">
        <v>31</v>
      </c>
      <c r="H1545" t="s">
        <v>2647</v>
      </c>
      <c r="I1545" t="s">
        <v>47</v>
      </c>
      <c r="J1545" t="s">
        <v>4768</v>
      </c>
      <c r="K1545" t="s">
        <v>31</v>
      </c>
      <c r="L1545" t="s">
        <v>54</v>
      </c>
      <c r="M1545" t="s">
        <v>27</v>
      </c>
      <c r="N1545" t="s">
        <v>27</v>
      </c>
      <c r="O1545" t="s">
        <v>27</v>
      </c>
      <c r="P1545" t="s">
        <v>31</v>
      </c>
      <c r="Q1545" t="s">
        <v>31</v>
      </c>
      <c r="R1545" t="s">
        <v>31</v>
      </c>
      <c r="S1545" t="s">
        <v>31</v>
      </c>
      <c r="T1545" t="s">
        <v>4769</v>
      </c>
    </row>
    <row r="1546" spans="1:20" hidden="1" x14ac:dyDescent="0.3">
      <c r="A1546" t="s">
        <v>1813</v>
      </c>
      <c r="B1546" t="s">
        <v>51</v>
      </c>
      <c r="C1546" t="s">
        <v>37</v>
      </c>
      <c r="D1546" t="s">
        <v>56</v>
      </c>
      <c r="E1546">
        <v>2016</v>
      </c>
      <c r="F1546" t="s">
        <v>31</v>
      </c>
      <c r="G1546" t="s">
        <v>31</v>
      </c>
      <c r="H1546" t="s">
        <v>2672</v>
      </c>
      <c r="I1546" t="s">
        <v>73</v>
      </c>
      <c r="J1546" t="s">
        <v>4770</v>
      </c>
      <c r="K1546" t="s">
        <v>3054</v>
      </c>
      <c r="L1546" t="s">
        <v>31</v>
      </c>
      <c r="M1546" t="s">
        <v>27</v>
      </c>
      <c r="N1546" t="s">
        <v>27</v>
      </c>
      <c r="O1546" t="s">
        <v>27</v>
      </c>
      <c r="P1546" t="s">
        <v>31</v>
      </c>
      <c r="Q1546" t="s">
        <v>31</v>
      </c>
      <c r="R1546" t="s">
        <v>31</v>
      </c>
      <c r="S1546" t="s">
        <v>31</v>
      </c>
      <c r="T1546" t="s">
        <v>31</v>
      </c>
    </row>
    <row r="1547" spans="1:20" hidden="1" x14ac:dyDescent="0.3">
      <c r="A1547" t="s">
        <v>1814</v>
      </c>
      <c r="B1547" t="s">
        <v>28</v>
      </c>
      <c r="C1547" t="s">
        <v>29</v>
      </c>
      <c r="D1547" t="s">
        <v>99</v>
      </c>
      <c r="E1547">
        <v>2016</v>
      </c>
      <c r="F1547" t="s">
        <v>31</v>
      </c>
      <c r="G1547" t="s">
        <v>31</v>
      </c>
      <c r="H1547" t="s">
        <v>2645</v>
      </c>
      <c r="I1547" t="s">
        <v>34</v>
      </c>
      <c r="J1547" t="s">
        <v>4771</v>
      </c>
      <c r="K1547" t="s">
        <v>31</v>
      </c>
      <c r="L1547" t="s">
        <v>31</v>
      </c>
      <c r="M1547" t="s">
        <v>27</v>
      </c>
      <c r="N1547" t="s">
        <v>27</v>
      </c>
      <c r="O1547" t="s">
        <v>27</v>
      </c>
      <c r="P1547" t="s">
        <v>31</v>
      </c>
      <c r="Q1547" t="s">
        <v>31</v>
      </c>
      <c r="R1547" t="s">
        <v>31</v>
      </c>
      <c r="S1547" t="s">
        <v>31</v>
      </c>
      <c r="T1547" t="s">
        <v>31</v>
      </c>
    </row>
    <row r="1548" spans="1:20" hidden="1" x14ac:dyDescent="0.3">
      <c r="A1548" t="s">
        <v>1815</v>
      </c>
      <c r="B1548" t="s">
        <v>39</v>
      </c>
      <c r="C1548" t="s">
        <v>157</v>
      </c>
      <c r="D1548" t="s">
        <v>157</v>
      </c>
      <c r="E1548">
        <v>2016</v>
      </c>
      <c r="F1548" t="s">
        <v>31</v>
      </c>
      <c r="G1548" t="s">
        <v>31</v>
      </c>
      <c r="H1548" t="s">
        <v>2769</v>
      </c>
      <c r="I1548" t="s">
        <v>117</v>
      </c>
      <c r="J1548" t="s">
        <v>4772</v>
      </c>
      <c r="K1548" t="s">
        <v>31</v>
      </c>
      <c r="L1548" t="s">
        <v>31</v>
      </c>
      <c r="M1548" t="s">
        <v>27</v>
      </c>
      <c r="N1548" t="s">
        <v>27</v>
      </c>
      <c r="O1548" t="s">
        <v>27</v>
      </c>
      <c r="P1548" t="s">
        <v>31</v>
      </c>
      <c r="Q1548" t="s">
        <v>31</v>
      </c>
      <c r="R1548" t="s">
        <v>31</v>
      </c>
      <c r="S1548" t="s">
        <v>31</v>
      </c>
      <c r="T1548" t="s">
        <v>31</v>
      </c>
    </row>
    <row r="1549" spans="1:20" hidden="1" x14ac:dyDescent="0.3">
      <c r="A1549" t="s">
        <v>2469</v>
      </c>
      <c r="B1549" t="s">
        <v>51</v>
      </c>
      <c r="C1549" t="s">
        <v>37</v>
      </c>
      <c r="D1549" t="s">
        <v>52</v>
      </c>
      <c r="E1549">
        <v>2016</v>
      </c>
      <c r="F1549" t="s">
        <v>31</v>
      </c>
      <c r="G1549" t="s">
        <v>31</v>
      </c>
      <c r="H1549" t="s">
        <v>2749</v>
      </c>
      <c r="I1549" t="s">
        <v>45</v>
      </c>
      <c r="J1549" t="s">
        <v>4773</v>
      </c>
      <c r="K1549" t="s">
        <v>2649</v>
      </c>
      <c r="L1549" t="s">
        <v>54</v>
      </c>
      <c r="M1549" t="s">
        <v>27</v>
      </c>
      <c r="N1549" t="s">
        <v>27</v>
      </c>
      <c r="O1549" t="s">
        <v>27</v>
      </c>
      <c r="P1549" t="s">
        <v>31</v>
      </c>
      <c r="Q1549" t="s">
        <v>31</v>
      </c>
      <c r="R1549" t="s">
        <v>31</v>
      </c>
      <c r="S1549" t="s">
        <v>31</v>
      </c>
      <c r="T1549" t="s">
        <v>31</v>
      </c>
    </row>
    <row r="1550" spans="1:20" hidden="1" x14ac:dyDescent="0.3">
      <c r="A1550" t="s">
        <v>2478</v>
      </c>
      <c r="B1550" t="s">
        <v>51</v>
      </c>
      <c r="C1550" t="s">
        <v>37</v>
      </c>
      <c r="D1550" t="s">
        <v>52</v>
      </c>
      <c r="E1550">
        <v>2016</v>
      </c>
      <c r="F1550">
        <v>2000</v>
      </c>
      <c r="G1550" t="s">
        <v>31</v>
      </c>
      <c r="H1550" t="s">
        <v>2678</v>
      </c>
      <c r="I1550" t="s">
        <v>53</v>
      </c>
      <c r="J1550" t="s">
        <v>4774</v>
      </c>
      <c r="K1550" t="s">
        <v>31</v>
      </c>
      <c r="L1550" t="s">
        <v>54</v>
      </c>
      <c r="M1550" t="s">
        <v>27</v>
      </c>
      <c r="N1550" t="s">
        <v>27</v>
      </c>
      <c r="O1550" t="s">
        <v>27</v>
      </c>
      <c r="P1550" t="s">
        <v>31</v>
      </c>
      <c r="Q1550" t="s">
        <v>31</v>
      </c>
      <c r="R1550" t="s">
        <v>31</v>
      </c>
      <c r="S1550" t="s">
        <v>31</v>
      </c>
      <c r="T1550" t="s">
        <v>4775</v>
      </c>
    </row>
    <row r="1551" spans="1:20" hidden="1" x14ac:dyDescent="0.3">
      <c r="A1551" t="s">
        <v>2479</v>
      </c>
      <c r="B1551" t="s">
        <v>51</v>
      </c>
      <c r="C1551" t="s">
        <v>37</v>
      </c>
      <c r="D1551" t="s">
        <v>56</v>
      </c>
      <c r="E1551">
        <v>2016</v>
      </c>
      <c r="F1551">
        <v>2000000</v>
      </c>
      <c r="G1551" t="s">
        <v>4776</v>
      </c>
      <c r="H1551" t="s">
        <v>2645</v>
      </c>
      <c r="I1551" t="s">
        <v>34</v>
      </c>
      <c r="J1551" t="s">
        <v>4777</v>
      </c>
      <c r="K1551" t="s">
        <v>4778</v>
      </c>
      <c r="L1551" t="s">
        <v>29</v>
      </c>
      <c r="M1551" t="s">
        <v>27</v>
      </c>
      <c r="N1551" t="s">
        <v>27</v>
      </c>
      <c r="O1551" t="s">
        <v>33</v>
      </c>
      <c r="P1551" t="s">
        <v>31</v>
      </c>
      <c r="Q1551" t="s">
        <v>31</v>
      </c>
      <c r="R1551" t="s">
        <v>31</v>
      </c>
      <c r="S1551" t="s">
        <v>31</v>
      </c>
      <c r="T1551" t="s">
        <v>31</v>
      </c>
    </row>
    <row r="1552" spans="1:20" hidden="1" x14ac:dyDescent="0.3">
      <c r="A1552" t="s">
        <v>2480</v>
      </c>
      <c r="B1552" t="s">
        <v>39</v>
      </c>
      <c r="C1552" t="s">
        <v>40</v>
      </c>
      <c r="D1552" t="s">
        <v>41</v>
      </c>
      <c r="E1552">
        <v>2016</v>
      </c>
      <c r="F1552">
        <v>4000000</v>
      </c>
      <c r="G1552" t="s">
        <v>4779</v>
      </c>
      <c r="H1552" t="s">
        <v>2739</v>
      </c>
      <c r="I1552" t="s">
        <v>77</v>
      </c>
      <c r="J1552" t="s">
        <v>4780</v>
      </c>
      <c r="K1552" t="s">
        <v>31</v>
      </c>
      <c r="L1552" t="s">
        <v>2481</v>
      </c>
      <c r="M1552" t="s">
        <v>33</v>
      </c>
      <c r="N1552" t="s">
        <v>27</v>
      </c>
      <c r="O1552" t="s">
        <v>27</v>
      </c>
      <c r="P1552" t="s">
        <v>31</v>
      </c>
      <c r="Q1552">
        <v>6000</v>
      </c>
      <c r="R1552" t="s">
        <v>31</v>
      </c>
      <c r="S1552" t="s">
        <v>31</v>
      </c>
      <c r="T1552" t="s">
        <v>31</v>
      </c>
    </row>
    <row r="1553" spans="1:20" hidden="1" x14ac:dyDescent="0.3">
      <c r="A1553" t="s">
        <v>2482</v>
      </c>
      <c r="B1553" t="s">
        <v>28</v>
      </c>
      <c r="C1553" t="s">
        <v>29</v>
      </c>
      <c r="D1553" t="s">
        <v>99</v>
      </c>
      <c r="E1553">
        <v>2016</v>
      </c>
      <c r="F1553">
        <v>2400000</v>
      </c>
      <c r="G1553" t="s">
        <v>31</v>
      </c>
      <c r="H1553" t="s">
        <v>2645</v>
      </c>
      <c r="I1553" t="s">
        <v>34</v>
      </c>
      <c r="J1553" t="s">
        <v>4781</v>
      </c>
      <c r="K1553" t="s">
        <v>31</v>
      </c>
      <c r="L1553" t="s">
        <v>100</v>
      </c>
      <c r="M1553" t="s">
        <v>27</v>
      </c>
      <c r="N1553" t="s">
        <v>27</v>
      </c>
      <c r="O1553" t="s">
        <v>27</v>
      </c>
      <c r="P1553" t="s">
        <v>31</v>
      </c>
      <c r="Q1553" t="s">
        <v>31</v>
      </c>
      <c r="R1553" t="s">
        <v>31</v>
      </c>
      <c r="S1553" t="s">
        <v>31</v>
      </c>
      <c r="T1553" t="s">
        <v>31</v>
      </c>
    </row>
    <row r="1554" spans="1:20" hidden="1" x14ac:dyDescent="0.3">
      <c r="A1554" t="s">
        <v>2483</v>
      </c>
      <c r="B1554" t="s">
        <v>91</v>
      </c>
      <c r="C1554" t="s">
        <v>92</v>
      </c>
      <c r="D1554" t="s">
        <v>93</v>
      </c>
      <c r="E1554">
        <v>2016</v>
      </c>
      <c r="F1554" t="s">
        <v>31</v>
      </c>
      <c r="G1554" t="s">
        <v>4782</v>
      </c>
      <c r="H1554" t="s">
        <v>2666</v>
      </c>
      <c r="I1554" t="s">
        <v>109</v>
      </c>
      <c r="J1554" t="s">
        <v>4783</v>
      </c>
      <c r="K1554" t="s">
        <v>31</v>
      </c>
      <c r="L1554" t="s">
        <v>31</v>
      </c>
      <c r="M1554" t="s">
        <v>27</v>
      </c>
      <c r="N1554" t="s">
        <v>27</v>
      </c>
      <c r="O1554" t="s">
        <v>27</v>
      </c>
      <c r="P1554" t="s">
        <v>31</v>
      </c>
      <c r="Q1554">
        <v>6.8</v>
      </c>
      <c r="R1554">
        <v>0.495</v>
      </c>
      <c r="S1554">
        <v>-79.62</v>
      </c>
      <c r="T1554" t="s">
        <v>31</v>
      </c>
    </row>
    <row r="1555" spans="1:20" hidden="1" x14ac:dyDescent="0.3">
      <c r="A1555" t="s">
        <v>2484</v>
      </c>
      <c r="B1555" t="s">
        <v>51</v>
      </c>
      <c r="C1555" t="s">
        <v>37</v>
      </c>
      <c r="D1555" t="s">
        <v>52</v>
      </c>
      <c r="E1555">
        <v>2016</v>
      </c>
      <c r="F1555" t="s">
        <v>31</v>
      </c>
      <c r="G1555" t="s">
        <v>4722</v>
      </c>
      <c r="H1555" t="s">
        <v>2749</v>
      </c>
      <c r="I1555" t="s">
        <v>45</v>
      </c>
      <c r="J1555" t="s">
        <v>4784</v>
      </c>
      <c r="K1555" t="s">
        <v>31</v>
      </c>
      <c r="L1555" t="s">
        <v>31</v>
      </c>
      <c r="M1555" t="s">
        <v>27</v>
      </c>
      <c r="N1555" t="s">
        <v>27</v>
      </c>
      <c r="O1555" t="s">
        <v>27</v>
      </c>
      <c r="P1555" t="s">
        <v>31</v>
      </c>
      <c r="Q1555" t="s">
        <v>31</v>
      </c>
      <c r="R1555" t="s">
        <v>31</v>
      </c>
      <c r="S1555" t="s">
        <v>31</v>
      </c>
      <c r="T1555" t="s">
        <v>31</v>
      </c>
    </row>
    <row r="1556" spans="1:20" hidden="1" x14ac:dyDescent="0.3">
      <c r="A1556" t="s">
        <v>2485</v>
      </c>
      <c r="B1556" t="s">
        <v>28</v>
      </c>
      <c r="C1556" t="s">
        <v>29</v>
      </c>
      <c r="D1556" t="s">
        <v>189</v>
      </c>
      <c r="E1556">
        <v>2016</v>
      </c>
      <c r="F1556">
        <v>1000000</v>
      </c>
      <c r="G1556" t="s">
        <v>4785</v>
      </c>
      <c r="H1556" t="s">
        <v>2645</v>
      </c>
      <c r="I1556" t="s">
        <v>34</v>
      </c>
      <c r="J1556" t="s">
        <v>4786</v>
      </c>
      <c r="K1556" t="s">
        <v>2725</v>
      </c>
      <c r="L1556" t="s">
        <v>82</v>
      </c>
      <c r="M1556" t="s">
        <v>27</v>
      </c>
      <c r="N1556" t="s">
        <v>27</v>
      </c>
      <c r="O1556" t="s">
        <v>33</v>
      </c>
      <c r="P1556" t="s">
        <v>31</v>
      </c>
      <c r="Q1556" t="s">
        <v>31</v>
      </c>
      <c r="R1556">
        <v>38.945</v>
      </c>
      <c r="S1556">
        <v>-80.555000000000007</v>
      </c>
      <c r="T1556" t="s">
        <v>31</v>
      </c>
    </row>
    <row r="1557" spans="1:20" hidden="1" x14ac:dyDescent="0.3">
      <c r="A1557" t="s">
        <v>2487</v>
      </c>
      <c r="B1557" t="s">
        <v>28</v>
      </c>
      <c r="C1557" t="s">
        <v>29</v>
      </c>
      <c r="D1557" t="s">
        <v>30</v>
      </c>
      <c r="E1557">
        <v>2016</v>
      </c>
      <c r="F1557" t="s">
        <v>31</v>
      </c>
      <c r="G1557" t="s">
        <v>4747</v>
      </c>
      <c r="H1557" t="s">
        <v>2719</v>
      </c>
      <c r="I1557" t="s">
        <v>90</v>
      </c>
      <c r="J1557" t="s">
        <v>4787</v>
      </c>
      <c r="K1557" t="s">
        <v>31</v>
      </c>
      <c r="L1557" t="s">
        <v>31</v>
      </c>
      <c r="M1557" t="s">
        <v>27</v>
      </c>
      <c r="N1557" t="s">
        <v>27</v>
      </c>
      <c r="O1557" t="s">
        <v>27</v>
      </c>
      <c r="P1557" t="s">
        <v>31</v>
      </c>
      <c r="Q1557" t="s">
        <v>31</v>
      </c>
      <c r="R1557" t="s">
        <v>31</v>
      </c>
      <c r="S1557" t="s">
        <v>31</v>
      </c>
      <c r="T1557" t="s">
        <v>31</v>
      </c>
    </row>
    <row r="1558" spans="1:20" hidden="1" x14ac:dyDescent="0.3">
      <c r="A1558" t="s">
        <v>2488</v>
      </c>
      <c r="B1558" t="s">
        <v>39</v>
      </c>
      <c r="C1558" t="s">
        <v>40</v>
      </c>
      <c r="D1558" t="s">
        <v>41</v>
      </c>
      <c r="E1558">
        <v>2016</v>
      </c>
      <c r="F1558">
        <v>100000</v>
      </c>
      <c r="G1558" t="s">
        <v>31</v>
      </c>
      <c r="H1558" t="s">
        <v>2645</v>
      </c>
      <c r="I1558" t="s">
        <v>34</v>
      </c>
      <c r="J1558" t="s">
        <v>4788</v>
      </c>
      <c r="K1558" t="s">
        <v>31</v>
      </c>
      <c r="L1558" t="s">
        <v>31</v>
      </c>
      <c r="M1558" t="s">
        <v>27</v>
      </c>
      <c r="N1558" t="s">
        <v>27</v>
      </c>
      <c r="O1558" t="s">
        <v>27</v>
      </c>
      <c r="P1558" t="s">
        <v>31</v>
      </c>
      <c r="Q1558" t="s">
        <v>31</v>
      </c>
      <c r="R1558" t="s">
        <v>31</v>
      </c>
      <c r="S1558" t="s">
        <v>31</v>
      </c>
      <c r="T1558" t="s">
        <v>31</v>
      </c>
    </row>
    <row r="1559" spans="1:20" hidden="1" x14ac:dyDescent="0.3">
      <c r="A1559" t="s">
        <v>2489</v>
      </c>
      <c r="B1559" t="s">
        <v>51</v>
      </c>
      <c r="C1559" t="s">
        <v>2655</v>
      </c>
      <c r="D1559" t="s">
        <v>134</v>
      </c>
      <c r="E1559">
        <v>2016</v>
      </c>
      <c r="F1559" t="s">
        <v>31</v>
      </c>
      <c r="G1559" t="s">
        <v>31</v>
      </c>
      <c r="H1559" t="s">
        <v>2719</v>
      </c>
      <c r="I1559" t="s">
        <v>90</v>
      </c>
      <c r="J1559" t="s">
        <v>4789</v>
      </c>
      <c r="K1559" t="s">
        <v>2649</v>
      </c>
      <c r="L1559" t="s">
        <v>31</v>
      </c>
      <c r="M1559" t="s">
        <v>27</v>
      </c>
      <c r="N1559" t="s">
        <v>27</v>
      </c>
      <c r="O1559" t="s">
        <v>27</v>
      </c>
      <c r="P1559" t="s">
        <v>31</v>
      </c>
      <c r="Q1559" t="s">
        <v>31</v>
      </c>
      <c r="R1559" t="s">
        <v>31</v>
      </c>
      <c r="S1559" t="s">
        <v>31</v>
      </c>
      <c r="T1559" t="s">
        <v>31</v>
      </c>
    </row>
    <row r="1560" spans="1:20" hidden="1" x14ac:dyDescent="0.3">
      <c r="A1560" t="s">
        <v>2490</v>
      </c>
      <c r="B1560" t="s">
        <v>28</v>
      </c>
      <c r="C1560" t="s">
        <v>29</v>
      </c>
      <c r="D1560" t="s">
        <v>30</v>
      </c>
      <c r="E1560">
        <v>2016</v>
      </c>
      <c r="F1560">
        <v>50000</v>
      </c>
      <c r="G1560" t="s">
        <v>31</v>
      </c>
      <c r="H1560" t="s">
        <v>2672</v>
      </c>
      <c r="I1560" t="s">
        <v>73</v>
      </c>
      <c r="J1560" t="s">
        <v>4790</v>
      </c>
      <c r="K1560" t="s">
        <v>31</v>
      </c>
      <c r="L1560" t="s">
        <v>37</v>
      </c>
      <c r="M1560" t="s">
        <v>27</v>
      </c>
      <c r="N1560" t="s">
        <v>27</v>
      </c>
      <c r="O1560" t="s">
        <v>27</v>
      </c>
      <c r="P1560" t="s">
        <v>31</v>
      </c>
      <c r="Q1560" t="s">
        <v>31</v>
      </c>
      <c r="R1560" t="s">
        <v>31</v>
      </c>
      <c r="S1560" t="s">
        <v>31</v>
      </c>
      <c r="T1560" t="s">
        <v>31</v>
      </c>
    </row>
    <row r="1561" spans="1:20" hidden="1" x14ac:dyDescent="0.3">
      <c r="A1561" t="s">
        <v>2491</v>
      </c>
      <c r="B1561" t="s">
        <v>28</v>
      </c>
      <c r="C1561" t="s">
        <v>29</v>
      </c>
      <c r="D1561" t="s">
        <v>30</v>
      </c>
      <c r="E1561">
        <v>2016</v>
      </c>
      <c r="F1561" t="s">
        <v>31</v>
      </c>
      <c r="G1561" t="s">
        <v>4683</v>
      </c>
      <c r="H1561" t="s">
        <v>2888</v>
      </c>
      <c r="I1561" t="s">
        <v>75</v>
      </c>
      <c r="J1561" t="s">
        <v>4791</v>
      </c>
      <c r="K1561" t="s">
        <v>31</v>
      </c>
      <c r="L1561" t="s">
        <v>31</v>
      </c>
      <c r="M1561" t="s">
        <v>27</v>
      </c>
      <c r="N1561" t="s">
        <v>27</v>
      </c>
      <c r="O1561" t="s">
        <v>27</v>
      </c>
      <c r="P1561" t="s">
        <v>31</v>
      </c>
      <c r="Q1561" t="s">
        <v>31</v>
      </c>
      <c r="R1561" t="s">
        <v>31</v>
      </c>
      <c r="S1561" t="s">
        <v>31</v>
      </c>
      <c r="T1561" t="s">
        <v>4792</v>
      </c>
    </row>
    <row r="1562" spans="1:20" hidden="1" x14ac:dyDescent="0.3">
      <c r="A1562" t="s">
        <v>2492</v>
      </c>
      <c r="B1562" t="s">
        <v>51</v>
      </c>
      <c r="C1562" t="s">
        <v>37</v>
      </c>
      <c r="D1562" t="s">
        <v>52</v>
      </c>
      <c r="E1562">
        <v>2016</v>
      </c>
      <c r="F1562" t="s">
        <v>31</v>
      </c>
      <c r="G1562" t="s">
        <v>31</v>
      </c>
      <c r="H1562" t="s">
        <v>2753</v>
      </c>
      <c r="I1562" t="s">
        <v>49</v>
      </c>
      <c r="J1562" t="s">
        <v>4793</v>
      </c>
      <c r="K1562" t="s">
        <v>2649</v>
      </c>
      <c r="L1562" t="s">
        <v>54</v>
      </c>
      <c r="M1562" t="s">
        <v>27</v>
      </c>
      <c r="N1562" t="s">
        <v>27</v>
      </c>
      <c r="O1562" t="s">
        <v>27</v>
      </c>
      <c r="P1562" t="s">
        <v>31</v>
      </c>
      <c r="Q1562" t="s">
        <v>31</v>
      </c>
      <c r="R1562" t="s">
        <v>31</v>
      </c>
      <c r="S1562" t="s">
        <v>31</v>
      </c>
      <c r="T1562" t="s">
        <v>31</v>
      </c>
    </row>
    <row r="1563" spans="1:20" hidden="1" x14ac:dyDescent="0.3">
      <c r="A1563" t="s">
        <v>2493</v>
      </c>
      <c r="B1563" t="s">
        <v>51</v>
      </c>
      <c r="C1563" t="s">
        <v>37</v>
      </c>
      <c r="D1563" t="s">
        <v>121</v>
      </c>
      <c r="E1563">
        <v>2016</v>
      </c>
      <c r="F1563" t="s">
        <v>31</v>
      </c>
      <c r="G1563" t="s">
        <v>4794</v>
      </c>
      <c r="H1563" t="s">
        <v>2888</v>
      </c>
      <c r="I1563" t="s">
        <v>75</v>
      </c>
      <c r="J1563" t="s">
        <v>4795</v>
      </c>
      <c r="K1563" t="s">
        <v>2649</v>
      </c>
      <c r="L1563" t="s">
        <v>54</v>
      </c>
      <c r="M1563" t="s">
        <v>27</v>
      </c>
      <c r="N1563" t="s">
        <v>27</v>
      </c>
      <c r="O1563" t="s">
        <v>33</v>
      </c>
      <c r="P1563" t="s">
        <v>31</v>
      </c>
      <c r="Q1563" t="s">
        <v>31</v>
      </c>
      <c r="R1563">
        <v>18.920000000000002</v>
      </c>
      <c r="S1563">
        <v>-70.125</v>
      </c>
      <c r="T1563" t="s">
        <v>4796</v>
      </c>
    </row>
    <row r="1564" spans="1:20" hidden="1" x14ac:dyDescent="0.3">
      <c r="A1564" t="s">
        <v>2494</v>
      </c>
      <c r="B1564" t="s">
        <v>43</v>
      </c>
      <c r="C1564" t="s">
        <v>2665</v>
      </c>
      <c r="D1564" t="s">
        <v>114</v>
      </c>
      <c r="E1564">
        <v>2016</v>
      </c>
      <c r="F1564" t="s">
        <v>31</v>
      </c>
      <c r="G1564" t="s">
        <v>31</v>
      </c>
      <c r="H1564" t="s">
        <v>2647</v>
      </c>
      <c r="I1564" t="s">
        <v>47</v>
      </c>
      <c r="J1564" t="s">
        <v>4797</v>
      </c>
      <c r="K1564" t="s">
        <v>31</v>
      </c>
      <c r="L1564" t="s">
        <v>31</v>
      </c>
      <c r="M1564" t="s">
        <v>27</v>
      </c>
      <c r="N1564" t="s">
        <v>27</v>
      </c>
      <c r="O1564" t="s">
        <v>27</v>
      </c>
      <c r="P1564" t="s">
        <v>31</v>
      </c>
      <c r="Q1564" t="s">
        <v>31</v>
      </c>
      <c r="R1564" t="s">
        <v>31</v>
      </c>
      <c r="S1564" t="s">
        <v>31</v>
      </c>
      <c r="T1564" t="s">
        <v>31</v>
      </c>
    </row>
    <row r="1565" spans="1:20" hidden="1" x14ac:dyDescent="0.3">
      <c r="A1565" t="s">
        <v>2495</v>
      </c>
      <c r="B1565" t="s">
        <v>43</v>
      </c>
      <c r="C1565" t="s">
        <v>2665</v>
      </c>
      <c r="D1565" t="s">
        <v>114</v>
      </c>
      <c r="E1565">
        <v>2016</v>
      </c>
      <c r="F1565" t="s">
        <v>31</v>
      </c>
      <c r="G1565" t="s">
        <v>31</v>
      </c>
      <c r="H1565" t="s">
        <v>2678</v>
      </c>
      <c r="I1565" t="s">
        <v>53</v>
      </c>
      <c r="J1565" t="s">
        <v>4798</v>
      </c>
      <c r="K1565" t="s">
        <v>31</v>
      </c>
      <c r="L1565" t="s">
        <v>31</v>
      </c>
      <c r="M1565" t="s">
        <v>27</v>
      </c>
      <c r="N1565" t="s">
        <v>27</v>
      </c>
      <c r="O1565" t="s">
        <v>27</v>
      </c>
      <c r="P1565" t="s">
        <v>31</v>
      </c>
      <c r="Q1565" t="s">
        <v>31</v>
      </c>
      <c r="R1565" t="s">
        <v>31</v>
      </c>
      <c r="S1565" t="s">
        <v>31</v>
      </c>
      <c r="T1565" t="s">
        <v>31</v>
      </c>
    </row>
    <row r="1566" spans="1:20" hidden="1" x14ac:dyDescent="0.3">
      <c r="A1566" t="s">
        <v>2496</v>
      </c>
      <c r="B1566" t="s">
        <v>51</v>
      </c>
      <c r="C1566" t="s">
        <v>37</v>
      </c>
      <c r="D1566" t="s">
        <v>121</v>
      </c>
      <c r="E1566">
        <v>2016</v>
      </c>
      <c r="F1566" t="s">
        <v>31</v>
      </c>
      <c r="G1566" t="s">
        <v>31</v>
      </c>
      <c r="H1566" t="s">
        <v>2647</v>
      </c>
      <c r="I1566" t="s">
        <v>47</v>
      </c>
      <c r="J1566" t="s">
        <v>4799</v>
      </c>
      <c r="K1566" t="s">
        <v>31</v>
      </c>
      <c r="L1566" t="s">
        <v>31</v>
      </c>
      <c r="M1566" t="s">
        <v>27</v>
      </c>
      <c r="N1566" t="s">
        <v>27</v>
      </c>
      <c r="O1566" t="s">
        <v>27</v>
      </c>
      <c r="P1566" t="s">
        <v>31</v>
      </c>
      <c r="Q1566" t="s">
        <v>31</v>
      </c>
      <c r="R1566" t="s">
        <v>31</v>
      </c>
      <c r="S1566" t="s">
        <v>31</v>
      </c>
      <c r="T1566" t="s">
        <v>4800</v>
      </c>
    </row>
    <row r="1567" spans="1:20" hidden="1" x14ac:dyDescent="0.3">
      <c r="A1567" t="s">
        <v>192</v>
      </c>
      <c r="B1567" t="s">
        <v>39</v>
      </c>
      <c r="C1567" t="s">
        <v>157</v>
      </c>
      <c r="D1567" t="s">
        <v>157</v>
      </c>
      <c r="E1567">
        <v>2017</v>
      </c>
      <c r="F1567">
        <v>2500000</v>
      </c>
      <c r="G1567" t="s">
        <v>31</v>
      </c>
      <c r="H1567" t="s">
        <v>2645</v>
      </c>
      <c r="I1567" t="s">
        <v>34</v>
      </c>
      <c r="J1567" t="s">
        <v>4801</v>
      </c>
      <c r="K1567" t="s">
        <v>31</v>
      </c>
      <c r="L1567" t="s">
        <v>31</v>
      </c>
      <c r="M1567" t="s">
        <v>27</v>
      </c>
      <c r="N1567" t="s">
        <v>27</v>
      </c>
      <c r="O1567" t="s">
        <v>27</v>
      </c>
      <c r="P1567" t="s">
        <v>31</v>
      </c>
      <c r="Q1567" t="s">
        <v>31</v>
      </c>
      <c r="R1567" t="s">
        <v>31</v>
      </c>
      <c r="S1567" t="s">
        <v>31</v>
      </c>
      <c r="T1567" t="s">
        <v>31</v>
      </c>
    </row>
    <row r="1568" spans="1:20" hidden="1" x14ac:dyDescent="0.3">
      <c r="A1568" t="s">
        <v>198</v>
      </c>
      <c r="B1568" t="s">
        <v>51</v>
      </c>
      <c r="C1568" t="s">
        <v>37</v>
      </c>
      <c r="D1568" t="s">
        <v>52</v>
      </c>
      <c r="E1568">
        <v>2017</v>
      </c>
      <c r="F1568" t="s">
        <v>31</v>
      </c>
      <c r="G1568" t="s">
        <v>31</v>
      </c>
      <c r="H1568" t="s">
        <v>2749</v>
      </c>
      <c r="I1568" t="s">
        <v>45</v>
      </c>
      <c r="J1568" t="s">
        <v>4802</v>
      </c>
      <c r="K1568" t="s">
        <v>2649</v>
      </c>
      <c r="L1568" t="s">
        <v>54</v>
      </c>
      <c r="M1568" t="s">
        <v>27</v>
      </c>
      <c r="N1568" t="s">
        <v>27</v>
      </c>
      <c r="O1568" t="s">
        <v>27</v>
      </c>
      <c r="P1568" t="s">
        <v>31</v>
      </c>
      <c r="Q1568" t="s">
        <v>31</v>
      </c>
      <c r="R1568" t="s">
        <v>31</v>
      </c>
      <c r="S1568" t="s">
        <v>31</v>
      </c>
      <c r="T1568" t="s">
        <v>4803</v>
      </c>
    </row>
    <row r="1569" spans="1:20" hidden="1" x14ac:dyDescent="0.3">
      <c r="A1569" t="s">
        <v>204</v>
      </c>
      <c r="B1569" t="s">
        <v>28</v>
      </c>
      <c r="C1569" t="s">
        <v>29</v>
      </c>
      <c r="D1569" t="s">
        <v>30</v>
      </c>
      <c r="E1569">
        <v>2017</v>
      </c>
      <c r="F1569" t="s">
        <v>31</v>
      </c>
      <c r="G1569" t="s">
        <v>4804</v>
      </c>
      <c r="H1569" t="s">
        <v>3222</v>
      </c>
      <c r="I1569" t="s">
        <v>205</v>
      </c>
      <c r="J1569" t="s">
        <v>4805</v>
      </c>
      <c r="K1569" t="s">
        <v>31</v>
      </c>
      <c r="L1569" t="s">
        <v>82</v>
      </c>
      <c r="M1569" t="s">
        <v>27</v>
      </c>
      <c r="N1569" t="s">
        <v>27</v>
      </c>
      <c r="O1569" t="s">
        <v>27</v>
      </c>
      <c r="P1569" t="s">
        <v>31</v>
      </c>
      <c r="Q1569" t="s">
        <v>31</v>
      </c>
      <c r="R1569" t="s">
        <v>31</v>
      </c>
      <c r="S1569" t="s">
        <v>31</v>
      </c>
      <c r="T1569" t="s">
        <v>31</v>
      </c>
    </row>
    <row r="1570" spans="1:20" hidden="1" x14ac:dyDescent="0.3">
      <c r="A1570" t="s">
        <v>206</v>
      </c>
      <c r="B1570" t="s">
        <v>28</v>
      </c>
      <c r="C1570" t="s">
        <v>29</v>
      </c>
      <c r="D1570" t="s">
        <v>30</v>
      </c>
      <c r="E1570">
        <v>2017</v>
      </c>
      <c r="F1570" t="s">
        <v>31</v>
      </c>
      <c r="G1570" t="s">
        <v>4804</v>
      </c>
      <c r="H1570" t="s">
        <v>4806</v>
      </c>
      <c r="I1570" t="s">
        <v>207</v>
      </c>
      <c r="J1570" t="s">
        <v>31</v>
      </c>
      <c r="K1570" t="s">
        <v>31</v>
      </c>
      <c r="L1570" t="s">
        <v>31</v>
      </c>
      <c r="M1570" t="s">
        <v>27</v>
      </c>
      <c r="N1570" t="s">
        <v>27</v>
      </c>
      <c r="O1570" t="s">
        <v>27</v>
      </c>
      <c r="P1570" t="s">
        <v>31</v>
      </c>
      <c r="Q1570" t="s">
        <v>31</v>
      </c>
      <c r="R1570" t="s">
        <v>31</v>
      </c>
      <c r="S1570" t="s">
        <v>31</v>
      </c>
      <c r="T1570" t="s">
        <v>31</v>
      </c>
    </row>
    <row r="1571" spans="1:20" hidden="1" x14ac:dyDescent="0.3">
      <c r="A1571" t="s">
        <v>208</v>
      </c>
      <c r="B1571" t="s">
        <v>28</v>
      </c>
      <c r="C1571" t="s">
        <v>29</v>
      </c>
      <c r="D1571" t="s">
        <v>30</v>
      </c>
      <c r="E1571">
        <v>2017</v>
      </c>
      <c r="F1571">
        <v>68000000</v>
      </c>
      <c r="G1571" t="s">
        <v>4804</v>
      </c>
      <c r="H1571" t="s">
        <v>2847</v>
      </c>
      <c r="I1571" t="s">
        <v>62</v>
      </c>
      <c r="J1571" t="s">
        <v>4807</v>
      </c>
      <c r="K1571" t="s">
        <v>31</v>
      </c>
      <c r="L1571" t="s">
        <v>209</v>
      </c>
      <c r="M1571" t="s">
        <v>27</v>
      </c>
      <c r="N1571" t="s">
        <v>27</v>
      </c>
      <c r="O1571" t="s">
        <v>33</v>
      </c>
      <c r="P1571" t="s">
        <v>31</v>
      </c>
      <c r="Q1571">
        <v>240</v>
      </c>
      <c r="R1571" t="s">
        <v>31</v>
      </c>
      <c r="S1571" t="s">
        <v>31</v>
      </c>
      <c r="T1571" t="s">
        <v>4808</v>
      </c>
    </row>
    <row r="1572" spans="1:20" hidden="1" x14ac:dyDescent="0.3">
      <c r="A1572" t="s">
        <v>210</v>
      </c>
      <c r="B1572" t="s">
        <v>28</v>
      </c>
      <c r="C1572" t="s">
        <v>29</v>
      </c>
      <c r="D1572" t="s">
        <v>30</v>
      </c>
      <c r="E1572">
        <v>2017</v>
      </c>
      <c r="F1572">
        <v>120000</v>
      </c>
      <c r="G1572" t="s">
        <v>4804</v>
      </c>
      <c r="H1572" t="s">
        <v>3198</v>
      </c>
      <c r="I1572" t="s">
        <v>211</v>
      </c>
      <c r="J1572" t="s">
        <v>4809</v>
      </c>
      <c r="K1572" t="s">
        <v>31</v>
      </c>
      <c r="L1572" t="s">
        <v>37</v>
      </c>
      <c r="M1572" t="s">
        <v>27</v>
      </c>
      <c r="N1572" t="s">
        <v>27</v>
      </c>
      <c r="O1572" t="s">
        <v>27</v>
      </c>
      <c r="P1572" t="s">
        <v>31</v>
      </c>
      <c r="Q1572" t="s">
        <v>31</v>
      </c>
      <c r="R1572" t="s">
        <v>31</v>
      </c>
      <c r="S1572" t="s">
        <v>31</v>
      </c>
      <c r="T1572" t="s">
        <v>31</v>
      </c>
    </row>
    <row r="1573" spans="1:20" hidden="1" x14ac:dyDescent="0.3">
      <c r="A1573" t="s">
        <v>213</v>
      </c>
      <c r="B1573" t="s">
        <v>91</v>
      </c>
      <c r="C1573" t="s">
        <v>92</v>
      </c>
      <c r="D1573" t="s">
        <v>93</v>
      </c>
      <c r="E1573">
        <v>2017</v>
      </c>
      <c r="F1573">
        <v>2300000</v>
      </c>
      <c r="G1573" t="s">
        <v>4810</v>
      </c>
      <c r="H1573" t="s">
        <v>2672</v>
      </c>
      <c r="I1573" t="s">
        <v>73</v>
      </c>
      <c r="J1573" t="s">
        <v>4811</v>
      </c>
      <c r="K1573" t="s">
        <v>31</v>
      </c>
      <c r="L1573" t="s">
        <v>214</v>
      </c>
      <c r="M1573" t="s">
        <v>27</v>
      </c>
      <c r="N1573" t="s">
        <v>27</v>
      </c>
      <c r="O1573" t="s">
        <v>33</v>
      </c>
      <c r="P1573" t="s">
        <v>31</v>
      </c>
      <c r="Q1573">
        <v>8.1</v>
      </c>
      <c r="R1573">
        <v>15.022</v>
      </c>
      <c r="S1573">
        <v>-93.899000000000001</v>
      </c>
      <c r="T1573" t="s">
        <v>31</v>
      </c>
    </row>
    <row r="1574" spans="1:20" hidden="1" x14ac:dyDescent="0.3">
      <c r="A1574" t="s">
        <v>215</v>
      </c>
      <c r="B1574" t="s">
        <v>28</v>
      </c>
      <c r="C1574" t="s">
        <v>29</v>
      </c>
      <c r="D1574" t="s">
        <v>30</v>
      </c>
      <c r="E1574">
        <v>2017</v>
      </c>
      <c r="F1574" t="s">
        <v>31</v>
      </c>
      <c r="G1574" t="s">
        <v>4812</v>
      </c>
      <c r="H1574" t="s">
        <v>3222</v>
      </c>
      <c r="I1574" t="s">
        <v>205</v>
      </c>
      <c r="J1574" t="s">
        <v>4813</v>
      </c>
      <c r="K1574" t="s">
        <v>31</v>
      </c>
      <c r="L1574" t="s">
        <v>37</v>
      </c>
      <c r="M1574" t="s">
        <v>27</v>
      </c>
      <c r="N1574" t="s">
        <v>27</v>
      </c>
      <c r="O1574" t="s">
        <v>33</v>
      </c>
      <c r="P1574" t="s">
        <v>31</v>
      </c>
      <c r="Q1574" t="s">
        <v>31</v>
      </c>
      <c r="R1574" t="s">
        <v>31</v>
      </c>
      <c r="S1574" t="s">
        <v>31</v>
      </c>
      <c r="T1574" t="s">
        <v>31</v>
      </c>
    </row>
    <row r="1575" spans="1:20" hidden="1" x14ac:dyDescent="0.3">
      <c r="A1575" t="s">
        <v>216</v>
      </c>
      <c r="B1575" t="s">
        <v>28</v>
      </c>
      <c r="C1575" t="s">
        <v>29</v>
      </c>
      <c r="D1575" t="s">
        <v>30</v>
      </c>
      <c r="E1575">
        <v>2017</v>
      </c>
      <c r="F1575" t="s">
        <v>31</v>
      </c>
      <c r="G1575" t="s">
        <v>4812</v>
      </c>
      <c r="H1575" t="s">
        <v>2888</v>
      </c>
      <c r="I1575" t="s">
        <v>75</v>
      </c>
      <c r="J1575" t="s">
        <v>4814</v>
      </c>
      <c r="K1575" t="s">
        <v>31</v>
      </c>
      <c r="L1575" t="s">
        <v>37</v>
      </c>
      <c r="M1575" t="s">
        <v>27</v>
      </c>
      <c r="N1575" t="s">
        <v>27</v>
      </c>
      <c r="O1575" t="s">
        <v>27</v>
      </c>
      <c r="P1575" t="s">
        <v>31</v>
      </c>
      <c r="Q1575">
        <v>285</v>
      </c>
      <c r="R1575" t="s">
        <v>31</v>
      </c>
      <c r="S1575" t="s">
        <v>31</v>
      </c>
      <c r="T1575" t="s">
        <v>31</v>
      </c>
    </row>
    <row r="1576" spans="1:20" hidden="1" x14ac:dyDescent="0.3">
      <c r="A1576" t="s">
        <v>217</v>
      </c>
      <c r="B1576" t="s">
        <v>28</v>
      </c>
      <c r="C1576" t="s">
        <v>29</v>
      </c>
      <c r="D1576" t="s">
        <v>30</v>
      </c>
      <c r="E1576">
        <v>2017</v>
      </c>
      <c r="F1576">
        <v>2000</v>
      </c>
      <c r="G1576" t="s">
        <v>4812</v>
      </c>
      <c r="H1576" t="s">
        <v>2804</v>
      </c>
      <c r="I1576" t="s">
        <v>102</v>
      </c>
      <c r="J1576" t="s">
        <v>4815</v>
      </c>
      <c r="K1576" t="s">
        <v>31</v>
      </c>
      <c r="L1576" t="s">
        <v>31</v>
      </c>
      <c r="M1576" t="s">
        <v>33</v>
      </c>
      <c r="N1576" t="s">
        <v>27</v>
      </c>
      <c r="O1576" t="s">
        <v>27</v>
      </c>
      <c r="P1576" t="s">
        <v>31</v>
      </c>
      <c r="Q1576" t="s">
        <v>31</v>
      </c>
      <c r="R1576" t="s">
        <v>31</v>
      </c>
      <c r="S1576" t="s">
        <v>31</v>
      </c>
      <c r="T1576" t="s">
        <v>31</v>
      </c>
    </row>
    <row r="1577" spans="1:20" hidden="1" x14ac:dyDescent="0.3">
      <c r="A1577" t="s">
        <v>218</v>
      </c>
      <c r="B1577" t="s">
        <v>28</v>
      </c>
      <c r="C1577" t="s">
        <v>29</v>
      </c>
      <c r="D1577" t="s">
        <v>30</v>
      </c>
      <c r="E1577">
        <v>2017</v>
      </c>
      <c r="F1577">
        <v>250000</v>
      </c>
      <c r="G1577" t="s">
        <v>4812</v>
      </c>
      <c r="H1577" t="s">
        <v>3815</v>
      </c>
      <c r="I1577" t="s">
        <v>219</v>
      </c>
      <c r="J1577" t="s">
        <v>4816</v>
      </c>
      <c r="K1577" t="s">
        <v>31</v>
      </c>
      <c r="L1577" t="s">
        <v>31</v>
      </c>
      <c r="M1577" t="s">
        <v>33</v>
      </c>
      <c r="N1577" t="s">
        <v>27</v>
      </c>
      <c r="O1577" t="s">
        <v>27</v>
      </c>
      <c r="P1577" t="s">
        <v>31</v>
      </c>
      <c r="Q1577">
        <v>295</v>
      </c>
      <c r="R1577" t="s">
        <v>31</v>
      </c>
      <c r="S1577" t="s">
        <v>31</v>
      </c>
      <c r="T1577" t="s">
        <v>31</v>
      </c>
    </row>
    <row r="1578" spans="1:20" hidden="1" x14ac:dyDescent="0.3">
      <c r="A1578" t="s">
        <v>220</v>
      </c>
      <c r="B1578" t="s">
        <v>28</v>
      </c>
      <c r="C1578" t="s">
        <v>29</v>
      </c>
      <c r="D1578" t="s">
        <v>30</v>
      </c>
      <c r="E1578">
        <v>2017</v>
      </c>
      <c r="F1578" t="s">
        <v>31</v>
      </c>
      <c r="G1578" t="s">
        <v>31</v>
      </c>
      <c r="H1578" t="s">
        <v>2672</v>
      </c>
      <c r="I1578" t="s">
        <v>73</v>
      </c>
      <c r="J1578" t="s">
        <v>4817</v>
      </c>
      <c r="K1578" t="s">
        <v>31</v>
      </c>
      <c r="L1578" t="s">
        <v>37</v>
      </c>
      <c r="M1578" t="s">
        <v>27</v>
      </c>
      <c r="N1578" t="s">
        <v>27</v>
      </c>
      <c r="O1578" t="s">
        <v>33</v>
      </c>
      <c r="P1578" t="s">
        <v>31</v>
      </c>
      <c r="Q1578" t="s">
        <v>31</v>
      </c>
      <c r="R1578" t="s">
        <v>31</v>
      </c>
      <c r="S1578" t="s">
        <v>31</v>
      </c>
      <c r="T1578" t="s">
        <v>31</v>
      </c>
    </row>
    <row r="1579" spans="1:20" hidden="1" x14ac:dyDescent="0.3">
      <c r="A1579" t="s">
        <v>224</v>
      </c>
      <c r="B1579" t="s">
        <v>28</v>
      </c>
      <c r="C1579" t="s">
        <v>29</v>
      </c>
      <c r="D1579" t="s">
        <v>30</v>
      </c>
      <c r="E1579">
        <v>2017</v>
      </c>
      <c r="F1579">
        <v>2000</v>
      </c>
      <c r="G1579" t="s">
        <v>4818</v>
      </c>
      <c r="H1579" t="s">
        <v>2672</v>
      </c>
      <c r="I1579" t="s">
        <v>73</v>
      </c>
      <c r="J1579" t="s">
        <v>4819</v>
      </c>
      <c r="K1579" t="s">
        <v>31</v>
      </c>
      <c r="L1579" t="s">
        <v>82</v>
      </c>
      <c r="M1579" t="s">
        <v>27</v>
      </c>
      <c r="N1579" t="s">
        <v>27</v>
      </c>
      <c r="O1579" t="s">
        <v>27</v>
      </c>
      <c r="P1579" t="s">
        <v>31</v>
      </c>
      <c r="Q1579">
        <v>140</v>
      </c>
      <c r="R1579" t="s">
        <v>31</v>
      </c>
      <c r="S1579" t="s">
        <v>31</v>
      </c>
      <c r="T1579" t="s">
        <v>31</v>
      </c>
    </row>
    <row r="1580" spans="1:20" hidden="1" x14ac:dyDescent="0.3">
      <c r="A1580" t="s">
        <v>226</v>
      </c>
      <c r="B1580" t="s">
        <v>39</v>
      </c>
      <c r="C1580" t="s">
        <v>40</v>
      </c>
      <c r="D1580" t="s">
        <v>142</v>
      </c>
      <c r="E1580">
        <v>2017</v>
      </c>
      <c r="F1580" t="s">
        <v>31</v>
      </c>
      <c r="G1580" t="s">
        <v>31</v>
      </c>
      <c r="H1580" t="s">
        <v>2739</v>
      </c>
      <c r="I1580" t="s">
        <v>77</v>
      </c>
      <c r="J1580" t="s">
        <v>4820</v>
      </c>
      <c r="K1580" t="s">
        <v>4821</v>
      </c>
      <c r="L1580" t="s">
        <v>95</v>
      </c>
      <c r="M1580" t="s">
        <v>27</v>
      </c>
      <c r="N1580" t="s">
        <v>33</v>
      </c>
      <c r="O1580" t="s">
        <v>33</v>
      </c>
      <c r="P1580" t="s">
        <v>31</v>
      </c>
      <c r="Q1580">
        <v>500</v>
      </c>
      <c r="R1580" t="s">
        <v>31</v>
      </c>
      <c r="S1580" t="s">
        <v>31</v>
      </c>
      <c r="T1580" t="s">
        <v>31</v>
      </c>
    </row>
    <row r="1581" spans="1:20" hidden="1" x14ac:dyDescent="0.3">
      <c r="A1581" t="s">
        <v>227</v>
      </c>
      <c r="B1581" t="s">
        <v>51</v>
      </c>
      <c r="C1581" t="s">
        <v>37</v>
      </c>
      <c r="D1581" t="s">
        <v>52</v>
      </c>
      <c r="E1581">
        <v>2017</v>
      </c>
      <c r="F1581" t="s">
        <v>31</v>
      </c>
      <c r="G1581" t="s">
        <v>31</v>
      </c>
      <c r="H1581" t="s">
        <v>2753</v>
      </c>
      <c r="I1581" t="s">
        <v>49</v>
      </c>
      <c r="J1581" t="s">
        <v>4822</v>
      </c>
      <c r="K1581" t="s">
        <v>2649</v>
      </c>
      <c r="L1581" t="s">
        <v>31</v>
      </c>
      <c r="M1581" t="s">
        <v>27</v>
      </c>
      <c r="N1581" t="s">
        <v>27</v>
      </c>
      <c r="O1581" t="s">
        <v>27</v>
      </c>
      <c r="P1581" t="s">
        <v>31</v>
      </c>
      <c r="Q1581">
        <v>13364.22</v>
      </c>
      <c r="R1581">
        <v>15.581</v>
      </c>
      <c r="S1581">
        <v>-85.367000000000004</v>
      </c>
      <c r="T1581" t="s">
        <v>4823</v>
      </c>
    </row>
    <row r="1582" spans="1:20" hidden="1" x14ac:dyDescent="0.3">
      <c r="A1582" t="s">
        <v>228</v>
      </c>
      <c r="B1582" t="s">
        <v>51</v>
      </c>
      <c r="C1582" t="s">
        <v>37</v>
      </c>
      <c r="D1582" t="s">
        <v>52</v>
      </c>
      <c r="E1582">
        <v>2017</v>
      </c>
      <c r="F1582" t="s">
        <v>31</v>
      </c>
      <c r="G1582" t="s">
        <v>4824</v>
      </c>
      <c r="H1582" t="s">
        <v>2647</v>
      </c>
      <c r="I1582" t="s">
        <v>47</v>
      </c>
      <c r="J1582" t="s">
        <v>4825</v>
      </c>
      <c r="K1582" t="s">
        <v>2649</v>
      </c>
      <c r="L1582" t="s">
        <v>31</v>
      </c>
      <c r="M1582" t="s">
        <v>27</v>
      </c>
      <c r="N1582" t="s">
        <v>27</v>
      </c>
      <c r="O1582" t="s">
        <v>27</v>
      </c>
      <c r="P1582" t="s">
        <v>31</v>
      </c>
      <c r="Q1582">
        <v>117321.46</v>
      </c>
      <c r="R1582">
        <v>1.6910000000000001</v>
      </c>
      <c r="S1582">
        <v>-76.286000000000001</v>
      </c>
      <c r="T1582" t="s">
        <v>4826</v>
      </c>
    </row>
    <row r="1583" spans="1:20" hidden="1" x14ac:dyDescent="0.3">
      <c r="A1583" t="s">
        <v>229</v>
      </c>
      <c r="B1583" t="s">
        <v>51</v>
      </c>
      <c r="C1583" t="s">
        <v>37</v>
      </c>
      <c r="D1583" t="s">
        <v>121</v>
      </c>
      <c r="E1583">
        <v>2017</v>
      </c>
      <c r="F1583" t="s">
        <v>31</v>
      </c>
      <c r="G1583" t="s">
        <v>31</v>
      </c>
      <c r="H1583" t="s">
        <v>2730</v>
      </c>
      <c r="I1583" t="s">
        <v>57</v>
      </c>
      <c r="J1583" t="s">
        <v>4827</v>
      </c>
      <c r="K1583" t="s">
        <v>2649</v>
      </c>
      <c r="L1583" t="s">
        <v>31</v>
      </c>
      <c r="M1583" t="s">
        <v>27</v>
      </c>
      <c r="N1583" t="s">
        <v>27</v>
      </c>
      <c r="O1583" t="s">
        <v>27</v>
      </c>
      <c r="P1583" t="s">
        <v>31</v>
      </c>
      <c r="Q1583">
        <v>87427.72</v>
      </c>
      <c r="R1583">
        <v>-31.888000000000002</v>
      </c>
      <c r="S1583">
        <v>-57.432000000000002</v>
      </c>
      <c r="T1583" t="s">
        <v>4828</v>
      </c>
    </row>
    <row r="1584" spans="1:20" hidden="1" x14ac:dyDescent="0.3">
      <c r="A1584" t="s">
        <v>230</v>
      </c>
      <c r="B1584" t="s">
        <v>51</v>
      </c>
      <c r="C1584" t="s">
        <v>37</v>
      </c>
      <c r="D1584" t="s">
        <v>56</v>
      </c>
      <c r="E1584">
        <v>2017</v>
      </c>
      <c r="F1584" t="s">
        <v>31</v>
      </c>
      <c r="G1584" t="s">
        <v>31</v>
      </c>
      <c r="H1584" t="s">
        <v>2701</v>
      </c>
      <c r="I1584" t="s">
        <v>60</v>
      </c>
      <c r="J1584" t="s">
        <v>4829</v>
      </c>
      <c r="K1584" t="s">
        <v>2649</v>
      </c>
      <c r="L1584" t="s">
        <v>31</v>
      </c>
      <c r="M1584" t="s">
        <v>27</v>
      </c>
      <c r="N1584" t="s">
        <v>27</v>
      </c>
      <c r="O1584" t="s">
        <v>27</v>
      </c>
      <c r="P1584" t="s">
        <v>31</v>
      </c>
      <c r="Q1584">
        <v>157698.57</v>
      </c>
      <c r="R1584">
        <v>-27.122</v>
      </c>
      <c r="S1584">
        <v>-69.951999999999998</v>
      </c>
      <c r="T1584" t="s">
        <v>4830</v>
      </c>
    </row>
    <row r="1585" spans="1:20" hidden="1" x14ac:dyDescent="0.3">
      <c r="A1585" t="s">
        <v>231</v>
      </c>
      <c r="B1585" t="s">
        <v>51</v>
      </c>
      <c r="C1585" t="s">
        <v>37</v>
      </c>
      <c r="D1585" t="s">
        <v>121</v>
      </c>
      <c r="E1585">
        <v>2017</v>
      </c>
      <c r="F1585" t="s">
        <v>31</v>
      </c>
      <c r="G1585" t="s">
        <v>31</v>
      </c>
      <c r="H1585" t="s">
        <v>2753</v>
      </c>
      <c r="I1585" t="s">
        <v>49</v>
      </c>
      <c r="J1585" t="s">
        <v>4831</v>
      </c>
      <c r="K1585" t="s">
        <v>31</v>
      </c>
      <c r="L1585" t="s">
        <v>54</v>
      </c>
      <c r="M1585" t="s">
        <v>27</v>
      </c>
      <c r="N1585" t="s">
        <v>27</v>
      </c>
      <c r="O1585" t="s">
        <v>27</v>
      </c>
      <c r="P1585" t="s">
        <v>31</v>
      </c>
      <c r="Q1585" t="s">
        <v>31</v>
      </c>
      <c r="R1585" t="s">
        <v>31</v>
      </c>
      <c r="S1585" t="s">
        <v>31</v>
      </c>
      <c r="T1585" t="s">
        <v>31</v>
      </c>
    </row>
    <row r="1586" spans="1:20" hidden="1" x14ac:dyDescent="0.3">
      <c r="A1586" t="s">
        <v>232</v>
      </c>
      <c r="B1586" t="s">
        <v>28</v>
      </c>
      <c r="C1586" t="s">
        <v>29</v>
      </c>
      <c r="D1586" t="s">
        <v>30</v>
      </c>
      <c r="E1586">
        <v>2017</v>
      </c>
      <c r="F1586" t="s">
        <v>31</v>
      </c>
      <c r="G1586" t="s">
        <v>31</v>
      </c>
      <c r="H1586" t="s">
        <v>2672</v>
      </c>
      <c r="I1586" t="s">
        <v>73</v>
      </c>
      <c r="J1586" t="s">
        <v>4832</v>
      </c>
      <c r="K1586" t="s">
        <v>31</v>
      </c>
      <c r="L1586" t="s">
        <v>82</v>
      </c>
      <c r="M1586" t="s">
        <v>27</v>
      </c>
      <c r="N1586" t="s">
        <v>27</v>
      </c>
      <c r="O1586" t="s">
        <v>27</v>
      </c>
      <c r="P1586" t="s">
        <v>31</v>
      </c>
      <c r="Q1586">
        <v>65</v>
      </c>
      <c r="R1586" t="s">
        <v>31</v>
      </c>
      <c r="S1586" t="s">
        <v>31</v>
      </c>
      <c r="T1586" t="s">
        <v>4833</v>
      </c>
    </row>
    <row r="1587" spans="1:20" hidden="1" x14ac:dyDescent="0.3">
      <c r="A1587" t="s">
        <v>233</v>
      </c>
      <c r="B1587" t="s">
        <v>28</v>
      </c>
      <c r="C1587" t="s">
        <v>29</v>
      </c>
      <c r="D1587" t="s">
        <v>189</v>
      </c>
      <c r="E1587">
        <v>2017</v>
      </c>
      <c r="F1587" t="s">
        <v>31</v>
      </c>
      <c r="G1587" t="s">
        <v>31</v>
      </c>
      <c r="H1587" t="s">
        <v>2751</v>
      </c>
      <c r="I1587" t="s">
        <v>234</v>
      </c>
      <c r="J1587" t="s">
        <v>4834</v>
      </c>
      <c r="K1587" t="s">
        <v>31</v>
      </c>
      <c r="L1587" t="s">
        <v>31</v>
      </c>
      <c r="M1587" t="s">
        <v>27</v>
      </c>
      <c r="N1587" t="s">
        <v>27</v>
      </c>
      <c r="O1587" t="s">
        <v>27</v>
      </c>
      <c r="P1587" t="s">
        <v>31</v>
      </c>
      <c r="Q1587" t="s">
        <v>31</v>
      </c>
      <c r="R1587" t="s">
        <v>31</v>
      </c>
      <c r="S1587" t="s">
        <v>31</v>
      </c>
      <c r="T1587" t="s">
        <v>31</v>
      </c>
    </row>
    <row r="1588" spans="1:20" hidden="1" x14ac:dyDescent="0.3">
      <c r="A1588" t="s">
        <v>235</v>
      </c>
      <c r="B1588" t="s">
        <v>28</v>
      </c>
      <c r="C1588" t="s">
        <v>29</v>
      </c>
      <c r="D1588" t="s">
        <v>189</v>
      </c>
      <c r="E1588">
        <v>2017</v>
      </c>
      <c r="F1588" t="s">
        <v>31</v>
      </c>
      <c r="G1588" t="s">
        <v>31</v>
      </c>
      <c r="H1588" t="s">
        <v>2888</v>
      </c>
      <c r="I1588" t="s">
        <v>75</v>
      </c>
      <c r="J1588" t="s">
        <v>4835</v>
      </c>
      <c r="K1588" t="s">
        <v>31</v>
      </c>
      <c r="L1588" t="s">
        <v>31</v>
      </c>
      <c r="M1588" t="s">
        <v>27</v>
      </c>
      <c r="N1588" t="s">
        <v>27</v>
      </c>
      <c r="O1588" t="s">
        <v>27</v>
      </c>
      <c r="P1588" t="s">
        <v>31</v>
      </c>
      <c r="Q1588" t="s">
        <v>31</v>
      </c>
      <c r="R1588" t="s">
        <v>31</v>
      </c>
      <c r="S1588" t="s">
        <v>31</v>
      </c>
      <c r="T1588" t="s">
        <v>4836</v>
      </c>
    </row>
    <row r="1589" spans="1:20" hidden="1" x14ac:dyDescent="0.3">
      <c r="A1589" t="s">
        <v>236</v>
      </c>
      <c r="B1589" t="s">
        <v>51</v>
      </c>
      <c r="C1589" t="s">
        <v>37</v>
      </c>
      <c r="D1589" t="s">
        <v>52</v>
      </c>
      <c r="E1589">
        <v>2017</v>
      </c>
      <c r="F1589">
        <v>1700000</v>
      </c>
      <c r="G1589" t="s">
        <v>4837</v>
      </c>
      <c r="H1589" t="s">
        <v>2645</v>
      </c>
      <c r="I1589" t="s">
        <v>34</v>
      </c>
      <c r="J1589" t="s">
        <v>4838</v>
      </c>
      <c r="K1589" t="s">
        <v>31</v>
      </c>
      <c r="L1589" t="s">
        <v>237</v>
      </c>
      <c r="M1589" t="s">
        <v>27</v>
      </c>
      <c r="N1589" t="s">
        <v>27</v>
      </c>
      <c r="O1589" t="s">
        <v>27</v>
      </c>
      <c r="P1589" t="s">
        <v>31</v>
      </c>
      <c r="Q1589" t="s">
        <v>31</v>
      </c>
      <c r="R1589" t="s">
        <v>31</v>
      </c>
      <c r="S1589" t="s">
        <v>31</v>
      </c>
      <c r="T1589" t="s">
        <v>4839</v>
      </c>
    </row>
    <row r="1590" spans="1:20" hidden="1" x14ac:dyDescent="0.3">
      <c r="A1590" t="s">
        <v>245</v>
      </c>
      <c r="B1590" t="s">
        <v>51</v>
      </c>
      <c r="C1590" t="s">
        <v>37</v>
      </c>
      <c r="D1590" t="s">
        <v>52</v>
      </c>
      <c r="E1590">
        <v>2017</v>
      </c>
      <c r="F1590">
        <v>2000</v>
      </c>
      <c r="G1590" t="s">
        <v>31</v>
      </c>
      <c r="H1590" t="s">
        <v>2701</v>
      </c>
      <c r="I1590" t="s">
        <v>60</v>
      </c>
      <c r="J1590" t="s">
        <v>4840</v>
      </c>
      <c r="K1590" t="s">
        <v>2664</v>
      </c>
      <c r="L1590" t="s">
        <v>54</v>
      </c>
      <c r="M1590" t="s">
        <v>27</v>
      </c>
      <c r="N1590" t="s">
        <v>27</v>
      </c>
      <c r="O1590" t="s">
        <v>27</v>
      </c>
      <c r="P1590" t="s">
        <v>31</v>
      </c>
      <c r="Q1590" t="s">
        <v>31</v>
      </c>
      <c r="R1590">
        <v>-30.939</v>
      </c>
      <c r="S1590">
        <v>-70.248999999999995</v>
      </c>
      <c r="T1590" t="s">
        <v>4841</v>
      </c>
    </row>
    <row r="1591" spans="1:20" hidden="1" x14ac:dyDescent="0.3">
      <c r="A1591" t="s">
        <v>247</v>
      </c>
      <c r="B1591" t="s">
        <v>51</v>
      </c>
      <c r="C1591" t="s">
        <v>37</v>
      </c>
      <c r="D1591" t="s">
        <v>52</v>
      </c>
      <c r="E1591">
        <v>2017</v>
      </c>
      <c r="F1591" t="s">
        <v>31</v>
      </c>
      <c r="G1591" t="s">
        <v>4842</v>
      </c>
      <c r="H1591" t="s">
        <v>2678</v>
      </c>
      <c r="I1591" t="s">
        <v>53</v>
      </c>
      <c r="J1591" t="s">
        <v>4843</v>
      </c>
      <c r="K1591" t="s">
        <v>2649</v>
      </c>
      <c r="L1591" t="s">
        <v>31</v>
      </c>
      <c r="M1591" t="s">
        <v>27</v>
      </c>
      <c r="N1591" t="s">
        <v>27</v>
      </c>
      <c r="O1591" t="s">
        <v>33</v>
      </c>
      <c r="P1591" t="s">
        <v>31</v>
      </c>
      <c r="Q1591">
        <v>288499.13</v>
      </c>
      <c r="R1591">
        <v>-5.2510000000000003</v>
      </c>
      <c r="S1591">
        <v>-77.572999999999993</v>
      </c>
      <c r="T1591" t="s">
        <v>4844</v>
      </c>
    </row>
    <row r="1592" spans="1:20" hidden="1" x14ac:dyDescent="0.3">
      <c r="A1592" t="s">
        <v>248</v>
      </c>
      <c r="B1592" t="s">
        <v>28</v>
      </c>
      <c r="C1592" t="s">
        <v>29</v>
      </c>
      <c r="D1592" t="s">
        <v>67</v>
      </c>
      <c r="E1592">
        <v>2017</v>
      </c>
      <c r="F1592">
        <v>400000</v>
      </c>
      <c r="G1592" t="s">
        <v>31</v>
      </c>
      <c r="H1592" t="s">
        <v>2645</v>
      </c>
      <c r="I1592" t="s">
        <v>34</v>
      </c>
      <c r="J1592" t="s">
        <v>4845</v>
      </c>
      <c r="K1592" t="s">
        <v>31</v>
      </c>
      <c r="L1592" t="s">
        <v>82</v>
      </c>
      <c r="M1592" t="s">
        <v>27</v>
      </c>
      <c r="N1592" t="s">
        <v>27</v>
      </c>
      <c r="O1592" t="s">
        <v>27</v>
      </c>
      <c r="P1592" t="s">
        <v>31</v>
      </c>
      <c r="Q1592" t="s">
        <v>31</v>
      </c>
      <c r="R1592" t="s">
        <v>31</v>
      </c>
      <c r="S1592" t="s">
        <v>31</v>
      </c>
      <c r="T1592" t="s">
        <v>31</v>
      </c>
    </row>
    <row r="1593" spans="1:20" hidden="1" x14ac:dyDescent="0.3">
      <c r="A1593" t="s">
        <v>250</v>
      </c>
      <c r="B1593" t="s">
        <v>51</v>
      </c>
      <c r="C1593" t="s">
        <v>37</v>
      </c>
      <c r="D1593" t="s">
        <v>52</v>
      </c>
      <c r="E1593">
        <v>2017</v>
      </c>
      <c r="F1593">
        <v>100000</v>
      </c>
      <c r="G1593" t="s">
        <v>31</v>
      </c>
      <c r="H1593" t="s">
        <v>2678</v>
      </c>
      <c r="I1593" t="s">
        <v>53</v>
      </c>
      <c r="J1593" t="s">
        <v>4846</v>
      </c>
      <c r="K1593" t="s">
        <v>2664</v>
      </c>
      <c r="L1593" t="s">
        <v>54</v>
      </c>
      <c r="M1593" t="s">
        <v>27</v>
      </c>
      <c r="N1593" t="s">
        <v>27</v>
      </c>
      <c r="O1593" t="s">
        <v>33</v>
      </c>
      <c r="P1593" t="s">
        <v>31</v>
      </c>
      <c r="Q1593" t="s">
        <v>31</v>
      </c>
      <c r="R1593" t="s">
        <v>31</v>
      </c>
      <c r="S1593" t="s">
        <v>31</v>
      </c>
      <c r="T1593" t="s">
        <v>31</v>
      </c>
    </row>
    <row r="1594" spans="1:20" hidden="1" x14ac:dyDescent="0.3">
      <c r="A1594" t="s">
        <v>1206</v>
      </c>
      <c r="B1594" t="s">
        <v>28</v>
      </c>
      <c r="C1594" t="s">
        <v>29</v>
      </c>
      <c r="D1594" t="s">
        <v>64</v>
      </c>
      <c r="E1594">
        <v>2017</v>
      </c>
      <c r="F1594">
        <v>1100000</v>
      </c>
      <c r="G1594" t="s">
        <v>31</v>
      </c>
      <c r="H1594" t="s">
        <v>2645</v>
      </c>
      <c r="I1594" t="s">
        <v>34</v>
      </c>
      <c r="J1594" t="s">
        <v>4847</v>
      </c>
      <c r="K1594" t="s">
        <v>31</v>
      </c>
      <c r="L1594" t="s">
        <v>31</v>
      </c>
      <c r="M1594" t="s">
        <v>27</v>
      </c>
      <c r="N1594" t="s">
        <v>27</v>
      </c>
      <c r="O1594" t="s">
        <v>33</v>
      </c>
      <c r="P1594" t="s">
        <v>31</v>
      </c>
      <c r="Q1594" t="s">
        <v>31</v>
      </c>
      <c r="R1594" t="s">
        <v>31</v>
      </c>
      <c r="S1594" t="s">
        <v>31</v>
      </c>
      <c r="T1594" t="s">
        <v>31</v>
      </c>
    </row>
    <row r="1595" spans="1:20" hidden="1" x14ac:dyDescent="0.3">
      <c r="A1595" t="s">
        <v>1207</v>
      </c>
      <c r="B1595" t="s">
        <v>51</v>
      </c>
      <c r="C1595" t="s">
        <v>37</v>
      </c>
      <c r="D1595" t="s">
        <v>121</v>
      </c>
      <c r="E1595">
        <v>2017</v>
      </c>
      <c r="F1595" t="s">
        <v>31</v>
      </c>
      <c r="G1595" t="s">
        <v>31</v>
      </c>
      <c r="H1595" t="s">
        <v>2645</v>
      </c>
      <c r="I1595" t="s">
        <v>34</v>
      </c>
      <c r="J1595" t="s">
        <v>4848</v>
      </c>
      <c r="K1595" t="s">
        <v>2649</v>
      </c>
      <c r="L1595" t="s">
        <v>31</v>
      </c>
      <c r="M1595" t="s">
        <v>27</v>
      </c>
      <c r="N1595" t="s">
        <v>27</v>
      </c>
      <c r="O1595" t="s">
        <v>27</v>
      </c>
      <c r="P1595" t="s">
        <v>31</v>
      </c>
      <c r="Q1595" t="s">
        <v>31</v>
      </c>
      <c r="R1595" t="s">
        <v>31</v>
      </c>
      <c r="S1595" t="s">
        <v>31</v>
      </c>
      <c r="T1595" t="s">
        <v>31</v>
      </c>
    </row>
    <row r="1596" spans="1:20" hidden="1" x14ac:dyDescent="0.3">
      <c r="A1596" t="s">
        <v>1208</v>
      </c>
      <c r="B1596" t="s">
        <v>28</v>
      </c>
      <c r="C1596" t="s">
        <v>29</v>
      </c>
      <c r="D1596" t="s">
        <v>97</v>
      </c>
      <c r="E1596">
        <v>2017</v>
      </c>
      <c r="F1596">
        <v>1900000</v>
      </c>
      <c r="G1596" t="s">
        <v>31</v>
      </c>
      <c r="H1596" t="s">
        <v>2645</v>
      </c>
      <c r="I1596" t="s">
        <v>34</v>
      </c>
      <c r="J1596" t="s">
        <v>4849</v>
      </c>
      <c r="K1596" t="s">
        <v>31</v>
      </c>
      <c r="L1596" t="s">
        <v>262</v>
      </c>
      <c r="M1596" t="s">
        <v>27</v>
      </c>
      <c r="N1596" t="s">
        <v>27</v>
      </c>
      <c r="O1596" t="s">
        <v>27</v>
      </c>
      <c r="P1596" t="s">
        <v>31</v>
      </c>
      <c r="Q1596" t="s">
        <v>31</v>
      </c>
      <c r="R1596" t="s">
        <v>31</v>
      </c>
      <c r="S1596" t="s">
        <v>31</v>
      </c>
      <c r="T1596" t="s">
        <v>31</v>
      </c>
    </row>
    <row r="1597" spans="1:20" hidden="1" x14ac:dyDescent="0.3">
      <c r="A1597" t="s">
        <v>1209</v>
      </c>
      <c r="B1597" t="s">
        <v>51</v>
      </c>
      <c r="C1597" t="s">
        <v>37</v>
      </c>
      <c r="D1597" t="s">
        <v>52</v>
      </c>
      <c r="E1597">
        <v>2017</v>
      </c>
      <c r="F1597">
        <v>3100000</v>
      </c>
      <c r="G1597" t="s">
        <v>4842</v>
      </c>
      <c r="H1597" t="s">
        <v>2678</v>
      </c>
      <c r="I1597" t="s">
        <v>53</v>
      </c>
      <c r="J1597" t="s">
        <v>4850</v>
      </c>
      <c r="K1597" t="s">
        <v>4851</v>
      </c>
      <c r="L1597" t="s">
        <v>54</v>
      </c>
      <c r="M1597" t="s">
        <v>33</v>
      </c>
      <c r="N1597" t="s">
        <v>27</v>
      </c>
      <c r="O1597" t="s">
        <v>33</v>
      </c>
      <c r="P1597" t="s">
        <v>31</v>
      </c>
      <c r="Q1597">
        <v>810942.34</v>
      </c>
      <c r="R1597">
        <v>-11.004</v>
      </c>
      <c r="S1597">
        <v>-75.147999999999996</v>
      </c>
      <c r="T1597" t="s">
        <v>31</v>
      </c>
    </row>
    <row r="1598" spans="1:20" hidden="1" x14ac:dyDescent="0.3">
      <c r="A1598" t="s">
        <v>1210</v>
      </c>
      <c r="B1598" t="s">
        <v>28</v>
      </c>
      <c r="C1598" t="s">
        <v>29</v>
      </c>
      <c r="D1598" t="s">
        <v>67</v>
      </c>
      <c r="E1598">
        <v>2017</v>
      </c>
      <c r="F1598">
        <v>1000000</v>
      </c>
      <c r="G1598" t="s">
        <v>31</v>
      </c>
      <c r="H1598" t="s">
        <v>2645</v>
      </c>
      <c r="I1598" t="s">
        <v>34</v>
      </c>
      <c r="J1598" t="s">
        <v>4852</v>
      </c>
      <c r="K1598" t="s">
        <v>31</v>
      </c>
      <c r="L1598" t="s">
        <v>31</v>
      </c>
      <c r="M1598" t="s">
        <v>27</v>
      </c>
      <c r="N1598" t="s">
        <v>27</v>
      </c>
      <c r="O1598" t="s">
        <v>27</v>
      </c>
      <c r="P1598" t="s">
        <v>31</v>
      </c>
      <c r="Q1598" t="s">
        <v>31</v>
      </c>
      <c r="R1598" t="s">
        <v>31</v>
      </c>
      <c r="S1598" t="s">
        <v>31</v>
      </c>
      <c r="T1598" t="s">
        <v>31</v>
      </c>
    </row>
    <row r="1599" spans="1:20" hidden="1" x14ac:dyDescent="0.3">
      <c r="A1599" t="s">
        <v>1211</v>
      </c>
      <c r="B1599" t="s">
        <v>51</v>
      </c>
      <c r="C1599" t="s">
        <v>37</v>
      </c>
      <c r="D1599" t="s">
        <v>121</v>
      </c>
      <c r="E1599">
        <v>2017</v>
      </c>
      <c r="F1599" t="s">
        <v>31</v>
      </c>
      <c r="G1599" t="s">
        <v>31</v>
      </c>
      <c r="H1599" t="s">
        <v>2719</v>
      </c>
      <c r="I1599" t="s">
        <v>90</v>
      </c>
      <c r="J1599" t="s">
        <v>4853</v>
      </c>
      <c r="K1599" t="s">
        <v>31</v>
      </c>
      <c r="L1599" t="s">
        <v>31</v>
      </c>
      <c r="M1599" t="s">
        <v>27</v>
      </c>
      <c r="N1599" t="s">
        <v>27</v>
      </c>
      <c r="O1599" t="s">
        <v>27</v>
      </c>
      <c r="P1599" t="s">
        <v>31</v>
      </c>
      <c r="Q1599" t="s">
        <v>31</v>
      </c>
      <c r="R1599" t="s">
        <v>31</v>
      </c>
      <c r="S1599" t="s">
        <v>31</v>
      </c>
      <c r="T1599" t="s">
        <v>4854</v>
      </c>
    </row>
    <row r="1600" spans="1:20" x14ac:dyDescent="0.3">
      <c r="A1600" t="s">
        <v>1212</v>
      </c>
      <c r="B1600" t="s">
        <v>51</v>
      </c>
      <c r="C1600" t="s">
        <v>37</v>
      </c>
      <c r="D1600" t="s">
        <v>121</v>
      </c>
      <c r="E1600">
        <v>2017</v>
      </c>
      <c r="F1600">
        <v>100000</v>
      </c>
      <c r="G1600" t="s">
        <v>4855</v>
      </c>
      <c r="H1600" t="s">
        <v>2656</v>
      </c>
      <c r="I1600" t="s">
        <v>119</v>
      </c>
      <c r="J1600" t="s">
        <v>2608</v>
      </c>
      <c r="K1600" t="s">
        <v>4856</v>
      </c>
      <c r="L1600" t="s">
        <v>54</v>
      </c>
      <c r="M1600" t="s">
        <v>27</v>
      </c>
      <c r="N1600" t="s">
        <v>27</v>
      </c>
      <c r="O1600" t="s">
        <v>33</v>
      </c>
      <c r="P1600" t="s">
        <v>31</v>
      </c>
      <c r="Q1600">
        <v>266010.34999999998</v>
      </c>
      <c r="R1600">
        <v>-8.0960000000000001</v>
      </c>
      <c r="S1600">
        <v>-38.231000000000002</v>
      </c>
      <c r="T1600" t="s">
        <v>31</v>
      </c>
    </row>
    <row r="1601" spans="1:20" hidden="1" x14ac:dyDescent="0.3">
      <c r="A1601" t="s">
        <v>1213</v>
      </c>
      <c r="B1601" t="s">
        <v>51</v>
      </c>
      <c r="C1601" t="s">
        <v>37</v>
      </c>
      <c r="D1601" t="s">
        <v>52</v>
      </c>
      <c r="E1601">
        <v>2017</v>
      </c>
      <c r="F1601" t="s">
        <v>31</v>
      </c>
      <c r="G1601" t="s">
        <v>31</v>
      </c>
      <c r="H1601" t="s">
        <v>2647</v>
      </c>
      <c r="I1601" t="s">
        <v>47</v>
      </c>
      <c r="J1601" t="s">
        <v>4857</v>
      </c>
      <c r="K1601" t="s">
        <v>2649</v>
      </c>
      <c r="L1601" t="s">
        <v>31</v>
      </c>
      <c r="M1601" t="s">
        <v>27</v>
      </c>
      <c r="N1601" t="s">
        <v>27</v>
      </c>
      <c r="O1601" t="s">
        <v>27</v>
      </c>
      <c r="P1601" t="s">
        <v>31</v>
      </c>
      <c r="Q1601">
        <v>128596.78</v>
      </c>
      <c r="R1601">
        <v>3.7229999999999999</v>
      </c>
      <c r="S1601">
        <v>-72.674000000000007</v>
      </c>
      <c r="T1601" t="s">
        <v>4858</v>
      </c>
    </row>
    <row r="1602" spans="1:20" hidden="1" x14ac:dyDescent="0.3">
      <c r="A1602" t="s">
        <v>1214</v>
      </c>
      <c r="B1602" t="s">
        <v>28</v>
      </c>
      <c r="C1602" t="s">
        <v>29</v>
      </c>
      <c r="D1602" t="s">
        <v>99</v>
      </c>
      <c r="E1602">
        <v>2017</v>
      </c>
      <c r="F1602">
        <v>1400000</v>
      </c>
      <c r="G1602" t="s">
        <v>4859</v>
      </c>
      <c r="H1602" t="s">
        <v>2645</v>
      </c>
      <c r="I1602" t="s">
        <v>34</v>
      </c>
      <c r="J1602" t="s">
        <v>4860</v>
      </c>
      <c r="K1602" t="s">
        <v>31</v>
      </c>
      <c r="L1602" t="s">
        <v>100</v>
      </c>
      <c r="M1602" t="s">
        <v>27</v>
      </c>
      <c r="N1602" t="s">
        <v>27</v>
      </c>
      <c r="O1602" t="s">
        <v>27</v>
      </c>
      <c r="P1602" t="s">
        <v>31</v>
      </c>
      <c r="Q1602">
        <v>170</v>
      </c>
      <c r="R1602" t="s">
        <v>31</v>
      </c>
      <c r="S1602" t="s">
        <v>31</v>
      </c>
      <c r="T1602" t="s">
        <v>31</v>
      </c>
    </row>
    <row r="1603" spans="1:20" hidden="1" x14ac:dyDescent="0.3">
      <c r="A1603" t="s">
        <v>1217</v>
      </c>
      <c r="B1603" t="s">
        <v>28</v>
      </c>
      <c r="C1603" t="s">
        <v>29</v>
      </c>
      <c r="D1603" t="s">
        <v>30</v>
      </c>
      <c r="E1603">
        <v>2017</v>
      </c>
      <c r="F1603">
        <v>95000000</v>
      </c>
      <c r="G1603" t="s">
        <v>4861</v>
      </c>
      <c r="H1603" t="s">
        <v>2645</v>
      </c>
      <c r="I1603" t="s">
        <v>34</v>
      </c>
      <c r="J1603" t="s">
        <v>4862</v>
      </c>
      <c r="K1603" t="s">
        <v>31</v>
      </c>
      <c r="L1603" t="s">
        <v>1218</v>
      </c>
      <c r="M1603" t="s">
        <v>27</v>
      </c>
      <c r="N1603" t="s">
        <v>27</v>
      </c>
      <c r="O1603" t="s">
        <v>33</v>
      </c>
      <c r="P1603" t="s">
        <v>31</v>
      </c>
      <c r="Q1603">
        <v>215</v>
      </c>
      <c r="R1603" t="s">
        <v>31</v>
      </c>
      <c r="S1603" t="s">
        <v>31</v>
      </c>
      <c r="T1603" t="s">
        <v>4863</v>
      </c>
    </row>
    <row r="1604" spans="1:20" hidden="1" x14ac:dyDescent="0.3">
      <c r="A1604" t="s">
        <v>1219</v>
      </c>
      <c r="B1604" t="s">
        <v>28</v>
      </c>
      <c r="C1604" t="s">
        <v>29</v>
      </c>
      <c r="D1604" t="s">
        <v>30</v>
      </c>
      <c r="E1604">
        <v>2017</v>
      </c>
      <c r="F1604">
        <v>200000</v>
      </c>
      <c r="G1604" t="s">
        <v>4812</v>
      </c>
      <c r="H1604" t="s">
        <v>4864</v>
      </c>
      <c r="I1604" t="s">
        <v>240</v>
      </c>
      <c r="J1604" t="s">
        <v>31</v>
      </c>
      <c r="K1604" t="s">
        <v>31</v>
      </c>
      <c r="L1604" t="s">
        <v>31</v>
      </c>
      <c r="M1604" t="s">
        <v>27</v>
      </c>
      <c r="N1604" t="s">
        <v>27</v>
      </c>
      <c r="O1604" t="s">
        <v>27</v>
      </c>
      <c r="P1604" t="s">
        <v>31</v>
      </c>
      <c r="Q1604" t="s">
        <v>31</v>
      </c>
      <c r="R1604" t="s">
        <v>31</v>
      </c>
      <c r="S1604" t="s">
        <v>31</v>
      </c>
      <c r="T1604" t="s">
        <v>31</v>
      </c>
    </row>
    <row r="1605" spans="1:20" hidden="1" x14ac:dyDescent="0.3">
      <c r="A1605" t="s">
        <v>1220</v>
      </c>
      <c r="B1605" t="s">
        <v>28</v>
      </c>
      <c r="C1605" t="s">
        <v>29</v>
      </c>
      <c r="D1605" t="s">
        <v>30</v>
      </c>
      <c r="E1605">
        <v>2017</v>
      </c>
      <c r="F1605">
        <v>540000</v>
      </c>
      <c r="G1605" t="s">
        <v>4812</v>
      </c>
      <c r="H1605" t="s">
        <v>2716</v>
      </c>
      <c r="I1605" t="s">
        <v>242</v>
      </c>
      <c r="J1605" t="s">
        <v>4865</v>
      </c>
      <c r="K1605" t="s">
        <v>31</v>
      </c>
      <c r="L1605" t="s">
        <v>37</v>
      </c>
      <c r="M1605" t="s">
        <v>27</v>
      </c>
      <c r="N1605" t="s">
        <v>27</v>
      </c>
      <c r="O1605" t="s">
        <v>27</v>
      </c>
      <c r="P1605" t="s">
        <v>31</v>
      </c>
      <c r="Q1605" t="s">
        <v>31</v>
      </c>
      <c r="R1605" t="s">
        <v>31</v>
      </c>
      <c r="S1605" t="s">
        <v>31</v>
      </c>
      <c r="T1605" t="s">
        <v>31</v>
      </c>
    </row>
    <row r="1606" spans="1:20" hidden="1" x14ac:dyDescent="0.3">
      <c r="A1606" t="s">
        <v>1221</v>
      </c>
      <c r="B1606" t="s">
        <v>28</v>
      </c>
      <c r="C1606" t="s">
        <v>29</v>
      </c>
      <c r="D1606" t="s">
        <v>30</v>
      </c>
      <c r="E1606">
        <v>2017</v>
      </c>
      <c r="F1606">
        <v>2500000</v>
      </c>
      <c r="G1606" t="s">
        <v>4812</v>
      </c>
      <c r="H1606" t="s">
        <v>4866</v>
      </c>
      <c r="I1606" t="s">
        <v>1222</v>
      </c>
      <c r="J1606" t="s">
        <v>31</v>
      </c>
      <c r="K1606" t="s">
        <v>31</v>
      </c>
      <c r="L1606" t="s">
        <v>31</v>
      </c>
      <c r="M1606" t="s">
        <v>33</v>
      </c>
      <c r="N1606" t="s">
        <v>27</v>
      </c>
      <c r="O1606" t="s">
        <v>27</v>
      </c>
      <c r="P1606" t="s">
        <v>31</v>
      </c>
      <c r="Q1606" t="s">
        <v>31</v>
      </c>
      <c r="R1606" t="s">
        <v>31</v>
      </c>
      <c r="S1606" t="s">
        <v>31</v>
      </c>
      <c r="T1606" t="s">
        <v>31</v>
      </c>
    </row>
    <row r="1607" spans="1:20" hidden="1" x14ac:dyDescent="0.3">
      <c r="A1607" t="s">
        <v>1223</v>
      </c>
      <c r="B1607" t="s">
        <v>28</v>
      </c>
      <c r="C1607" t="s">
        <v>29</v>
      </c>
      <c r="D1607" t="s">
        <v>30</v>
      </c>
      <c r="E1607">
        <v>2017</v>
      </c>
      <c r="F1607">
        <v>63000</v>
      </c>
      <c r="G1607" t="s">
        <v>4804</v>
      </c>
      <c r="H1607" t="s">
        <v>2888</v>
      </c>
      <c r="I1607" t="s">
        <v>75</v>
      </c>
      <c r="J1607" t="s">
        <v>4867</v>
      </c>
      <c r="K1607" t="s">
        <v>31</v>
      </c>
      <c r="L1607" t="s">
        <v>82</v>
      </c>
      <c r="M1607" t="s">
        <v>27</v>
      </c>
      <c r="N1607" t="s">
        <v>27</v>
      </c>
      <c r="O1607" t="s">
        <v>27</v>
      </c>
      <c r="P1607" t="s">
        <v>31</v>
      </c>
      <c r="Q1607" t="s">
        <v>31</v>
      </c>
      <c r="R1607" t="s">
        <v>31</v>
      </c>
      <c r="S1607" t="s">
        <v>31</v>
      </c>
      <c r="T1607" t="s">
        <v>31</v>
      </c>
    </row>
    <row r="1608" spans="1:20" hidden="1" x14ac:dyDescent="0.3">
      <c r="A1608" t="s">
        <v>1224</v>
      </c>
      <c r="B1608" t="s">
        <v>91</v>
      </c>
      <c r="C1608" t="s">
        <v>92</v>
      </c>
      <c r="D1608" t="s">
        <v>93</v>
      </c>
      <c r="E1608">
        <v>2017</v>
      </c>
      <c r="F1608">
        <v>6000000</v>
      </c>
      <c r="G1608" t="s">
        <v>4868</v>
      </c>
      <c r="H1608" t="s">
        <v>2672</v>
      </c>
      <c r="I1608" t="s">
        <v>73</v>
      </c>
      <c r="J1608" t="s">
        <v>4869</v>
      </c>
      <c r="K1608" t="s">
        <v>31</v>
      </c>
      <c r="L1608" t="s">
        <v>388</v>
      </c>
      <c r="M1608" t="s">
        <v>33</v>
      </c>
      <c r="N1608" t="s">
        <v>27</v>
      </c>
      <c r="O1608" t="s">
        <v>27</v>
      </c>
      <c r="P1608" t="s">
        <v>31</v>
      </c>
      <c r="Q1608">
        <v>7.1</v>
      </c>
      <c r="R1608">
        <v>18.55</v>
      </c>
      <c r="S1608">
        <v>-98.489000000000004</v>
      </c>
      <c r="T1608" t="s">
        <v>31</v>
      </c>
    </row>
    <row r="1609" spans="1:20" hidden="1" x14ac:dyDescent="0.3">
      <c r="A1609" t="s">
        <v>1225</v>
      </c>
      <c r="B1609" t="s">
        <v>28</v>
      </c>
      <c r="C1609" t="s">
        <v>29</v>
      </c>
      <c r="D1609" t="s">
        <v>30</v>
      </c>
      <c r="E1609">
        <v>2017</v>
      </c>
      <c r="F1609" t="s">
        <v>31</v>
      </c>
      <c r="G1609" t="s">
        <v>31</v>
      </c>
      <c r="H1609" t="s">
        <v>2672</v>
      </c>
      <c r="I1609" t="s">
        <v>73</v>
      </c>
      <c r="J1609" t="s">
        <v>4870</v>
      </c>
      <c r="K1609" t="s">
        <v>31</v>
      </c>
      <c r="L1609" t="s">
        <v>82</v>
      </c>
      <c r="M1609" t="s">
        <v>27</v>
      </c>
      <c r="N1609" t="s">
        <v>27</v>
      </c>
      <c r="O1609" t="s">
        <v>27</v>
      </c>
      <c r="P1609" t="s">
        <v>31</v>
      </c>
      <c r="Q1609" t="s">
        <v>31</v>
      </c>
      <c r="R1609" t="s">
        <v>31</v>
      </c>
      <c r="S1609" t="s">
        <v>31</v>
      </c>
      <c r="T1609" t="s">
        <v>31</v>
      </c>
    </row>
    <row r="1610" spans="1:20" hidden="1" x14ac:dyDescent="0.3">
      <c r="A1610" t="s">
        <v>1226</v>
      </c>
      <c r="B1610" t="s">
        <v>28</v>
      </c>
      <c r="C1610" t="s">
        <v>29</v>
      </c>
      <c r="D1610" t="s">
        <v>30</v>
      </c>
      <c r="E1610">
        <v>2017</v>
      </c>
      <c r="F1610" t="s">
        <v>31</v>
      </c>
      <c r="G1610" t="s">
        <v>4871</v>
      </c>
      <c r="H1610" t="s">
        <v>2719</v>
      </c>
      <c r="I1610" t="s">
        <v>90</v>
      </c>
      <c r="J1610" t="s">
        <v>4872</v>
      </c>
      <c r="K1610" t="s">
        <v>31</v>
      </c>
      <c r="L1610" t="s">
        <v>82</v>
      </c>
      <c r="M1610" t="s">
        <v>27</v>
      </c>
      <c r="N1610" t="s">
        <v>27</v>
      </c>
      <c r="O1610" t="s">
        <v>27</v>
      </c>
      <c r="P1610" t="s">
        <v>31</v>
      </c>
      <c r="Q1610" t="s">
        <v>31</v>
      </c>
      <c r="R1610" t="s">
        <v>31</v>
      </c>
      <c r="S1610" t="s">
        <v>31</v>
      </c>
      <c r="T1610" t="s">
        <v>4873</v>
      </c>
    </row>
    <row r="1611" spans="1:20" hidden="1" x14ac:dyDescent="0.3">
      <c r="A1611" t="s">
        <v>1227</v>
      </c>
      <c r="B1611" t="s">
        <v>28</v>
      </c>
      <c r="C1611" t="s">
        <v>29</v>
      </c>
      <c r="D1611" t="s">
        <v>30</v>
      </c>
      <c r="E1611">
        <v>2017</v>
      </c>
      <c r="F1611" t="s">
        <v>31</v>
      </c>
      <c r="G1611" t="s">
        <v>4871</v>
      </c>
      <c r="H1611" t="s">
        <v>2753</v>
      </c>
      <c r="I1611" t="s">
        <v>49</v>
      </c>
      <c r="J1611" t="s">
        <v>4874</v>
      </c>
      <c r="K1611" t="s">
        <v>31</v>
      </c>
      <c r="L1611" t="s">
        <v>82</v>
      </c>
      <c r="M1611" t="s">
        <v>27</v>
      </c>
      <c r="N1611" t="s">
        <v>27</v>
      </c>
      <c r="O1611" t="s">
        <v>27</v>
      </c>
      <c r="P1611" t="s">
        <v>31</v>
      </c>
      <c r="Q1611" t="s">
        <v>31</v>
      </c>
      <c r="R1611" t="s">
        <v>31</v>
      </c>
      <c r="S1611" t="s">
        <v>31</v>
      </c>
      <c r="T1611" t="s">
        <v>31</v>
      </c>
    </row>
    <row r="1612" spans="1:20" hidden="1" x14ac:dyDescent="0.3">
      <c r="A1612" t="s">
        <v>1228</v>
      </c>
      <c r="B1612" t="s">
        <v>51</v>
      </c>
      <c r="C1612" t="s">
        <v>37</v>
      </c>
      <c r="D1612" t="s">
        <v>52</v>
      </c>
      <c r="E1612">
        <v>2017</v>
      </c>
      <c r="F1612" t="s">
        <v>31</v>
      </c>
      <c r="G1612" t="s">
        <v>31</v>
      </c>
      <c r="H1612" t="s">
        <v>2739</v>
      </c>
      <c r="I1612" t="s">
        <v>77</v>
      </c>
      <c r="J1612" t="s">
        <v>4875</v>
      </c>
      <c r="K1612" t="s">
        <v>2649</v>
      </c>
      <c r="L1612" t="s">
        <v>31</v>
      </c>
      <c r="M1612" t="s">
        <v>27</v>
      </c>
      <c r="N1612" t="s">
        <v>27</v>
      </c>
      <c r="O1612" t="s">
        <v>27</v>
      </c>
      <c r="P1612" t="s">
        <v>31</v>
      </c>
      <c r="Q1612" t="s">
        <v>31</v>
      </c>
      <c r="R1612" t="s">
        <v>31</v>
      </c>
      <c r="S1612" t="s">
        <v>31</v>
      </c>
      <c r="T1612" t="s">
        <v>31</v>
      </c>
    </row>
    <row r="1613" spans="1:20" hidden="1" x14ac:dyDescent="0.3">
      <c r="A1613" t="s">
        <v>1229</v>
      </c>
      <c r="B1613" t="s">
        <v>43</v>
      </c>
      <c r="C1613" t="s">
        <v>2665</v>
      </c>
      <c r="D1613" t="s">
        <v>114</v>
      </c>
      <c r="E1613">
        <v>2017</v>
      </c>
      <c r="F1613" t="s">
        <v>31</v>
      </c>
      <c r="G1613" t="s">
        <v>31</v>
      </c>
      <c r="H1613" t="s">
        <v>2656</v>
      </c>
      <c r="I1613" t="s">
        <v>119</v>
      </c>
      <c r="J1613" t="s">
        <v>4876</v>
      </c>
      <c r="K1613" t="s">
        <v>31</v>
      </c>
      <c r="L1613" t="s">
        <v>31</v>
      </c>
      <c r="M1613" t="s">
        <v>27</v>
      </c>
      <c r="N1613" t="s">
        <v>27</v>
      </c>
      <c r="O1613" t="s">
        <v>27</v>
      </c>
      <c r="P1613" t="s">
        <v>31</v>
      </c>
      <c r="Q1613" t="s">
        <v>31</v>
      </c>
      <c r="R1613" t="s">
        <v>31</v>
      </c>
      <c r="S1613" t="s">
        <v>31</v>
      </c>
      <c r="T1613" t="s">
        <v>31</v>
      </c>
    </row>
    <row r="1614" spans="1:20" hidden="1" x14ac:dyDescent="0.3">
      <c r="A1614" t="s">
        <v>1816</v>
      </c>
      <c r="B1614" t="s">
        <v>39</v>
      </c>
      <c r="C1614" t="s">
        <v>40</v>
      </c>
      <c r="D1614" t="s">
        <v>41</v>
      </c>
      <c r="E1614">
        <v>2017</v>
      </c>
      <c r="F1614">
        <v>550000</v>
      </c>
      <c r="G1614" t="s">
        <v>4877</v>
      </c>
      <c r="H1614" t="s">
        <v>2701</v>
      </c>
      <c r="I1614" t="s">
        <v>60</v>
      </c>
      <c r="J1614" t="s">
        <v>4878</v>
      </c>
      <c r="K1614" t="s">
        <v>31</v>
      </c>
      <c r="L1614" t="s">
        <v>95</v>
      </c>
      <c r="M1614" t="s">
        <v>33</v>
      </c>
      <c r="N1614" t="s">
        <v>27</v>
      </c>
      <c r="O1614" t="s">
        <v>33</v>
      </c>
      <c r="P1614" t="s">
        <v>31</v>
      </c>
      <c r="Q1614">
        <v>4670</v>
      </c>
      <c r="R1614" t="s">
        <v>31</v>
      </c>
      <c r="S1614" t="s">
        <v>31</v>
      </c>
      <c r="T1614" t="s">
        <v>31</v>
      </c>
    </row>
    <row r="1615" spans="1:20" hidden="1" x14ac:dyDescent="0.3">
      <c r="A1615" t="s">
        <v>1817</v>
      </c>
      <c r="B1615" t="s">
        <v>51</v>
      </c>
      <c r="C1615" t="s">
        <v>2655</v>
      </c>
      <c r="D1615" t="s">
        <v>134</v>
      </c>
      <c r="E1615">
        <v>2017</v>
      </c>
      <c r="F1615" t="s">
        <v>31</v>
      </c>
      <c r="G1615" t="s">
        <v>4879</v>
      </c>
      <c r="H1615" t="s">
        <v>2658</v>
      </c>
      <c r="I1615" t="s">
        <v>130</v>
      </c>
      <c r="J1615" t="s">
        <v>4880</v>
      </c>
      <c r="K1615" t="s">
        <v>2649</v>
      </c>
      <c r="L1615" t="s">
        <v>31</v>
      </c>
      <c r="M1615" t="s">
        <v>27</v>
      </c>
      <c r="N1615" t="s">
        <v>27</v>
      </c>
      <c r="O1615" t="s">
        <v>27</v>
      </c>
      <c r="P1615" t="s">
        <v>31</v>
      </c>
      <c r="Q1615" t="s">
        <v>31</v>
      </c>
      <c r="R1615" t="s">
        <v>31</v>
      </c>
      <c r="S1615" t="s">
        <v>31</v>
      </c>
      <c r="T1615" t="s">
        <v>31</v>
      </c>
    </row>
    <row r="1616" spans="1:20" hidden="1" x14ac:dyDescent="0.3">
      <c r="A1616" t="s">
        <v>1818</v>
      </c>
      <c r="B1616" t="s">
        <v>51</v>
      </c>
      <c r="C1616" t="s">
        <v>37</v>
      </c>
      <c r="D1616" t="s">
        <v>52</v>
      </c>
      <c r="E1616">
        <v>2017</v>
      </c>
      <c r="F1616" t="s">
        <v>31</v>
      </c>
      <c r="G1616" t="s">
        <v>4881</v>
      </c>
      <c r="H1616" t="s">
        <v>2658</v>
      </c>
      <c r="I1616" t="s">
        <v>130</v>
      </c>
      <c r="J1616" t="s">
        <v>4882</v>
      </c>
      <c r="K1616" t="s">
        <v>2649</v>
      </c>
      <c r="L1616" t="s">
        <v>31</v>
      </c>
      <c r="M1616" t="s">
        <v>27</v>
      </c>
      <c r="N1616" t="s">
        <v>27</v>
      </c>
      <c r="O1616" t="s">
        <v>27</v>
      </c>
      <c r="P1616" t="s">
        <v>31</v>
      </c>
      <c r="Q1616" t="s">
        <v>31</v>
      </c>
      <c r="R1616" t="s">
        <v>31</v>
      </c>
      <c r="S1616" t="s">
        <v>31</v>
      </c>
      <c r="T1616" t="s">
        <v>31</v>
      </c>
    </row>
    <row r="1617" spans="1:20" hidden="1" x14ac:dyDescent="0.3">
      <c r="A1617" t="s">
        <v>1819</v>
      </c>
      <c r="B1617" t="s">
        <v>51</v>
      </c>
      <c r="C1617" t="s">
        <v>2655</v>
      </c>
      <c r="D1617" t="s">
        <v>134</v>
      </c>
      <c r="E1617">
        <v>2017</v>
      </c>
      <c r="F1617">
        <v>2000</v>
      </c>
      <c r="G1617" t="s">
        <v>31</v>
      </c>
      <c r="H1617" t="s">
        <v>2647</v>
      </c>
      <c r="I1617" t="s">
        <v>47</v>
      </c>
      <c r="J1617" t="s">
        <v>4883</v>
      </c>
      <c r="K1617" t="s">
        <v>3054</v>
      </c>
      <c r="L1617" t="s">
        <v>31</v>
      </c>
      <c r="M1617" t="s">
        <v>27</v>
      </c>
      <c r="N1617" t="s">
        <v>27</v>
      </c>
      <c r="O1617" t="s">
        <v>27</v>
      </c>
      <c r="P1617" t="s">
        <v>31</v>
      </c>
      <c r="Q1617" t="s">
        <v>31</v>
      </c>
      <c r="R1617" t="s">
        <v>31</v>
      </c>
      <c r="S1617" t="s">
        <v>31</v>
      </c>
      <c r="T1617" t="s">
        <v>31</v>
      </c>
    </row>
    <row r="1618" spans="1:20" hidden="1" x14ac:dyDescent="0.3">
      <c r="A1618" t="s">
        <v>1820</v>
      </c>
      <c r="B1618" t="s">
        <v>51</v>
      </c>
      <c r="C1618" t="s">
        <v>37</v>
      </c>
      <c r="D1618" t="s">
        <v>52</v>
      </c>
      <c r="E1618">
        <v>2017</v>
      </c>
      <c r="F1618">
        <v>200000</v>
      </c>
      <c r="G1618" t="s">
        <v>31</v>
      </c>
      <c r="H1618" t="s">
        <v>2739</v>
      </c>
      <c r="I1618" t="s">
        <v>77</v>
      </c>
      <c r="J1618" t="s">
        <v>4884</v>
      </c>
      <c r="K1618" t="s">
        <v>4885</v>
      </c>
      <c r="L1618" t="s">
        <v>31</v>
      </c>
      <c r="M1618" t="s">
        <v>33</v>
      </c>
      <c r="N1618" t="s">
        <v>27</v>
      </c>
      <c r="O1618" t="s">
        <v>33</v>
      </c>
      <c r="P1618" t="s">
        <v>31</v>
      </c>
      <c r="Q1618">
        <v>79149.2</v>
      </c>
      <c r="R1618">
        <v>45.575000000000003</v>
      </c>
      <c r="S1618">
        <v>-74.406000000000006</v>
      </c>
      <c r="T1618" t="s">
        <v>4886</v>
      </c>
    </row>
    <row r="1619" spans="1:20" hidden="1" x14ac:dyDescent="0.3">
      <c r="A1619" t="s">
        <v>1821</v>
      </c>
      <c r="B1619" t="s">
        <v>28</v>
      </c>
      <c r="C1619" t="s">
        <v>29</v>
      </c>
      <c r="D1619" t="s">
        <v>189</v>
      </c>
      <c r="E1619">
        <v>2017</v>
      </c>
      <c r="F1619" t="s">
        <v>31</v>
      </c>
      <c r="G1619" t="s">
        <v>31</v>
      </c>
      <c r="H1619" t="s">
        <v>2749</v>
      </c>
      <c r="I1619" t="s">
        <v>45</v>
      </c>
      <c r="J1619" t="s">
        <v>4887</v>
      </c>
      <c r="K1619" t="s">
        <v>31</v>
      </c>
      <c r="L1619" t="s">
        <v>31</v>
      </c>
      <c r="M1619" t="s">
        <v>27</v>
      </c>
      <c r="N1619" t="s">
        <v>27</v>
      </c>
      <c r="O1619" t="s">
        <v>27</v>
      </c>
      <c r="P1619" t="s">
        <v>31</v>
      </c>
      <c r="Q1619" t="s">
        <v>31</v>
      </c>
      <c r="R1619" t="s">
        <v>31</v>
      </c>
      <c r="S1619" t="s">
        <v>31</v>
      </c>
      <c r="T1619" t="s">
        <v>31</v>
      </c>
    </row>
    <row r="1620" spans="1:20" hidden="1" x14ac:dyDescent="0.3">
      <c r="A1620" t="s">
        <v>1822</v>
      </c>
      <c r="B1620" t="s">
        <v>51</v>
      </c>
      <c r="C1620" t="s">
        <v>37</v>
      </c>
      <c r="D1620" t="s">
        <v>121</v>
      </c>
      <c r="E1620">
        <v>2017</v>
      </c>
      <c r="F1620" t="s">
        <v>31</v>
      </c>
      <c r="G1620" t="s">
        <v>31</v>
      </c>
      <c r="H1620" t="s">
        <v>2701</v>
      </c>
      <c r="I1620" t="s">
        <v>60</v>
      </c>
      <c r="J1620" t="s">
        <v>4888</v>
      </c>
      <c r="K1620" t="s">
        <v>4889</v>
      </c>
      <c r="L1620" t="s">
        <v>54</v>
      </c>
      <c r="M1620" t="s">
        <v>27</v>
      </c>
      <c r="N1620" t="s">
        <v>27</v>
      </c>
      <c r="O1620" t="s">
        <v>27</v>
      </c>
      <c r="P1620" t="s">
        <v>31</v>
      </c>
      <c r="Q1620" t="s">
        <v>31</v>
      </c>
      <c r="R1620" t="s">
        <v>31</v>
      </c>
      <c r="S1620" t="s">
        <v>31</v>
      </c>
      <c r="T1620" t="s">
        <v>31</v>
      </c>
    </row>
    <row r="1621" spans="1:20" hidden="1" x14ac:dyDescent="0.3">
      <c r="A1621" t="s">
        <v>1823</v>
      </c>
      <c r="B1621" t="s">
        <v>51</v>
      </c>
      <c r="C1621" t="s">
        <v>37</v>
      </c>
      <c r="D1621" t="s">
        <v>52</v>
      </c>
      <c r="E1621">
        <v>2017</v>
      </c>
      <c r="F1621" t="s">
        <v>31</v>
      </c>
      <c r="G1621" t="s">
        <v>31</v>
      </c>
      <c r="H1621" t="s">
        <v>2749</v>
      </c>
      <c r="I1621" t="s">
        <v>45</v>
      </c>
      <c r="J1621" t="s">
        <v>4890</v>
      </c>
      <c r="K1621" t="s">
        <v>31</v>
      </c>
      <c r="L1621" t="s">
        <v>31</v>
      </c>
      <c r="M1621" t="s">
        <v>27</v>
      </c>
      <c r="N1621" t="s">
        <v>27</v>
      </c>
      <c r="O1621" t="s">
        <v>27</v>
      </c>
      <c r="P1621" t="s">
        <v>31</v>
      </c>
      <c r="Q1621" t="s">
        <v>31</v>
      </c>
      <c r="R1621" t="s">
        <v>31</v>
      </c>
      <c r="S1621" t="s">
        <v>31</v>
      </c>
      <c r="T1621" t="s">
        <v>4891</v>
      </c>
    </row>
    <row r="1622" spans="1:20" hidden="1" x14ac:dyDescent="0.3">
      <c r="A1622" t="s">
        <v>1824</v>
      </c>
      <c r="B1622" t="s">
        <v>51</v>
      </c>
      <c r="C1622" t="s">
        <v>37</v>
      </c>
      <c r="D1622" t="s">
        <v>121</v>
      </c>
      <c r="E1622">
        <v>2017</v>
      </c>
      <c r="F1622">
        <v>2000</v>
      </c>
      <c r="G1622" t="s">
        <v>31</v>
      </c>
      <c r="H1622" t="s">
        <v>2647</v>
      </c>
      <c r="I1622" t="s">
        <v>47</v>
      </c>
      <c r="J1622" t="s">
        <v>4892</v>
      </c>
      <c r="K1622" t="s">
        <v>31</v>
      </c>
      <c r="L1622" t="s">
        <v>155</v>
      </c>
      <c r="M1622" t="s">
        <v>27</v>
      </c>
      <c r="N1622" t="s">
        <v>27</v>
      </c>
      <c r="O1622" t="s">
        <v>27</v>
      </c>
      <c r="P1622" t="s">
        <v>31</v>
      </c>
      <c r="Q1622" t="s">
        <v>31</v>
      </c>
      <c r="R1622" t="s">
        <v>31</v>
      </c>
      <c r="S1622" t="s">
        <v>31</v>
      </c>
      <c r="T1622" t="s">
        <v>31</v>
      </c>
    </row>
    <row r="1623" spans="1:20" hidden="1" x14ac:dyDescent="0.3">
      <c r="A1623" t="s">
        <v>1825</v>
      </c>
      <c r="B1623" t="s">
        <v>51</v>
      </c>
      <c r="C1623" t="s">
        <v>37</v>
      </c>
      <c r="D1623" t="s">
        <v>121</v>
      </c>
      <c r="E1623">
        <v>2017</v>
      </c>
      <c r="F1623" t="s">
        <v>31</v>
      </c>
      <c r="G1623" t="s">
        <v>31</v>
      </c>
      <c r="H1623" t="s">
        <v>3306</v>
      </c>
      <c r="I1623" t="s">
        <v>604</v>
      </c>
      <c r="J1623" t="s">
        <v>4893</v>
      </c>
      <c r="K1623" t="s">
        <v>2649</v>
      </c>
      <c r="L1623" t="s">
        <v>31</v>
      </c>
      <c r="M1623" t="s">
        <v>27</v>
      </c>
      <c r="N1623" t="s">
        <v>27</v>
      </c>
      <c r="O1623" t="s">
        <v>27</v>
      </c>
      <c r="P1623" t="s">
        <v>31</v>
      </c>
      <c r="Q1623">
        <v>131888.35999999999</v>
      </c>
      <c r="R1623">
        <v>3.8149999999999999</v>
      </c>
      <c r="S1623">
        <v>-59.015000000000001</v>
      </c>
      <c r="T1623" t="s">
        <v>4894</v>
      </c>
    </row>
    <row r="1624" spans="1:20" hidden="1" x14ac:dyDescent="0.3">
      <c r="A1624" t="s">
        <v>1826</v>
      </c>
      <c r="B1624" t="s">
        <v>39</v>
      </c>
      <c r="C1624" t="s">
        <v>40</v>
      </c>
      <c r="D1624" t="s">
        <v>41</v>
      </c>
      <c r="E1624">
        <v>2017</v>
      </c>
      <c r="F1624" t="s">
        <v>31</v>
      </c>
      <c r="G1624" t="s">
        <v>31</v>
      </c>
      <c r="H1624" t="s">
        <v>2645</v>
      </c>
      <c r="I1624" t="s">
        <v>34</v>
      </c>
      <c r="J1624" t="s">
        <v>4895</v>
      </c>
      <c r="K1624" t="s">
        <v>4821</v>
      </c>
      <c r="L1624" t="s">
        <v>31</v>
      </c>
      <c r="M1624" t="s">
        <v>27</v>
      </c>
      <c r="N1624" t="s">
        <v>27</v>
      </c>
      <c r="O1624" t="s">
        <v>33</v>
      </c>
      <c r="P1624" t="s">
        <v>31</v>
      </c>
      <c r="Q1624">
        <v>190</v>
      </c>
      <c r="R1624" t="s">
        <v>31</v>
      </c>
      <c r="S1624" t="s">
        <v>31</v>
      </c>
      <c r="T1624" t="s">
        <v>31</v>
      </c>
    </row>
    <row r="1625" spans="1:20" hidden="1" x14ac:dyDescent="0.3">
      <c r="A1625" t="s">
        <v>1827</v>
      </c>
      <c r="B1625" t="s">
        <v>51</v>
      </c>
      <c r="C1625" t="s">
        <v>37</v>
      </c>
      <c r="D1625" t="s">
        <v>56</v>
      </c>
      <c r="E1625">
        <v>2017</v>
      </c>
      <c r="F1625" t="s">
        <v>31</v>
      </c>
      <c r="G1625" t="s">
        <v>31</v>
      </c>
      <c r="H1625" t="s">
        <v>2645</v>
      </c>
      <c r="I1625" t="s">
        <v>34</v>
      </c>
      <c r="J1625" t="s">
        <v>4896</v>
      </c>
      <c r="K1625" t="s">
        <v>4889</v>
      </c>
      <c r="L1625" t="s">
        <v>31</v>
      </c>
      <c r="M1625" t="s">
        <v>27</v>
      </c>
      <c r="N1625" t="s">
        <v>27</v>
      </c>
      <c r="O1625" t="s">
        <v>27</v>
      </c>
      <c r="P1625" t="s">
        <v>31</v>
      </c>
      <c r="Q1625" t="s">
        <v>31</v>
      </c>
      <c r="R1625">
        <v>34.348999999999997</v>
      </c>
      <c r="S1625">
        <v>-111.264</v>
      </c>
      <c r="T1625" t="s">
        <v>4897</v>
      </c>
    </row>
    <row r="1626" spans="1:20" hidden="1" x14ac:dyDescent="0.3">
      <c r="A1626" t="s">
        <v>1828</v>
      </c>
      <c r="B1626" t="s">
        <v>28</v>
      </c>
      <c r="C1626" t="s">
        <v>29</v>
      </c>
      <c r="D1626" t="s">
        <v>30</v>
      </c>
      <c r="E1626">
        <v>2017</v>
      </c>
      <c r="F1626" t="s">
        <v>31</v>
      </c>
      <c r="G1626" t="s">
        <v>4812</v>
      </c>
      <c r="H1626" t="s">
        <v>4898</v>
      </c>
      <c r="I1626" t="s">
        <v>1829</v>
      </c>
      <c r="J1626" t="s">
        <v>31</v>
      </c>
      <c r="K1626" t="s">
        <v>31</v>
      </c>
      <c r="L1626" t="s">
        <v>37</v>
      </c>
      <c r="M1626" t="s">
        <v>27</v>
      </c>
      <c r="N1626" t="s">
        <v>27</v>
      </c>
      <c r="O1626" t="s">
        <v>27</v>
      </c>
      <c r="P1626" t="s">
        <v>31</v>
      </c>
      <c r="Q1626" t="s">
        <v>31</v>
      </c>
      <c r="R1626" t="s">
        <v>31</v>
      </c>
      <c r="S1626" t="s">
        <v>31</v>
      </c>
      <c r="T1626" t="s">
        <v>31</v>
      </c>
    </row>
    <row r="1627" spans="1:20" hidden="1" x14ac:dyDescent="0.3">
      <c r="A1627" t="s">
        <v>1830</v>
      </c>
      <c r="B1627" t="s">
        <v>28</v>
      </c>
      <c r="C1627" t="s">
        <v>29</v>
      </c>
      <c r="D1627" t="s">
        <v>30</v>
      </c>
      <c r="E1627">
        <v>2017</v>
      </c>
      <c r="F1627" t="s">
        <v>31</v>
      </c>
      <c r="G1627" t="s">
        <v>4812</v>
      </c>
      <c r="H1627" t="s">
        <v>2959</v>
      </c>
      <c r="I1627" t="s">
        <v>144</v>
      </c>
      <c r="J1627" t="s">
        <v>4899</v>
      </c>
      <c r="K1627" t="s">
        <v>31</v>
      </c>
      <c r="L1627" t="s">
        <v>31</v>
      </c>
      <c r="M1627" t="s">
        <v>27</v>
      </c>
      <c r="N1627" t="s">
        <v>27</v>
      </c>
      <c r="O1627" t="s">
        <v>27</v>
      </c>
      <c r="P1627" t="s">
        <v>31</v>
      </c>
      <c r="Q1627" t="s">
        <v>31</v>
      </c>
      <c r="R1627" t="s">
        <v>31</v>
      </c>
      <c r="S1627" t="s">
        <v>31</v>
      </c>
      <c r="T1627" t="s">
        <v>31</v>
      </c>
    </row>
    <row r="1628" spans="1:20" hidden="1" x14ac:dyDescent="0.3">
      <c r="A1628" t="s">
        <v>1831</v>
      </c>
      <c r="B1628" t="s">
        <v>28</v>
      </c>
      <c r="C1628" t="s">
        <v>29</v>
      </c>
      <c r="D1628" t="s">
        <v>30</v>
      </c>
      <c r="E1628">
        <v>2017</v>
      </c>
      <c r="F1628" t="s">
        <v>31</v>
      </c>
      <c r="G1628" t="s">
        <v>4812</v>
      </c>
      <c r="H1628" t="s">
        <v>2749</v>
      </c>
      <c r="I1628" t="s">
        <v>45</v>
      </c>
      <c r="J1628" t="s">
        <v>4900</v>
      </c>
      <c r="K1628" t="s">
        <v>31</v>
      </c>
      <c r="L1628" t="s">
        <v>37</v>
      </c>
      <c r="M1628" t="s">
        <v>27</v>
      </c>
      <c r="N1628" t="s">
        <v>27</v>
      </c>
      <c r="O1628" t="s">
        <v>27</v>
      </c>
      <c r="P1628" t="s">
        <v>31</v>
      </c>
      <c r="Q1628" t="s">
        <v>31</v>
      </c>
      <c r="R1628" t="s">
        <v>31</v>
      </c>
      <c r="S1628" t="s">
        <v>31</v>
      </c>
      <c r="T1628" t="s">
        <v>31</v>
      </c>
    </row>
    <row r="1629" spans="1:20" hidden="1" x14ac:dyDescent="0.3">
      <c r="A1629" t="s">
        <v>1832</v>
      </c>
      <c r="B1629" t="s">
        <v>28</v>
      </c>
      <c r="C1629" t="s">
        <v>29</v>
      </c>
      <c r="D1629" t="s">
        <v>30</v>
      </c>
      <c r="E1629">
        <v>2017</v>
      </c>
      <c r="F1629" t="s">
        <v>31</v>
      </c>
      <c r="G1629" t="s">
        <v>4812</v>
      </c>
      <c r="H1629" t="s">
        <v>2847</v>
      </c>
      <c r="I1629" t="s">
        <v>62</v>
      </c>
      <c r="J1629" t="s">
        <v>4901</v>
      </c>
      <c r="K1629" t="s">
        <v>31</v>
      </c>
      <c r="L1629" t="s">
        <v>37</v>
      </c>
      <c r="M1629" t="s">
        <v>27</v>
      </c>
      <c r="N1629" t="s">
        <v>27</v>
      </c>
      <c r="O1629" t="s">
        <v>27</v>
      </c>
      <c r="P1629" t="s">
        <v>31</v>
      </c>
      <c r="Q1629" t="s">
        <v>31</v>
      </c>
      <c r="R1629" t="s">
        <v>31</v>
      </c>
      <c r="S1629" t="s">
        <v>31</v>
      </c>
      <c r="T1629" t="s">
        <v>31</v>
      </c>
    </row>
    <row r="1630" spans="1:20" hidden="1" x14ac:dyDescent="0.3">
      <c r="A1630" t="s">
        <v>1833</v>
      </c>
      <c r="B1630" t="s">
        <v>28</v>
      </c>
      <c r="C1630" t="s">
        <v>29</v>
      </c>
      <c r="D1630" t="s">
        <v>30</v>
      </c>
      <c r="E1630">
        <v>2017</v>
      </c>
      <c r="F1630">
        <v>500000</v>
      </c>
      <c r="G1630" t="s">
        <v>4812</v>
      </c>
      <c r="H1630" t="s">
        <v>3220</v>
      </c>
      <c r="I1630" t="s">
        <v>674</v>
      </c>
      <c r="J1630" t="s">
        <v>4902</v>
      </c>
      <c r="K1630" t="s">
        <v>31</v>
      </c>
      <c r="L1630" t="s">
        <v>37</v>
      </c>
      <c r="M1630" t="s">
        <v>27</v>
      </c>
      <c r="N1630" t="s">
        <v>27</v>
      </c>
      <c r="O1630" t="s">
        <v>27</v>
      </c>
      <c r="P1630" t="s">
        <v>31</v>
      </c>
      <c r="Q1630" t="s">
        <v>31</v>
      </c>
      <c r="R1630" t="s">
        <v>31</v>
      </c>
      <c r="S1630" t="s">
        <v>31</v>
      </c>
      <c r="T1630" t="s">
        <v>31</v>
      </c>
    </row>
    <row r="1631" spans="1:20" hidden="1" x14ac:dyDescent="0.3">
      <c r="A1631" t="s">
        <v>1834</v>
      </c>
      <c r="B1631" t="s">
        <v>28</v>
      </c>
      <c r="C1631" t="s">
        <v>29</v>
      </c>
      <c r="D1631" t="s">
        <v>30</v>
      </c>
      <c r="E1631">
        <v>2017</v>
      </c>
      <c r="F1631">
        <v>3000000</v>
      </c>
      <c r="G1631" t="s">
        <v>4812</v>
      </c>
      <c r="H1631" t="s">
        <v>4806</v>
      </c>
      <c r="I1631" t="s">
        <v>207</v>
      </c>
      <c r="J1631" t="s">
        <v>4903</v>
      </c>
      <c r="K1631" t="s">
        <v>31</v>
      </c>
      <c r="L1631" t="s">
        <v>31</v>
      </c>
      <c r="M1631" t="s">
        <v>27</v>
      </c>
      <c r="N1631" t="s">
        <v>27</v>
      </c>
      <c r="O1631" t="s">
        <v>33</v>
      </c>
      <c r="P1631" t="s">
        <v>31</v>
      </c>
      <c r="Q1631" t="s">
        <v>31</v>
      </c>
      <c r="R1631" t="s">
        <v>31</v>
      </c>
      <c r="S1631" t="s">
        <v>31</v>
      </c>
      <c r="T1631" t="s">
        <v>31</v>
      </c>
    </row>
    <row r="1632" spans="1:20" hidden="1" x14ac:dyDescent="0.3">
      <c r="A1632" t="s">
        <v>1835</v>
      </c>
      <c r="B1632" t="s">
        <v>91</v>
      </c>
      <c r="C1632" t="s">
        <v>92</v>
      </c>
      <c r="D1632" t="s">
        <v>93</v>
      </c>
      <c r="E1632">
        <v>2017</v>
      </c>
      <c r="F1632" t="s">
        <v>31</v>
      </c>
      <c r="G1632" t="s">
        <v>4810</v>
      </c>
      <c r="H1632" t="s">
        <v>2719</v>
      </c>
      <c r="I1632" t="s">
        <v>90</v>
      </c>
      <c r="J1632" t="s">
        <v>4904</v>
      </c>
      <c r="K1632" t="s">
        <v>31</v>
      </c>
      <c r="L1632" t="s">
        <v>31</v>
      </c>
      <c r="M1632" t="s">
        <v>27</v>
      </c>
      <c r="N1632" t="s">
        <v>27</v>
      </c>
      <c r="O1632" t="s">
        <v>27</v>
      </c>
      <c r="P1632" t="s">
        <v>31</v>
      </c>
      <c r="Q1632">
        <v>7.7</v>
      </c>
      <c r="R1632" t="s">
        <v>31</v>
      </c>
      <c r="S1632" t="s">
        <v>31</v>
      </c>
      <c r="T1632" t="s">
        <v>31</v>
      </c>
    </row>
    <row r="1633" spans="1:20" hidden="1" x14ac:dyDescent="0.3">
      <c r="A1633" t="s">
        <v>1836</v>
      </c>
      <c r="B1633" t="s">
        <v>28</v>
      </c>
      <c r="C1633" t="s">
        <v>29</v>
      </c>
      <c r="D1633" t="s">
        <v>30</v>
      </c>
      <c r="E1633">
        <v>2017</v>
      </c>
      <c r="F1633">
        <v>1456000</v>
      </c>
      <c r="G1633" t="s">
        <v>4804</v>
      </c>
      <c r="H1633" t="s">
        <v>3196</v>
      </c>
      <c r="I1633" t="s">
        <v>35</v>
      </c>
      <c r="J1633" t="s">
        <v>4905</v>
      </c>
      <c r="K1633" t="s">
        <v>31</v>
      </c>
      <c r="L1633" t="s">
        <v>82</v>
      </c>
      <c r="M1633" t="s">
        <v>33</v>
      </c>
      <c r="N1633" t="s">
        <v>27</v>
      </c>
      <c r="O1633" t="s">
        <v>27</v>
      </c>
      <c r="P1633" t="s">
        <v>31</v>
      </c>
      <c r="Q1633">
        <v>260</v>
      </c>
      <c r="R1633" t="s">
        <v>31</v>
      </c>
      <c r="S1633" t="s">
        <v>31</v>
      </c>
      <c r="T1633" t="s">
        <v>31</v>
      </c>
    </row>
    <row r="1634" spans="1:20" hidden="1" x14ac:dyDescent="0.3">
      <c r="A1634" t="s">
        <v>1837</v>
      </c>
      <c r="B1634" t="s">
        <v>28</v>
      </c>
      <c r="C1634" t="s">
        <v>29</v>
      </c>
      <c r="D1634" t="s">
        <v>30</v>
      </c>
      <c r="E1634">
        <v>2017</v>
      </c>
      <c r="F1634" t="s">
        <v>31</v>
      </c>
      <c r="G1634" t="s">
        <v>4804</v>
      </c>
      <c r="H1634" t="s">
        <v>2749</v>
      </c>
      <c r="I1634" t="s">
        <v>45</v>
      </c>
      <c r="J1634" t="s">
        <v>4906</v>
      </c>
      <c r="K1634" t="s">
        <v>31</v>
      </c>
      <c r="L1634" t="s">
        <v>104</v>
      </c>
      <c r="M1634" t="s">
        <v>27</v>
      </c>
      <c r="N1634" t="s">
        <v>27</v>
      </c>
      <c r="O1634" t="s">
        <v>27</v>
      </c>
      <c r="P1634" t="s">
        <v>31</v>
      </c>
      <c r="Q1634" t="s">
        <v>31</v>
      </c>
      <c r="R1634" t="s">
        <v>31</v>
      </c>
      <c r="S1634" t="s">
        <v>31</v>
      </c>
      <c r="T1634" t="s">
        <v>4907</v>
      </c>
    </row>
    <row r="1635" spans="1:20" hidden="1" x14ac:dyDescent="0.3">
      <c r="A1635" t="s">
        <v>1838</v>
      </c>
      <c r="B1635" t="s">
        <v>28</v>
      </c>
      <c r="C1635" t="s">
        <v>29</v>
      </c>
      <c r="D1635" t="s">
        <v>30</v>
      </c>
      <c r="E1635">
        <v>2017</v>
      </c>
      <c r="F1635" t="s">
        <v>31</v>
      </c>
      <c r="G1635" t="s">
        <v>4871</v>
      </c>
      <c r="H1635" t="s">
        <v>2647</v>
      </c>
      <c r="I1635" t="s">
        <v>47</v>
      </c>
      <c r="J1635" t="s">
        <v>4908</v>
      </c>
      <c r="K1635" t="s">
        <v>31</v>
      </c>
      <c r="L1635" t="s">
        <v>37</v>
      </c>
      <c r="M1635" t="s">
        <v>27</v>
      </c>
      <c r="N1635" t="s">
        <v>27</v>
      </c>
      <c r="O1635" t="s">
        <v>27</v>
      </c>
      <c r="P1635" t="s">
        <v>31</v>
      </c>
      <c r="Q1635" t="s">
        <v>31</v>
      </c>
      <c r="R1635" t="s">
        <v>31</v>
      </c>
      <c r="S1635" t="s">
        <v>31</v>
      </c>
      <c r="T1635" t="s">
        <v>31</v>
      </c>
    </row>
    <row r="1636" spans="1:20" hidden="1" x14ac:dyDescent="0.3">
      <c r="A1636" t="s">
        <v>1839</v>
      </c>
      <c r="B1636" t="s">
        <v>28</v>
      </c>
      <c r="C1636" t="s">
        <v>29</v>
      </c>
      <c r="D1636" t="s">
        <v>30</v>
      </c>
      <c r="E1636">
        <v>2017</v>
      </c>
      <c r="F1636" t="s">
        <v>31</v>
      </c>
      <c r="G1636" t="s">
        <v>4871</v>
      </c>
      <c r="H1636" t="s">
        <v>2774</v>
      </c>
      <c r="I1636" t="s">
        <v>166</v>
      </c>
      <c r="J1636" t="s">
        <v>4909</v>
      </c>
      <c r="K1636" t="s">
        <v>31</v>
      </c>
      <c r="L1636" t="s">
        <v>54</v>
      </c>
      <c r="M1636" t="s">
        <v>27</v>
      </c>
      <c r="N1636" t="s">
        <v>27</v>
      </c>
      <c r="O1636" t="s">
        <v>27</v>
      </c>
      <c r="P1636" t="s">
        <v>31</v>
      </c>
      <c r="Q1636" t="s">
        <v>31</v>
      </c>
      <c r="R1636" t="s">
        <v>31</v>
      </c>
      <c r="S1636" t="s">
        <v>31</v>
      </c>
      <c r="T1636" t="s">
        <v>4910</v>
      </c>
    </row>
    <row r="1637" spans="1:20" hidden="1" x14ac:dyDescent="0.3">
      <c r="A1637" t="s">
        <v>1840</v>
      </c>
      <c r="B1637" t="s">
        <v>28</v>
      </c>
      <c r="C1637" t="s">
        <v>29</v>
      </c>
      <c r="D1637" t="s">
        <v>30</v>
      </c>
      <c r="E1637">
        <v>2017</v>
      </c>
      <c r="F1637" t="s">
        <v>31</v>
      </c>
      <c r="G1637" t="s">
        <v>4871</v>
      </c>
      <c r="H1637" t="s">
        <v>2680</v>
      </c>
      <c r="I1637" t="s">
        <v>115</v>
      </c>
      <c r="J1637" t="s">
        <v>4911</v>
      </c>
      <c r="K1637" t="s">
        <v>31</v>
      </c>
      <c r="L1637" t="s">
        <v>54</v>
      </c>
      <c r="M1637" t="s">
        <v>27</v>
      </c>
      <c r="N1637" t="s">
        <v>27</v>
      </c>
      <c r="O1637" t="s">
        <v>27</v>
      </c>
      <c r="P1637" t="s">
        <v>31</v>
      </c>
      <c r="Q1637" t="s">
        <v>31</v>
      </c>
      <c r="R1637" t="s">
        <v>31</v>
      </c>
      <c r="S1637" t="s">
        <v>31</v>
      </c>
      <c r="T1637" t="s">
        <v>31</v>
      </c>
    </row>
    <row r="1638" spans="1:20" hidden="1" x14ac:dyDescent="0.3">
      <c r="A1638" t="s">
        <v>1841</v>
      </c>
      <c r="B1638" t="s">
        <v>51</v>
      </c>
      <c r="C1638" t="s">
        <v>37</v>
      </c>
      <c r="D1638" t="s">
        <v>52</v>
      </c>
      <c r="E1638">
        <v>2017</v>
      </c>
      <c r="F1638" t="s">
        <v>31</v>
      </c>
      <c r="G1638" t="s">
        <v>4912</v>
      </c>
      <c r="H1638" t="s">
        <v>2719</v>
      </c>
      <c r="I1638" t="s">
        <v>90</v>
      </c>
      <c r="J1638" t="s">
        <v>4913</v>
      </c>
      <c r="K1638" t="s">
        <v>2649</v>
      </c>
      <c r="L1638" t="s">
        <v>31</v>
      </c>
      <c r="M1638" t="s">
        <v>27</v>
      </c>
      <c r="N1638" t="s">
        <v>27</v>
      </c>
      <c r="O1638" t="s">
        <v>27</v>
      </c>
      <c r="P1638" t="s">
        <v>31</v>
      </c>
      <c r="Q1638" t="s">
        <v>31</v>
      </c>
      <c r="R1638" t="s">
        <v>31</v>
      </c>
      <c r="S1638" t="s">
        <v>31</v>
      </c>
      <c r="T1638" t="s">
        <v>31</v>
      </c>
    </row>
    <row r="1639" spans="1:20" hidden="1" x14ac:dyDescent="0.3">
      <c r="A1639" t="s">
        <v>1842</v>
      </c>
      <c r="B1639" t="s">
        <v>39</v>
      </c>
      <c r="C1639" t="s">
        <v>40</v>
      </c>
      <c r="D1639" t="s">
        <v>59</v>
      </c>
      <c r="E1639">
        <v>2017</v>
      </c>
      <c r="F1639">
        <v>13000000</v>
      </c>
      <c r="G1639" t="s">
        <v>4914</v>
      </c>
      <c r="H1639" t="s">
        <v>2645</v>
      </c>
      <c r="I1639" t="s">
        <v>34</v>
      </c>
      <c r="J1639" t="s">
        <v>4915</v>
      </c>
      <c r="K1639" t="s">
        <v>31</v>
      </c>
      <c r="L1639" t="s">
        <v>31</v>
      </c>
      <c r="M1639" t="s">
        <v>27</v>
      </c>
      <c r="N1639" t="s">
        <v>27</v>
      </c>
      <c r="O1639" t="s">
        <v>27</v>
      </c>
      <c r="P1639" t="s">
        <v>31</v>
      </c>
      <c r="Q1639" t="s">
        <v>31</v>
      </c>
      <c r="R1639" t="s">
        <v>31</v>
      </c>
      <c r="S1639" t="s">
        <v>31</v>
      </c>
      <c r="T1639" t="s">
        <v>31</v>
      </c>
    </row>
    <row r="1640" spans="1:20" hidden="1" x14ac:dyDescent="0.3">
      <c r="A1640" t="s">
        <v>1843</v>
      </c>
      <c r="B1640" t="s">
        <v>28</v>
      </c>
      <c r="C1640" t="s">
        <v>29</v>
      </c>
      <c r="D1640" t="s">
        <v>67</v>
      </c>
      <c r="E1640">
        <v>2017</v>
      </c>
      <c r="F1640">
        <v>1100000</v>
      </c>
      <c r="G1640" t="s">
        <v>31</v>
      </c>
      <c r="H1640" t="s">
        <v>2645</v>
      </c>
      <c r="I1640" t="s">
        <v>34</v>
      </c>
      <c r="J1640" t="s">
        <v>4916</v>
      </c>
      <c r="K1640" t="s">
        <v>31</v>
      </c>
      <c r="L1640" t="s">
        <v>279</v>
      </c>
      <c r="M1640" t="s">
        <v>27</v>
      </c>
      <c r="N1640" t="s">
        <v>27</v>
      </c>
      <c r="O1640" t="s">
        <v>33</v>
      </c>
      <c r="P1640" t="s">
        <v>31</v>
      </c>
      <c r="Q1640" t="s">
        <v>31</v>
      </c>
      <c r="R1640" t="s">
        <v>31</v>
      </c>
      <c r="S1640" t="s">
        <v>31</v>
      </c>
      <c r="T1640" t="s">
        <v>31</v>
      </c>
    </row>
    <row r="1641" spans="1:20" hidden="1" x14ac:dyDescent="0.3">
      <c r="A1641" t="s">
        <v>1844</v>
      </c>
      <c r="B1641" t="s">
        <v>28</v>
      </c>
      <c r="C1641" t="s">
        <v>29</v>
      </c>
      <c r="D1641" t="s">
        <v>65</v>
      </c>
      <c r="E1641">
        <v>2017</v>
      </c>
      <c r="F1641">
        <v>2200000</v>
      </c>
      <c r="G1641" t="s">
        <v>31</v>
      </c>
      <c r="H1641" t="s">
        <v>2645</v>
      </c>
      <c r="I1641" t="s">
        <v>34</v>
      </c>
      <c r="J1641" t="s">
        <v>4917</v>
      </c>
      <c r="K1641" t="s">
        <v>31</v>
      </c>
      <c r="L1641" t="s">
        <v>65</v>
      </c>
      <c r="M1641" t="s">
        <v>27</v>
      </c>
      <c r="N1641" t="s">
        <v>27</v>
      </c>
      <c r="O1641" t="s">
        <v>27</v>
      </c>
      <c r="P1641" t="s">
        <v>31</v>
      </c>
      <c r="Q1641">
        <v>130</v>
      </c>
      <c r="R1641" t="s">
        <v>31</v>
      </c>
      <c r="S1641" t="s">
        <v>31</v>
      </c>
      <c r="T1641" t="s">
        <v>31</v>
      </c>
    </row>
    <row r="1642" spans="1:20" hidden="1" x14ac:dyDescent="0.3">
      <c r="A1642" t="s">
        <v>2486</v>
      </c>
      <c r="B1642" t="s">
        <v>28</v>
      </c>
      <c r="C1642" t="s">
        <v>29</v>
      </c>
      <c r="D1642" t="s">
        <v>189</v>
      </c>
      <c r="E1642">
        <v>2017</v>
      </c>
      <c r="F1642">
        <v>1500000</v>
      </c>
      <c r="G1642" t="s">
        <v>4918</v>
      </c>
      <c r="H1642" t="s">
        <v>2645</v>
      </c>
      <c r="I1642" t="s">
        <v>34</v>
      </c>
      <c r="J1642" t="s">
        <v>4919</v>
      </c>
      <c r="K1642" t="s">
        <v>31</v>
      </c>
      <c r="L1642" t="s">
        <v>82</v>
      </c>
      <c r="M1642" t="s">
        <v>27</v>
      </c>
      <c r="N1642" t="s">
        <v>27</v>
      </c>
      <c r="O1642" t="s">
        <v>27</v>
      </c>
      <c r="P1642" t="s">
        <v>31</v>
      </c>
      <c r="Q1642" t="s">
        <v>31</v>
      </c>
      <c r="R1642" t="s">
        <v>31</v>
      </c>
      <c r="S1642" t="s">
        <v>31</v>
      </c>
      <c r="T1642" t="s">
        <v>31</v>
      </c>
    </row>
    <row r="1643" spans="1:20" hidden="1" x14ac:dyDescent="0.3">
      <c r="A1643" t="s">
        <v>2497</v>
      </c>
      <c r="B1643" t="s">
        <v>51</v>
      </c>
      <c r="C1643" t="s">
        <v>2655</v>
      </c>
      <c r="D1643" t="s">
        <v>150</v>
      </c>
      <c r="E1643">
        <v>2017</v>
      </c>
      <c r="F1643">
        <v>100000</v>
      </c>
      <c r="G1643" t="s">
        <v>4920</v>
      </c>
      <c r="H1643" t="s">
        <v>2647</v>
      </c>
      <c r="I1643" t="s">
        <v>47</v>
      </c>
      <c r="J1643" t="s">
        <v>4921</v>
      </c>
      <c r="K1643" t="s">
        <v>2725</v>
      </c>
      <c r="L1643" t="s">
        <v>31</v>
      </c>
      <c r="M1643" t="s">
        <v>33</v>
      </c>
      <c r="N1643" t="s">
        <v>27</v>
      </c>
      <c r="O1643" t="s">
        <v>33</v>
      </c>
      <c r="P1643" t="s">
        <v>31</v>
      </c>
      <c r="Q1643" t="s">
        <v>31</v>
      </c>
      <c r="R1643" t="s">
        <v>31</v>
      </c>
      <c r="S1643" t="s">
        <v>31</v>
      </c>
      <c r="T1643" t="s">
        <v>4922</v>
      </c>
    </row>
    <row r="1644" spans="1:20" hidden="1" x14ac:dyDescent="0.3">
      <c r="A1644" t="s">
        <v>2498</v>
      </c>
      <c r="B1644" t="s">
        <v>51</v>
      </c>
      <c r="C1644" t="s">
        <v>2655</v>
      </c>
      <c r="D1644" t="s">
        <v>134</v>
      </c>
      <c r="E1644">
        <v>2017</v>
      </c>
      <c r="F1644" t="s">
        <v>31</v>
      </c>
      <c r="G1644" t="s">
        <v>31</v>
      </c>
      <c r="H1644" t="s">
        <v>2719</v>
      </c>
      <c r="I1644" t="s">
        <v>90</v>
      </c>
      <c r="J1644" t="s">
        <v>4923</v>
      </c>
      <c r="K1644" t="s">
        <v>31</v>
      </c>
      <c r="L1644" t="s">
        <v>31</v>
      </c>
      <c r="M1644" t="s">
        <v>27</v>
      </c>
      <c r="N1644" t="s">
        <v>27</v>
      </c>
      <c r="O1644" t="s">
        <v>27</v>
      </c>
      <c r="P1644" t="s">
        <v>31</v>
      </c>
      <c r="Q1644" t="s">
        <v>31</v>
      </c>
      <c r="R1644" t="s">
        <v>31</v>
      </c>
      <c r="S1644" t="s">
        <v>31</v>
      </c>
      <c r="T1644" t="s">
        <v>31</v>
      </c>
    </row>
    <row r="1645" spans="1:20" hidden="1" x14ac:dyDescent="0.3">
      <c r="A1645" t="s">
        <v>2499</v>
      </c>
      <c r="B1645" t="s">
        <v>51</v>
      </c>
      <c r="C1645" t="s">
        <v>37</v>
      </c>
      <c r="D1645" t="s">
        <v>121</v>
      </c>
      <c r="E1645">
        <v>2017</v>
      </c>
      <c r="F1645" t="s">
        <v>31</v>
      </c>
      <c r="G1645" t="s">
        <v>31</v>
      </c>
      <c r="H1645" t="s">
        <v>2658</v>
      </c>
      <c r="I1645" t="s">
        <v>130</v>
      </c>
      <c r="J1645" t="s">
        <v>4924</v>
      </c>
      <c r="K1645" t="s">
        <v>31</v>
      </c>
      <c r="L1645" t="s">
        <v>31</v>
      </c>
      <c r="M1645" t="s">
        <v>27</v>
      </c>
      <c r="N1645" t="s">
        <v>27</v>
      </c>
      <c r="O1645" t="s">
        <v>27</v>
      </c>
      <c r="P1645" t="s">
        <v>31</v>
      </c>
      <c r="Q1645" t="s">
        <v>31</v>
      </c>
      <c r="R1645" t="s">
        <v>31</v>
      </c>
      <c r="S1645" t="s">
        <v>31</v>
      </c>
      <c r="T1645" t="s">
        <v>31</v>
      </c>
    </row>
    <row r="1646" spans="1:20" hidden="1" x14ac:dyDescent="0.3">
      <c r="A1646" t="s">
        <v>2500</v>
      </c>
      <c r="B1646" t="s">
        <v>28</v>
      </c>
      <c r="C1646" t="s">
        <v>29</v>
      </c>
      <c r="D1646" t="s">
        <v>65</v>
      </c>
      <c r="E1646">
        <v>2017</v>
      </c>
      <c r="F1646">
        <v>3100000</v>
      </c>
      <c r="G1646" t="s">
        <v>4925</v>
      </c>
      <c r="H1646" t="s">
        <v>2645</v>
      </c>
      <c r="I1646" t="s">
        <v>34</v>
      </c>
      <c r="J1646" t="s">
        <v>4926</v>
      </c>
      <c r="K1646" t="s">
        <v>31</v>
      </c>
      <c r="L1646" t="s">
        <v>65</v>
      </c>
      <c r="M1646" t="s">
        <v>27</v>
      </c>
      <c r="N1646" t="s">
        <v>27</v>
      </c>
      <c r="O1646" t="s">
        <v>27</v>
      </c>
      <c r="P1646" t="s">
        <v>31</v>
      </c>
      <c r="Q1646">
        <v>130</v>
      </c>
      <c r="R1646" t="s">
        <v>31</v>
      </c>
      <c r="S1646" t="s">
        <v>31</v>
      </c>
      <c r="T1646" t="s">
        <v>31</v>
      </c>
    </row>
    <row r="1647" spans="1:20" hidden="1" x14ac:dyDescent="0.3">
      <c r="A1647" t="s">
        <v>2501</v>
      </c>
      <c r="B1647" t="s">
        <v>51</v>
      </c>
      <c r="C1647" t="s">
        <v>37</v>
      </c>
      <c r="D1647" t="s">
        <v>52</v>
      </c>
      <c r="E1647">
        <v>2017</v>
      </c>
      <c r="F1647" t="s">
        <v>31</v>
      </c>
      <c r="G1647" t="s">
        <v>31</v>
      </c>
      <c r="H1647" t="s">
        <v>2658</v>
      </c>
      <c r="I1647" t="s">
        <v>130</v>
      </c>
      <c r="J1647" t="s">
        <v>4927</v>
      </c>
      <c r="K1647" t="s">
        <v>4928</v>
      </c>
      <c r="L1647" t="s">
        <v>31</v>
      </c>
      <c r="M1647" t="s">
        <v>27</v>
      </c>
      <c r="N1647" t="s">
        <v>27</v>
      </c>
      <c r="O1647" t="s">
        <v>27</v>
      </c>
      <c r="P1647" t="s">
        <v>31</v>
      </c>
      <c r="Q1647">
        <v>27377.03</v>
      </c>
      <c r="R1647">
        <v>-45.953000000000003</v>
      </c>
      <c r="S1647">
        <v>-67.938999999999993</v>
      </c>
      <c r="T1647" t="s">
        <v>31</v>
      </c>
    </row>
    <row r="1648" spans="1:20" hidden="1" x14ac:dyDescent="0.3">
      <c r="A1648" t="s">
        <v>2502</v>
      </c>
      <c r="B1648" t="s">
        <v>28</v>
      </c>
      <c r="C1648" t="s">
        <v>29</v>
      </c>
      <c r="D1648" t="s">
        <v>99</v>
      </c>
      <c r="E1648">
        <v>2017</v>
      </c>
      <c r="F1648">
        <v>2000000</v>
      </c>
      <c r="G1648" t="s">
        <v>4929</v>
      </c>
      <c r="H1648" t="s">
        <v>2645</v>
      </c>
      <c r="I1648" t="s">
        <v>34</v>
      </c>
      <c r="J1648" t="s">
        <v>4930</v>
      </c>
      <c r="K1648" t="s">
        <v>31</v>
      </c>
      <c r="L1648" t="s">
        <v>65</v>
      </c>
      <c r="M1648" t="s">
        <v>27</v>
      </c>
      <c r="N1648" t="s">
        <v>27</v>
      </c>
      <c r="O1648" t="s">
        <v>27</v>
      </c>
      <c r="P1648" t="s">
        <v>31</v>
      </c>
      <c r="Q1648">
        <v>135</v>
      </c>
      <c r="R1648" t="s">
        <v>31</v>
      </c>
      <c r="S1648" t="s">
        <v>31</v>
      </c>
      <c r="T1648" t="s">
        <v>31</v>
      </c>
    </row>
    <row r="1649" spans="1:20" hidden="1" x14ac:dyDescent="0.3">
      <c r="A1649" t="s">
        <v>2504</v>
      </c>
      <c r="B1649" t="s">
        <v>28</v>
      </c>
      <c r="C1649" t="s">
        <v>29</v>
      </c>
      <c r="D1649" t="s">
        <v>97</v>
      </c>
      <c r="E1649">
        <v>2017</v>
      </c>
      <c r="F1649">
        <v>200000</v>
      </c>
      <c r="G1649" t="s">
        <v>31</v>
      </c>
      <c r="H1649" t="s">
        <v>2645</v>
      </c>
      <c r="I1649" t="s">
        <v>34</v>
      </c>
      <c r="J1649" t="s">
        <v>4931</v>
      </c>
      <c r="K1649" t="s">
        <v>31</v>
      </c>
      <c r="L1649" t="s">
        <v>100</v>
      </c>
      <c r="M1649" t="s">
        <v>27</v>
      </c>
      <c r="N1649" t="s">
        <v>27</v>
      </c>
      <c r="O1649" t="s">
        <v>27</v>
      </c>
      <c r="P1649" t="s">
        <v>31</v>
      </c>
      <c r="Q1649" t="s">
        <v>31</v>
      </c>
      <c r="R1649" t="s">
        <v>31</v>
      </c>
      <c r="S1649" t="s">
        <v>31</v>
      </c>
      <c r="T1649" t="s">
        <v>31</v>
      </c>
    </row>
    <row r="1650" spans="1:20" hidden="1" x14ac:dyDescent="0.3">
      <c r="A1650" t="s">
        <v>2505</v>
      </c>
      <c r="B1650" t="s">
        <v>28</v>
      </c>
      <c r="C1650" t="s">
        <v>29</v>
      </c>
      <c r="D1650" t="s">
        <v>30</v>
      </c>
      <c r="E1650">
        <v>2017</v>
      </c>
      <c r="F1650">
        <v>20000</v>
      </c>
      <c r="G1650" t="s">
        <v>4812</v>
      </c>
      <c r="H1650" t="s">
        <v>3813</v>
      </c>
      <c r="I1650" t="s">
        <v>2120</v>
      </c>
      <c r="J1650" t="s">
        <v>31</v>
      </c>
      <c r="K1650" t="s">
        <v>31</v>
      </c>
      <c r="L1650" t="s">
        <v>31</v>
      </c>
      <c r="M1650" t="s">
        <v>27</v>
      </c>
      <c r="N1650" t="s">
        <v>27</v>
      </c>
      <c r="O1650" t="s">
        <v>27</v>
      </c>
      <c r="P1650" t="s">
        <v>31</v>
      </c>
      <c r="Q1650" t="s">
        <v>31</v>
      </c>
      <c r="R1650" t="s">
        <v>31</v>
      </c>
      <c r="S1650" t="s">
        <v>31</v>
      </c>
      <c r="T1650" t="s">
        <v>31</v>
      </c>
    </row>
    <row r="1651" spans="1:20" hidden="1" x14ac:dyDescent="0.3">
      <c r="A1651" t="s">
        <v>2506</v>
      </c>
      <c r="B1651" t="s">
        <v>28</v>
      </c>
      <c r="C1651" t="s">
        <v>29</v>
      </c>
      <c r="D1651" t="s">
        <v>30</v>
      </c>
      <c r="E1651">
        <v>2017</v>
      </c>
      <c r="F1651">
        <v>4100000</v>
      </c>
      <c r="G1651" t="s">
        <v>4812</v>
      </c>
      <c r="H1651" t="s">
        <v>4932</v>
      </c>
      <c r="I1651" t="s">
        <v>2507</v>
      </c>
      <c r="J1651" t="s">
        <v>31</v>
      </c>
      <c r="K1651" t="s">
        <v>31</v>
      </c>
      <c r="L1651" t="s">
        <v>31</v>
      </c>
      <c r="M1651" t="s">
        <v>33</v>
      </c>
      <c r="N1651" t="s">
        <v>27</v>
      </c>
      <c r="O1651" t="s">
        <v>27</v>
      </c>
      <c r="P1651" t="s">
        <v>31</v>
      </c>
      <c r="Q1651" t="s">
        <v>31</v>
      </c>
      <c r="R1651" t="s">
        <v>31</v>
      </c>
      <c r="S1651" t="s">
        <v>31</v>
      </c>
      <c r="T1651" t="s">
        <v>31</v>
      </c>
    </row>
    <row r="1652" spans="1:20" hidden="1" x14ac:dyDescent="0.3">
      <c r="A1652" t="s">
        <v>2508</v>
      </c>
      <c r="B1652" t="s">
        <v>28</v>
      </c>
      <c r="C1652" t="s">
        <v>29</v>
      </c>
      <c r="D1652" t="s">
        <v>30</v>
      </c>
      <c r="E1652">
        <v>2017</v>
      </c>
      <c r="F1652">
        <v>57000000</v>
      </c>
      <c r="G1652" t="s">
        <v>4812</v>
      </c>
      <c r="H1652" t="s">
        <v>2645</v>
      </c>
      <c r="I1652" t="s">
        <v>34</v>
      </c>
      <c r="J1652" t="s">
        <v>4933</v>
      </c>
      <c r="K1652" t="s">
        <v>31</v>
      </c>
      <c r="L1652" t="s">
        <v>37</v>
      </c>
      <c r="M1652" t="s">
        <v>27</v>
      </c>
      <c r="N1652" t="s">
        <v>27</v>
      </c>
      <c r="O1652" t="s">
        <v>27</v>
      </c>
      <c r="P1652" t="s">
        <v>31</v>
      </c>
      <c r="Q1652">
        <v>300</v>
      </c>
      <c r="R1652" t="s">
        <v>31</v>
      </c>
      <c r="S1652" t="s">
        <v>31</v>
      </c>
      <c r="T1652" t="s">
        <v>31</v>
      </c>
    </row>
    <row r="1653" spans="1:20" hidden="1" x14ac:dyDescent="0.3">
      <c r="A1653" t="s">
        <v>2509</v>
      </c>
      <c r="B1653" t="s">
        <v>28</v>
      </c>
      <c r="C1653" t="s">
        <v>29</v>
      </c>
      <c r="D1653" t="s">
        <v>30</v>
      </c>
      <c r="E1653">
        <v>2017</v>
      </c>
      <c r="F1653">
        <v>44000</v>
      </c>
      <c r="G1653" t="s">
        <v>4804</v>
      </c>
      <c r="H1653" t="s">
        <v>3557</v>
      </c>
      <c r="I1653" t="s">
        <v>244</v>
      </c>
      <c r="J1653" t="s">
        <v>4934</v>
      </c>
      <c r="K1653" t="s">
        <v>31</v>
      </c>
      <c r="L1653" t="s">
        <v>54</v>
      </c>
      <c r="M1653" t="s">
        <v>27</v>
      </c>
      <c r="N1653" t="s">
        <v>27</v>
      </c>
      <c r="O1653" t="s">
        <v>27</v>
      </c>
      <c r="P1653" t="s">
        <v>31</v>
      </c>
      <c r="Q1653" t="s">
        <v>31</v>
      </c>
      <c r="R1653" t="s">
        <v>31</v>
      </c>
      <c r="S1653" t="s">
        <v>31</v>
      </c>
      <c r="T1653" t="s">
        <v>31</v>
      </c>
    </row>
    <row r="1654" spans="1:20" hidden="1" x14ac:dyDescent="0.3">
      <c r="A1654" t="s">
        <v>2510</v>
      </c>
      <c r="B1654" t="s">
        <v>28</v>
      </c>
      <c r="C1654" t="s">
        <v>29</v>
      </c>
      <c r="D1654" t="s">
        <v>30</v>
      </c>
      <c r="E1654">
        <v>2017</v>
      </c>
      <c r="F1654" t="s">
        <v>31</v>
      </c>
      <c r="G1654" t="s">
        <v>4804</v>
      </c>
      <c r="H1654" t="s">
        <v>2645</v>
      </c>
      <c r="I1654" t="s">
        <v>34</v>
      </c>
      <c r="J1654" t="s">
        <v>4935</v>
      </c>
      <c r="K1654" t="s">
        <v>31</v>
      </c>
      <c r="L1654" t="s">
        <v>31</v>
      </c>
      <c r="M1654" t="s">
        <v>27</v>
      </c>
      <c r="N1654" t="s">
        <v>27</v>
      </c>
      <c r="O1654" t="s">
        <v>27</v>
      </c>
      <c r="P1654" t="s">
        <v>31</v>
      </c>
      <c r="Q1654" t="s">
        <v>31</v>
      </c>
      <c r="R1654" t="s">
        <v>31</v>
      </c>
      <c r="S1654" t="s">
        <v>31</v>
      </c>
      <c r="T1654" t="s">
        <v>31</v>
      </c>
    </row>
    <row r="1655" spans="1:20" hidden="1" x14ac:dyDescent="0.3">
      <c r="A1655" t="s">
        <v>2511</v>
      </c>
      <c r="B1655" t="s">
        <v>28</v>
      </c>
      <c r="C1655" t="s">
        <v>29</v>
      </c>
      <c r="D1655" t="s">
        <v>30</v>
      </c>
      <c r="E1655">
        <v>2017</v>
      </c>
      <c r="F1655">
        <v>185000</v>
      </c>
      <c r="G1655" t="s">
        <v>4871</v>
      </c>
      <c r="H1655" t="s">
        <v>2695</v>
      </c>
      <c r="I1655" t="s">
        <v>161</v>
      </c>
      <c r="J1655" t="s">
        <v>4936</v>
      </c>
      <c r="K1655" t="s">
        <v>31</v>
      </c>
      <c r="L1655" t="s">
        <v>82</v>
      </c>
      <c r="M1655" t="s">
        <v>33</v>
      </c>
      <c r="N1655" t="s">
        <v>27</v>
      </c>
      <c r="O1655" t="s">
        <v>33</v>
      </c>
      <c r="P1655" t="s">
        <v>31</v>
      </c>
      <c r="Q1655" t="s">
        <v>31</v>
      </c>
      <c r="R1655" t="s">
        <v>31</v>
      </c>
      <c r="S1655" t="s">
        <v>31</v>
      </c>
      <c r="T1655" t="s">
        <v>4937</v>
      </c>
    </row>
    <row r="1656" spans="1:20" hidden="1" x14ac:dyDescent="0.3">
      <c r="A1656" t="s">
        <v>2512</v>
      </c>
      <c r="B1656" t="s">
        <v>28</v>
      </c>
      <c r="C1656" t="s">
        <v>29</v>
      </c>
      <c r="D1656" t="s">
        <v>30</v>
      </c>
      <c r="E1656">
        <v>2017</v>
      </c>
      <c r="F1656" t="s">
        <v>31</v>
      </c>
      <c r="G1656" t="s">
        <v>4871</v>
      </c>
      <c r="H1656" t="s">
        <v>2675</v>
      </c>
      <c r="I1656" t="s">
        <v>81</v>
      </c>
      <c r="J1656" t="s">
        <v>4938</v>
      </c>
      <c r="K1656" t="s">
        <v>31</v>
      </c>
      <c r="L1656" t="s">
        <v>31</v>
      </c>
      <c r="M1656" t="s">
        <v>27</v>
      </c>
      <c r="N1656" t="s">
        <v>27</v>
      </c>
      <c r="O1656" t="s">
        <v>27</v>
      </c>
      <c r="P1656" t="s">
        <v>31</v>
      </c>
      <c r="Q1656" t="s">
        <v>31</v>
      </c>
      <c r="R1656" t="s">
        <v>31</v>
      </c>
      <c r="S1656" t="s">
        <v>31</v>
      </c>
      <c r="T1656" t="s">
        <v>31</v>
      </c>
    </row>
    <row r="1657" spans="1:20" hidden="1" x14ac:dyDescent="0.3">
      <c r="A1657" t="s">
        <v>2513</v>
      </c>
      <c r="B1657" t="s">
        <v>28</v>
      </c>
      <c r="C1657" t="s">
        <v>29</v>
      </c>
      <c r="D1657" t="s">
        <v>30</v>
      </c>
      <c r="E1657">
        <v>2017</v>
      </c>
      <c r="F1657">
        <v>250000</v>
      </c>
      <c r="G1657" t="s">
        <v>4871</v>
      </c>
      <c r="H1657" t="s">
        <v>2645</v>
      </c>
      <c r="I1657" t="s">
        <v>34</v>
      </c>
      <c r="J1657" t="s">
        <v>4939</v>
      </c>
      <c r="K1657" t="s">
        <v>31</v>
      </c>
      <c r="L1657" t="s">
        <v>31</v>
      </c>
      <c r="M1657" t="s">
        <v>27</v>
      </c>
      <c r="N1657" t="s">
        <v>27</v>
      </c>
      <c r="O1657" t="s">
        <v>27</v>
      </c>
      <c r="P1657" t="s">
        <v>31</v>
      </c>
      <c r="Q1657">
        <v>140</v>
      </c>
      <c r="R1657" t="s">
        <v>31</v>
      </c>
      <c r="S1657" t="s">
        <v>31</v>
      </c>
      <c r="T1657" t="s">
        <v>31</v>
      </c>
    </row>
    <row r="1658" spans="1:20" hidden="1" x14ac:dyDescent="0.3">
      <c r="A1658" t="s">
        <v>2514</v>
      </c>
      <c r="B1658" t="s">
        <v>51</v>
      </c>
      <c r="C1658" t="s">
        <v>37</v>
      </c>
      <c r="D1658" t="s">
        <v>52</v>
      </c>
      <c r="E1658">
        <v>2017</v>
      </c>
      <c r="F1658" t="s">
        <v>31</v>
      </c>
      <c r="G1658" t="s">
        <v>4940</v>
      </c>
      <c r="H1658" t="s">
        <v>2719</v>
      </c>
      <c r="I1658" t="s">
        <v>90</v>
      </c>
      <c r="J1658" t="s">
        <v>4941</v>
      </c>
      <c r="K1658" t="s">
        <v>3723</v>
      </c>
      <c r="L1658" t="s">
        <v>31</v>
      </c>
      <c r="M1658" t="s">
        <v>27</v>
      </c>
      <c r="N1658" t="s">
        <v>27</v>
      </c>
      <c r="O1658" t="s">
        <v>27</v>
      </c>
      <c r="P1658" t="s">
        <v>31</v>
      </c>
      <c r="Q1658" t="s">
        <v>31</v>
      </c>
      <c r="R1658" t="s">
        <v>31</v>
      </c>
      <c r="S1658" t="s">
        <v>31</v>
      </c>
      <c r="T1658" t="s">
        <v>4942</v>
      </c>
    </row>
    <row r="1659" spans="1:20" hidden="1" x14ac:dyDescent="0.3">
      <c r="A1659" t="s">
        <v>2515</v>
      </c>
      <c r="B1659" t="s">
        <v>51</v>
      </c>
      <c r="C1659" t="s">
        <v>37</v>
      </c>
      <c r="D1659" t="s">
        <v>52</v>
      </c>
      <c r="E1659">
        <v>2017</v>
      </c>
      <c r="F1659" t="s">
        <v>31</v>
      </c>
      <c r="G1659" t="s">
        <v>4940</v>
      </c>
      <c r="H1659" t="s">
        <v>2753</v>
      </c>
      <c r="I1659" t="s">
        <v>49</v>
      </c>
      <c r="J1659" t="s">
        <v>4943</v>
      </c>
      <c r="K1659" t="s">
        <v>31</v>
      </c>
      <c r="L1659" t="s">
        <v>402</v>
      </c>
      <c r="M1659" t="s">
        <v>27</v>
      </c>
      <c r="N1659" t="s">
        <v>27</v>
      </c>
      <c r="O1659" t="s">
        <v>27</v>
      </c>
      <c r="P1659" t="s">
        <v>31</v>
      </c>
      <c r="Q1659" t="s">
        <v>31</v>
      </c>
      <c r="R1659" t="s">
        <v>31</v>
      </c>
      <c r="S1659" t="s">
        <v>31</v>
      </c>
      <c r="T1659" t="s">
        <v>31</v>
      </c>
    </row>
    <row r="1660" spans="1:20" hidden="1" x14ac:dyDescent="0.3">
      <c r="A1660" t="s">
        <v>2517</v>
      </c>
      <c r="B1660" t="s">
        <v>51</v>
      </c>
      <c r="C1660" t="s">
        <v>37</v>
      </c>
      <c r="D1660" t="s">
        <v>52</v>
      </c>
      <c r="E1660">
        <v>2017</v>
      </c>
      <c r="F1660" t="s">
        <v>31</v>
      </c>
      <c r="G1660" t="s">
        <v>4940</v>
      </c>
      <c r="H1660" t="s">
        <v>2675</v>
      </c>
      <c r="I1660" t="s">
        <v>81</v>
      </c>
      <c r="J1660" t="s">
        <v>4944</v>
      </c>
      <c r="K1660" t="s">
        <v>31</v>
      </c>
      <c r="L1660" t="s">
        <v>31</v>
      </c>
      <c r="M1660" t="s">
        <v>27</v>
      </c>
      <c r="N1660" t="s">
        <v>27</v>
      </c>
      <c r="O1660" t="s">
        <v>27</v>
      </c>
      <c r="P1660" t="s">
        <v>31</v>
      </c>
      <c r="Q1660" t="s">
        <v>31</v>
      </c>
      <c r="R1660" t="s">
        <v>31</v>
      </c>
      <c r="S1660" t="s">
        <v>31</v>
      </c>
      <c r="T1660" t="s">
        <v>4945</v>
      </c>
    </row>
    <row r="1661" spans="1:20" hidden="1" x14ac:dyDescent="0.3">
      <c r="A1661" t="s">
        <v>2518</v>
      </c>
      <c r="B1661" t="s">
        <v>51</v>
      </c>
      <c r="C1661" t="s">
        <v>37</v>
      </c>
      <c r="D1661" t="s">
        <v>52</v>
      </c>
      <c r="E1661">
        <v>2017</v>
      </c>
      <c r="F1661" t="s">
        <v>31</v>
      </c>
      <c r="G1661" t="s">
        <v>4946</v>
      </c>
      <c r="H1661" t="s">
        <v>2719</v>
      </c>
      <c r="I1661" t="s">
        <v>90</v>
      </c>
      <c r="J1661" t="s">
        <v>4947</v>
      </c>
      <c r="K1661" t="s">
        <v>4948</v>
      </c>
      <c r="L1661" t="s">
        <v>31</v>
      </c>
      <c r="M1661" t="s">
        <v>27</v>
      </c>
      <c r="N1661" t="s">
        <v>27</v>
      </c>
      <c r="O1661" t="s">
        <v>27</v>
      </c>
      <c r="P1661" t="s">
        <v>31</v>
      </c>
      <c r="Q1661" t="s">
        <v>31</v>
      </c>
      <c r="R1661" t="s">
        <v>31</v>
      </c>
      <c r="S1661" t="s">
        <v>31</v>
      </c>
      <c r="T1661" t="s">
        <v>4949</v>
      </c>
    </row>
    <row r="1662" spans="1:20" hidden="1" x14ac:dyDescent="0.3">
      <c r="A1662" t="s">
        <v>2519</v>
      </c>
      <c r="B1662" t="s">
        <v>51</v>
      </c>
      <c r="C1662" t="s">
        <v>37</v>
      </c>
      <c r="D1662" t="s">
        <v>52</v>
      </c>
      <c r="E1662">
        <v>2017</v>
      </c>
      <c r="F1662" t="s">
        <v>31</v>
      </c>
      <c r="G1662" t="s">
        <v>31</v>
      </c>
      <c r="H1662" t="s">
        <v>2647</v>
      </c>
      <c r="I1662" t="s">
        <v>47</v>
      </c>
      <c r="J1662" t="s">
        <v>4950</v>
      </c>
      <c r="K1662" t="s">
        <v>2649</v>
      </c>
      <c r="L1662" t="s">
        <v>54</v>
      </c>
      <c r="M1662" t="s">
        <v>27</v>
      </c>
      <c r="N1662" t="s">
        <v>27</v>
      </c>
      <c r="O1662" t="s">
        <v>27</v>
      </c>
      <c r="P1662" t="s">
        <v>31</v>
      </c>
      <c r="Q1662" t="s">
        <v>31</v>
      </c>
      <c r="R1662" t="s">
        <v>31</v>
      </c>
      <c r="S1662" t="s">
        <v>31</v>
      </c>
      <c r="T1662" t="s">
        <v>4951</v>
      </c>
    </row>
    <row r="1663" spans="1:20" hidden="1" x14ac:dyDescent="0.3">
      <c r="A1663" t="s">
        <v>2520</v>
      </c>
      <c r="B1663" t="s">
        <v>51</v>
      </c>
      <c r="C1663" t="s">
        <v>37</v>
      </c>
      <c r="D1663" t="s">
        <v>121</v>
      </c>
      <c r="E1663">
        <v>2017</v>
      </c>
      <c r="F1663" t="s">
        <v>31</v>
      </c>
      <c r="G1663" t="s">
        <v>4952</v>
      </c>
      <c r="H1663" t="s">
        <v>2672</v>
      </c>
      <c r="I1663" t="s">
        <v>73</v>
      </c>
      <c r="J1663" t="s">
        <v>4953</v>
      </c>
      <c r="K1663" t="s">
        <v>2649</v>
      </c>
      <c r="L1663" t="s">
        <v>31</v>
      </c>
      <c r="M1663" t="s">
        <v>27</v>
      </c>
      <c r="N1663" t="s">
        <v>27</v>
      </c>
      <c r="O1663" t="s">
        <v>27</v>
      </c>
      <c r="P1663" t="s">
        <v>31</v>
      </c>
      <c r="Q1663">
        <v>57674.59</v>
      </c>
      <c r="R1663">
        <v>23.917000000000002</v>
      </c>
      <c r="S1663">
        <v>-98.308000000000007</v>
      </c>
      <c r="T1663" t="s">
        <v>31</v>
      </c>
    </row>
    <row r="1664" spans="1:20" hidden="1" x14ac:dyDescent="0.3">
      <c r="A1664" t="s">
        <v>2521</v>
      </c>
      <c r="B1664" t="s">
        <v>39</v>
      </c>
      <c r="C1664" t="s">
        <v>40</v>
      </c>
      <c r="D1664" t="s">
        <v>142</v>
      </c>
      <c r="E1664">
        <v>2017</v>
      </c>
      <c r="F1664">
        <v>2200000</v>
      </c>
      <c r="G1664" t="s">
        <v>31</v>
      </c>
      <c r="H1664" t="s">
        <v>2645</v>
      </c>
      <c r="I1664" t="s">
        <v>34</v>
      </c>
      <c r="J1664" t="s">
        <v>4954</v>
      </c>
      <c r="K1664" t="s">
        <v>4955</v>
      </c>
      <c r="L1664" t="s">
        <v>31</v>
      </c>
      <c r="M1664" t="s">
        <v>27</v>
      </c>
      <c r="N1664" t="s">
        <v>27</v>
      </c>
      <c r="O1664" t="s">
        <v>33</v>
      </c>
      <c r="P1664" t="s">
        <v>31</v>
      </c>
      <c r="Q1664">
        <v>1101.5</v>
      </c>
      <c r="R1664" t="s">
        <v>31</v>
      </c>
      <c r="S1664" t="s">
        <v>31</v>
      </c>
      <c r="T1664" t="s">
        <v>31</v>
      </c>
    </row>
    <row r="1665" spans="1:20" hidden="1" x14ac:dyDescent="0.3">
      <c r="A1665" t="s">
        <v>2522</v>
      </c>
      <c r="B1665" t="s">
        <v>28</v>
      </c>
      <c r="C1665" t="s">
        <v>29</v>
      </c>
      <c r="D1665" t="s">
        <v>99</v>
      </c>
      <c r="E1665">
        <v>2017</v>
      </c>
      <c r="F1665">
        <v>260000</v>
      </c>
      <c r="G1665" t="s">
        <v>31</v>
      </c>
      <c r="H1665" t="s">
        <v>2645</v>
      </c>
      <c r="I1665" t="s">
        <v>34</v>
      </c>
      <c r="J1665" t="s">
        <v>4956</v>
      </c>
      <c r="K1665" t="s">
        <v>31</v>
      </c>
      <c r="L1665" t="s">
        <v>65</v>
      </c>
      <c r="M1665" t="s">
        <v>27</v>
      </c>
      <c r="N1665" t="s">
        <v>27</v>
      </c>
      <c r="O1665" t="s">
        <v>33</v>
      </c>
      <c r="P1665" t="s">
        <v>31</v>
      </c>
      <c r="Q1665" t="s">
        <v>31</v>
      </c>
      <c r="R1665" t="s">
        <v>31</v>
      </c>
      <c r="S1665" t="s">
        <v>31</v>
      </c>
      <c r="T1665" t="s">
        <v>31</v>
      </c>
    </row>
    <row r="1666" spans="1:20" hidden="1" x14ac:dyDescent="0.3">
      <c r="A1666" t="s">
        <v>2523</v>
      </c>
      <c r="B1666" t="s">
        <v>51</v>
      </c>
      <c r="C1666" t="s">
        <v>2655</v>
      </c>
      <c r="D1666" t="s">
        <v>134</v>
      </c>
      <c r="E1666">
        <v>2017</v>
      </c>
      <c r="F1666" t="s">
        <v>31</v>
      </c>
      <c r="G1666" t="s">
        <v>31</v>
      </c>
      <c r="H1666" t="s">
        <v>2701</v>
      </c>
      <c r="I1666" t="s">
        <v>60</v>
      </c>
      <c r="J1666" t="s">
        <v>4957</v>
      </c>
      <c r="K1666" t="s">
        <v>2649</v>
      </c>
      <c r="L1666" t="s">
        <v>37</v>
      </c>
      <c r="M1666" t="s">
        <v>27</v>
      </c>
      <c r="N1666" t="s">
        <v>27</v>
      </c>
      <c r="O1666" t="s">
        <v>27</v>
      </c>
      <c r="P1666" t="s">
        <v>31</v>
      </c>
      <c r="Q1666" t="s">
        <v>31</v>
      </c>
      <c r="R1666" t="s">
        <v>31</v>
      </c>
      <c r="S1666" t="s">
        <v>31</v>
      </c>
      <c r="T1666" t="s">
        <v>4958</v>
      </c>
    </row>
    <row r="1667" spans="1:20" hidden="1" x14ac:dyDescent="0.3">
      <c r="A1667" t="s">
        <v>2524</v>
      </c>
      <c r="B1667" t="s">
        <v>28</v>
      </c>
      <c r="C1667" t="s">
        <v>29</v>
      </c>
      <c r="D1667" t="s">
        <v>97</v>
      </c>
      <c r="E1667">
        <v>2017</v>
      </c>
      <c r="F1667">
        <v>2700000</v>
      </c>
      <c r="G1667" t="s">
        <v>31</v>
      </c>
      <c r="H1667" t="s">
        <v>2645</v>
      </c>
      <c r="I1667" t="s">
        <v>34</v>
      </c>
      <c r="J1667" t="s">
        <v>4959</v>
      </c>
      <c r="K1667" t="s">
        <v>31</v>
      </c>
      <c r="L1667" t="s">
        <v>100</v>
      </c>
      <c r="M1667" t="s">
        <v>27</v>
      </c>
      <c r="N1667" t="s">
        <v>27</v>
      </c>
      <c r="O1667" t="s">
        <v>27</v>
      </c>
      <c r="P1667" t="s">
        <v>31</v>
      </c>
      <c r="Q1667">
        <v>175</v>
      </c>
      <c r="R1667" t="s">
        <v>31</v>
      </c>
      <c r="S1667" t="s">
        <v>31</v>
      </c>
      <c r="T1667" t="s">
        <v>31</v>
      </c>
    </row>
    <row r="1668" spans="1:20" hidden="1" x14ac:dyDescent="0.3">
      <c r="A1668" t="s">
        <v>156</v>
      </c>
      <c r="B1668" t="s">
        <v>39</v>
      </c>
      <c r="C1668" t="s">
        <v>157</v>
      </c>
      <c r="D1668" t="s">
        <v>157</v>
      </c>
      <c r="E1668">
        <v>2018</v>
      </c>
      <c r="F1668">
        <v>3000000</v>
      </c>
      <c r="G1668" t="s">
        <v>31</v>
      </c>
      <c r="H1668" t="s">
        <v>2645</v>
      </c>
      <c r="I1668" t="s">
        <v>34</v>
      </c>
      <c r="J1668" t="s">
        <v>4960</v>
      </c>
      <c r="K1668" t="s">
        <v>31</v>
      </c>
      <c r="L1668" t="s">
        <v>31</v>
      </c>
      <c r="M1668" t="s">
        <v>27</v>
      </c>
      <c r="N1668" t="s">
        <v>27</v>
      </c>
      <c r="O1668" t="s">
        <v>27</v>
      </c>
      <c r="P1668" t="s">
        <v>31</v>
      </c>
      <c r="Q1668" t="s">
        <v>31</v>
      </c>
      <c r="R1668" t="s">
        <v>31</v>
      </c>
      <c r="S1668" t="s">
        <v>31</v>
      </c>
      <c r="T1668" t="s">
        <v>31</v>
      </c>
    </row>
    <row r="1669" spans="1:20" hidden="1" x14ac:dyDescent="0.3">
      <c r="A1669" t="s">
        <v>158</v>
      </c>
      <c r="B1669" t="s">
        <v>39</v>
      </c>
      <c r="C1669" t="s">
        <v>157</v>
      </c>
      <c r="D1669" t="s">
        <v>157</v>
      </c>
      <c r="E1669">
        <v>2018</v>
      </c>
      <c r="F1669">
        <v>37000</v>
      </c>
      <c r="G1669" t="s">
        <v>31</v>
      </c>
      <c r="H1669" t="s">
        <v>2680</v>
      </c>
      <c r="I1669" t="s">
        <v>115</v>
      </c>
      <c r="J1669" t="s">
        <v>4961</v>
      </c>
      <c r="K1669" t="s">
        <v>4962</v>
      </c>
      <c r="L1669" t="s">
        <v>95</v>
      </c>
      <c r="M1669" t="s">
        <v>27</v>
      </c>
      <c r="N1669" t="s">
        <v>27</v>
      </c>
      <c r="O1669" t="s">
        <v>27</v>
      </c>
      <c r="P1669" t="s">
        <v>31</v>
      </c>
      <c r="Q1669" t="s">
        <v>31</v>
      </c>
      <c r="R1669" t="s">
        <v>31</v>
      </c>
      <c r="S1669" t="s">
        <v>31</v>
      </c>
      <c r="T1669" t="s">
        <v>31</v>
      </c>
    </row>
    <row r="1670" spans="1:20" hidden="1" x14ac:dyDescent="0.3">
      <c r="A1670" t="s">
        <v>159</v>
      </c>
      <c r="B1670" t="s">
        <v>39</v>
      </c>
      <c r="C1670" t="s">
        <v>157</v>
      </c>
      <c r="D1670" t="s">
        <v>157</v>
      </c>
      <c r="E1670">
        <v>2018</v>
      </c>
      <c r="F1670" t="s">
        <v>31</v>
      </c>
      <c r="G1670" t="s">
        <v>31</v>
      </c>
      <c r="H1670" t="s">
        <v>2753</v>
      </c>
      <c r="I1670" t="s">
        <v>49</v>
      </c>
      <c r="J1670" t="s">
        <v>31</v>
      </c>
      <c r="K1670" t="s">
        <v>3910</v>
      </c>
      <c r="L1670" t="s">
        <v>31</v>
      </c>
      <c r="M1670" t="s">
        <v>27</v>
      </c>
      <c r="N1670" t="s">
        <v>27</v>
      </c>
      <c r="O1670" t="s">
        <v>27</v>
      </c>
      <c r="P1670" t="s">
        <v>31</v>
      </c>
      <c r="Q1670" t="s">
        <v>31</v>
      </c>
      <c r="R1670" t="s">
        <v>31</v>
      </c>
      <c r="S1670" t="s">
        <v>31</v>
      </c>
      <c r="T1670" t="s">
        <v>31</v>
      </c>
    </row>
    <row r="1671" spans="1:20" hidden="1" x14ac:dyDescent="0.3">
      <c r="A1671" t="s">
        <v>162</v>
      </c>
      <c r="B1671" t="s">
        <v>39</v>
      </c>
      <c r="C1671" t="s">
        <v>157</v>
      </c>
      <c r="D1671" t="s">
        <v>157</v>
      </c>
      <c r="E1671">
        <v>2018</v>
      </c>
      <c r="F1671">
        <v>3400000</v>
      </c>
      <c r="G1671" t="s">
        <v>31</v>
      </c>
      <c r="H1671" t="s">
        <v>2658</v>
      </c>
      <c r="I1671" t="s">
        <v>130</v>
      </c>
      <c r="J1671" t="s">
        <v>4963</v>
      </c>
      <c r="K1671" t="s">
        <v>31</v>
      </c>
      <c r="L1671" t="s">
        <v>31</v>
      </c>
      <c r="M1671" t="s">
        <v>27</v>
      </c>
      <c r="N1671" t="s">
        <v>27</v>
      </c>
      <c r="O1671" t="s">
        <v>27</v>
      </c>
      <c r="P1671" t="s">
        <v>31</v>
      </c>
      <c r="Q1671" t="s">
        <v>31</v>
      </c>
      <c r="R1671" t="s">
        <v>31</v>
      </c>
      <c r="S1671" t="s">
        <v>31</v>
      </c>
      <c r="T1671" t="s">
        <v>31</v>
      </c>
    </row>
    <row r="1672" spans="1:20" hidden="1" x14ac:dyDescent="0.3">
      <c r="A1672" t="s">
        <v>164</v>
      </c>
      <c r="B1672" t="s">
        <v>51</v>
      </c>
      <c r="C1672" t="s">
        <v>37</v>
      </c>
      <c r="D1672" t="s">
        <v>121</v>
      </c>
      <c r="E1672">
        <v>2018</v>
      </c>
      <c r="F1672">
        <v>400000</v>
      </c>
      <c r="G1672" t="s">
        <v>31</v>
      </c>
      <c r="H1672" t="s">
        <v>2645</v>
      </c>
      <c r="I1672" t="s">
        <v>34</v>
      </c>
      <c r="J1672" t="s">
        <v>4964</v>
      </c>
      <c r="K1672" t="s">
        <v>2649</v>
      </c>
      <c r="L1672" t="s">
        <v>29</v>
      </c>
      <c r="M1672" t="s">
        <v>27</v>
      </c>
      <c r="N1672" t="s">
        <v>27</v>
      </c>
      <c r="O1672" t="s">
        <v>33</v>
      </c>
      <c r="P1672" t="s">
        <v>31</v>
      </c>
      <c r="Q1672" t="s">
        <v>31</v>
      </c>
      <c r="R1672" t="s">
        <v>31</v>
      </c>
      <c r="S1672" t="s">
        <v>31</v>
      </c>
      <c r="T1672" t="s">
        <v>31</v>
      </c>
    </row>
    <row r="1673" spans="1:20" hidden="1" x14ac:dyDescent="0.3">
      <c r="A1673" t="s">
        <v>170</v>
      </c>
      <c r="B1673" t="s">
        <v>28</v>
      </c>
      <c r="C1673" t="s">
        <v>29</v>
      </c>
      <c r="D1673" t="s">
        <v>97</v>
      </c>
      <c r="E1673">
        <v>2018</v>
      </c>
      <c r="F1673">
        <v>325000</v>
      </c>
      <c r="G1673" t="s">
        <v>31</v>
      </c>
      <c r="H1673" t="s">
        <v>2739</v>
      </c>
      <c r="I1673" t="s">
        <v>77</v>
      </c>
      <c r="J1673" t="s">
        <v>4965</v>
      </c>
      <c r="K1673" t="s">
        <v>31</v>
      </c>
      <c r="L1673" t="s">
        <v>31</v>
      </c>
      <c r="M1673" t="s">
        <v>27</v>
      </c>
      <c r="N1673" t="s">
        <v>27</v>
      </c>
      <c r="O1673" t="s">
        <v>27</v>
      </c>
      <c r="P1673" t="s">
        <v>31</v>
      </c>
      <c r="Q1673">
        <v>250</v>
      </c>
      <c r="R1673" t="s">
        <v>31</v>
      </c>
      <c r="S1673" t="s">
        <v>31</v>
      </c>
      <c r="T1673" t="s">
        <v>31</v>
      </c>
    </row>
    <row r="1674" spans="1:20" hidden="1" x14ac:dyDescent="0.3">
      <c r="A1674" t="s">
        <v>174</v>
      </c>
      <c r="B1674" t="s">
        <v>91</v>
      </c>
      <c r="C1674" t="s">
        <v>92</v>
      </c>
      <c r="D1674" t="s">
        <v>93</v>
      </c>
      <c r="E1674">
        <v>2018</v>
      </c>
      <c r="F1674" t="s">
        <v>31</v>
      </c>
      <c r="G1674" t="s">
        <v>4966</v>
      </c>
      <c r="H1674" t="s">
        <v>2672</v>
      </c>
      <c r="I1674" t="s">
        <v>73</v>
      </c>
      <c r="J1674" t="s">
        <v>4967</v>
      </c>
      <c r="K1674" t="s">
        <v>31</v>
      </c>
      <c r="L1674" t="s">
        <v>31</v>
      </c>
      <c r="M1674" t="s">
        <v>27</v>
      </c>
      <c r="N1674" t="s">
        <v>27</v>
      </c>
      <c r="O1674" t="s">
        <v>27</v>
      </c>
      <c r="P1674" t="s">
        <v>31</v>
      </c>
      <c r="Q1674">
        <v>7.2</v>
      </c>
      <c r="R1674">
        <v>16.646000000000001</v>
      </c>
      <c r="S1674">
        <v>-97.653000000000006</v>
      </c>
      <c r="T1674" t="s">
        <v>31</v>
      </c>
    </row>
    <row r="1675" spans="1:20" hidden="1" x14ac:dyDescent="0.3">
      <c r="A1675" t="s">
        <v>175</v>
      </c>
      <c r="B1675" t="s">
        <v>39</v>
      </c>
      <c r="C1675" t="s">
        <v>40</v>
      </c>
      <c r="D1675" t="s">
        <v>41</v>
      </c>
      <c r="E1675">
        <v>2018</v>
      </c>
      <c r="F1675" t="s">
        <v>31</v>
      </c>
      <c r="G1675" t="s">
        <v>31</v>
      </c>
      <c r="H1675" t="s">
        <v>2739</v>
      </c>
      <c r="I1675" t="s">
        <v>77</v>
      </c>
      <c r="J1675" t="s">
        <v>4968</v>
      </c>
      <c r="K1675" t="s">
        <v>31</v>
      </c>
      <c r="L1675" t="s">
        <v>176</v>
      </c>
      <c r="M1675" t="s">
        <v>27</v>
      </c>
      <c r="N1675" t="s">
        <v>27</v>
      </c>
      <c r="O1675" t="s">
        <v>33</v>
      </c>
      <c r="P1675" t="s">
        <v>31</v>
      </c>
      <c r="Q1675" t="s">
        <v>31</v>
      </c>
      <c r="R1675" t="s">
        <v>31</v>
      </c>
      <c r="S1675" t="s">
        <v>31</v>
      </c>
      <c r="T1675" t="s">
        <v>31</v>
      </c>
    </row>
    <row r="1676" spans="1:20" hidden="1" x14ac:dyDescent="0.3">
      <c r="A1676" t="s">
        <v>178</v>
      </c>
      <c r="B1676" t="s">
        <v>28</v>
      </c>
      <c r="C1676" t="s">
        <v>29</v>
      </c>
      <c r="D1676" t="s">
        <v>30</v>
      </c>
      <c r="E1676">
        <v>2018</v>
      </c>
      <c r="F1676">
        <v>125000</v>
      </c>
      <c r="G1676" t="s">
        <v>31</v>
      </c>
      <c r="H1676" t="s">
        <v>2645</v>
      </c>
      <c r="I1676" t="s">
        <v>34</v>
      </c>
      <c r="J1676" t="s">
        <v>4970</v>
      </c>
      <c r="K1676" t="s">
        <v>31</v>
      </c>
      <c r="L1676" t="s">
        <v>31</v>
      </c>
      <c r="M1676" t="s">
        <v>27</v>
      </c>
      <c r="N1676" t="s">
        <v>27</v>
      </c>
      <c r="O1676" t="s">
        <v>27</v>
      </c>
      <c r="P1676" t="s">
        <v>31</v>
      </c>
      <c r="Q1676" t="s">
        <v>31</v>
      </c>
      <c r="R1676" t="s">
        <v>31</v>
      </c>
      <c r="S1676" t="s">
        <v>31</v>
      </c>
      <c r="T1676" t="s">
        <v>31</v>
      </c>
    </row>
    <row r="1677" spans="1:20" hidden="1" x14ac:dyDescent="0.3">
      <c r="A1677" t="s">
        <v>179</v>
      </c>
      <c r="B1677" t="s">
        <v>91</v>
      </c>
      <c r="C1677" t="s">
        <v>2712</v>
      </c>
      <c r="D1677" t="s">
        <v>180</v>
      </c>
      <c r="E1677">
        <v>2018</v>
      </c>
      <c r="F1677" t="s">
        <v>31</v>
      </c>
      <c r="G1677" t="s">
        <v>4971</v>
      </c>
      <c r="H1677" t="s">
        <v>2719</v>
      </c>
      <c r="I1677" t="s">
        <v>90</v>
      </c>
      <c r="J1677" t="s">
        <v>4972</v>
      </c>
      <c r="K1677" t="s">
        <v>31</v>
      </c>
      <c r="L1677" t="s">
        <v>181</v>
      </c>
      <c r="M1677" t="s">
        <v>33</v>
      </c>
      <c r="N1677" t="s">
        <v>27</v>
      </c>
      <c r="O1677" t="s">
        <v>33</v>
      </c>
      <c r="P1677">
        <v>10000</v>
      </c>
      <c r="Q1677" t="s">
        <v>31</v>
      </c>
      <c r="R1677" t="s">
        <v>31</v>
      </c>
      <c r="S1677" t="s">
        <v>31</v>
      </c>
      <c r="T1677" t="s">
        <v>31</v>
      </c>
    </row>
    <row r="1678" spans="1:20" hidden="1" x14ac:dyDescent="0.3">
      <c r="A1678" t="s">
        <v>182</v>
      </c>
      <c r="B1678" t="s">
        <v>51</v>
      </c>
      <c r="C1678" t="s">
        <v>37</v>
      </c>
      <c r="D1678" t="s">
        <v>56</v>
      </c>
      <c r="E1678">
        <v>2018</v>
      </c>
      <c r="F1678" t="s">
        <v>31</v>
      </c>
      <c r="G1678" t="s">
        <v>4973</v>
      </c>
      <c r="H1678" t="s">
        <v>2719</v>
      </c>
      <c r="I1678" t="s">
        <v>90</v>
      </c>
      <c r="J1678" t="s">
        <v>4974</v>
      </c>
      <c r="K1678" t="s">
        <v>2649</v>
      </c>
      <c r="L1678" t="s">
        <v>31</v>
      </c>
      <c r="M1678" t="s">
        <v>27</v>
      </c>
      <c r="N1678" t="s">
        <v>27</v>
      </c>
      <c r="O1678" t="s">
        <v>27</v>
      </c>
      <c r="P1678" t="s">
        <v>31</v>
      </c>
      <c r="Q1678">
        <v>67481.61</v>
      </c>
      <c r="R1678">
        <v>15.88</v>
      </c>
      <c r="S1678">
        <v>-90.216999999999999</v>
      </c>
      <c r="T1678" t="s">
        <v>31</v>
      </c>
    </row>
    <row r="1679" spans="1:20" hidden="1" x14ac:dyDescent="0.3">
      <c r="A1679" t="s">
        <v>187</v>
      </c>
      <c r="B1679" t="s">
        <v>51</v>
      </c>
      <c r="C1679" t="s">
        <v>37</v>
      </c>
      <c r="D1679" t="s">
        <v>52</v>
      </c>
      <c r="E1679">
        <v>2018</v>
      </c>
      <c r="F1679" t="s">
        <v>31</v>
      </c>
      <c r="G1679" t="s">
        <v>4975</v>
      </c>
      <c r="H1679" t="s">
        <v>2658</v>
      </c>
      <c r="I1679" t="s">
        <v>130</v>
      </c>
      <c r="J1679" t="s">
        <v>4976</v>
      </c>
      <c r="K1679" t="s">
        <v>31</v>
      </c>
      <c r="L1679" t="s">
        <v>31</v>
      </c>
      <c r="M1679" t="s">
        <v>27</v>
      </c>
      <c r="N1679" t="s">
        <v>27</v>
      </c>
      <c r="O1679" t="s">
        <v>27</v>
      </c>
      <c r="P1679" t="s">
        <v>31</v>
      </c>
      <c r="Q1679" t="s">
        <v>31</v>
      </c>
      <c r="R1679" t="s">
        <v>31</v>
      </c>
      <c r="S1679" t="s">
        <v>31</v>
      </c>
      <c r="T1679" t="s">
        <v>31</v>
      </c>
    </row>
    <row r="1680" spans="1:20" hidden="1" x14ac:dyDescent="0.3">
      <c r="A1680" t="s">
        <v>191</v>
      </c>
      <c r="B1680" t="s">
        <v>51</v>
      </c>
      <c r="C1680" t="s">
        <v>37</v>
      </c>
      <c r="D1680" t="s">
        <v>52</v>
      </c>
      <c r="E1680">
        <v>2018</v>
      </c>
      <c r="F1680" t="s">
        <v>31</v>
      </c>
      <c r="G1680" t="s">
        <v>4977</v>
      </c>
      <c r="H1680" t="s">
        <v>2658</v>
      </c>
      <c r="I1680" t="s">
        <v>130</v>
      </c>
      <c r="J1680" t="s">
        <v>4978</v>
      </c>
      <c r="K1680" t="s">
        <v>31</v>
      </c>
      <c r="L1680" t="s">
        <v>31</v>
      </c>
      <c r="M1680" t="s">
        <v>27</v>
      </c>
      <c r="N1680" t="s">
        <v>27</v>
      </c>
      <c r="O1680" t="s">
        <v>27</v>
      </c>
      <c r="P1680" t="s">
        <v>31</v>
      </c>
      <c r="Q1680">
        <v>234622.64</v>
      </c>
      <c r="R1680" t="s">
        <v>31</v>
      </c>
      <c r="S1680" t="s">
        <v>31</v>
      </c>
      <c r="T1680" t="s">
        <v>4979</v>
      </c>
    </row>
    <row r="1681" spans="1:20" x14ac:dyDescent="0.3">
      <c r="A1681" t="s">
        <v>1215</v>
      </c>
      <c r="B1681" t="s">
        <v>51</v>
      </c>
      <c r="C1681" t="s">
        <v>37</v>
      </c>
      <c r="D1681" t="s">
        <v>52</v>
      </c>
      <c r="E1681">
        <v>2018</v>
      </c>
      <c r="F1681">
        <v>10000</v>
      </c>
      <c r="G1681" t="s">
        <v>4980</v>
      </c>
      <c r="H1681" t="s">
        <v>2656</v>
      </c>
      <c r="I1681" t="s">
        <v>119</v>
      </c>
      <c r="J1681" t="s">
        <v>2609</v>
      </c>
      <c r="K1681" t="s">
        <v>2649</v>
      </c>
      <c r="L1681" t="s">
        <v>1216</v>
      </c>
      <c r="M1681" t="s">
        <v>27</v>
      </c>
      <c r="N1681" t="s">
        <v>27</v>
      </c>
      <c r="O1681" t="s">
        <v>27</v>
      </c>
      <c r="P1681" t="s">
        <v>31</v>
      </c>
      <c r="Q1681">
        <v>55138.95</v>
      </c>
      <c r="R1681">
        <v>-22.478999999999999</v>
      </c>
      <c r="S1681">
        <v>-44.094999999999999</v>
      </c>
      <c r="T1681" t="s">
        <v>31</v>
      </c>
    </row>
    <row r="1682" spans="1:20" hidden="1" x14ac:dyDescent="0.3">
      <c r="A1682" t="s">
        <v>1230</v>
      </c>
      <c r="B1682" t="s">
        <v>28</v>
      </c>
      <c r="C1682" t="s">
        <v>29</v>
      </c>
      <c r="D1682" t="s">
        <v>189</v>
      </c>
      <c r="E1682">
        <v>2018</v>
      </c>
      <c r="F1682" t="s">
        <v>31</v>
      </c>
      <c r="G1682" t="s">
        <v>4981</v>
      </c>
      <c r="H1682" t="s">
        <v>2658</v>
      </c>
      <c r="I1682" t="s">
        <v>130</v>
      </c>
      <c r="J1682" t="s">
        <v>4982</v>
      </c>
      <c r="K1682" t="s">
        <v>31</v>
      </c>
      <c r="L1682" t="s">
        <v>37</v>
      </c>
      <c r="M1682" t="s">
        <v>27</v>
      </c>
      <c r="N1682" t="s">
        <v>27</v>
      </c>
      <c r="O1682" t="s">
        <v>27</v>
      </c>
      <c r="P1682" t="s">
        <v>31</v>
      </c>
      <c r="Q1682">
        <v>130</v>
      </c>
      <c r="R1682">
        <v>-35.21</v>
      </c>
      <c r="S1682">
        <v>-58.198999999999998</v>
      </c>
      <c r="T1682" t="s">
        <v>31</v>
      </c>
    </row>
    <row r="1683" spans="1:20" hidden="1" x14ac:dyDescent="0.3">
      <c r="A1683" t="s">
        <v>1231</v>
      </c>
      <c r="B1683" t="s">
        <v>28</v>
      </c>
      <c r="C1683" t="s">
        <v>29</v>
      </c>
      <c r="D1683" t="s">
        <v>30</v>
      </c>
      <c r="E1683">
        <v>2018</v>
      </c>
      <c r="F1683" t="s">
        <v>31</v>
      </c>
      <c r="G1683" t="s">
        <v>31</v>
      </c>
      <c r="H1683" t="s">
        <v>2716</v>
      </c>
      <c r="I1683" t="s">
        <v>242</v>
      </c>
      <c r="J1683" t="s">
        <v>4983</v>
      </c>
      <c r="K1683" t="s">
        <v>31</v>
      </c>
      <c r="L1683" t="s">
        <v>1218</v>
      </c>
      <c r="M1683" t="s">
        <v>27</v>
      </c>
      <c r="N1683" t="s">
        <v>27</v>
      </c>
      <c r="O1683" t="s">
        <v>27</v>
      </c>
      <c r="P1683" t="s">
        <v>31</v>
      </c>
      <c r="Q1683" t="s">
        <v>31</v>
      </c>
      <c r="R1683" t="s">
        <v>31</v>
      </c>
      <c r="S1683" t="s">
        <v>31</v>
      </c>
      <c r="T1683" t="s">
        <v>31</v>
      </c>
    </row>
    <row r="1684" spans="1:20" hidden="1" x14ac:dyDescent="0.3">
      <c r="A1684" t="s">
        <v>1232</v>
      </c>
      <c r="B1684" t="s">
        <v>28</v>
      </c>
      <c r="C1684" t="s">
        <v>2685</v>
      </c>
      <c r="D1684" t="s">
        <v>95</v>
      </c>
      <c r="E1684">
        <v>2018</v>
      </c>
      <c r="F1684" t="s">
        <v>31</v>
      </c>
      <c r="G1684" t="s">
        <v>31</v>
      </c>
      <c r="H1684" t="s">
        <v>2739</v>
      </c>
      <c r="I1684" t="s">
        <v>77</v>
      </c>
      <c r="J1684" t="s">
        <v>4984</v>
      </c>
      <c r="K1684" t="s">
        <v>31</v>
      </c>
      <c r="L1684" t="s">
        <v>31</v>
      </c>
      <c r="M1684" t="s">
        <v>27</v>
      </c>
      <c r="N1684" t="s">
        <v>27</v>
      </c>
      <c r="O1684" t="s">
        <v>27</v>
      </c>
      <c r="P1684" t="s">
        <v>31</v>
      </c>
      <c r="Q1684">
        <v>37.200000000000003</v>
      </c>
      <c r="R1684" t="s">
        <v>31</v>
      </c>
      <c r="S1684" t="s">
        <v>31</v>
      </c>
      <c r="T1684" t="s">
        <v>31</v>
      </c>
    </row>
    <row r="1685" spans="1:20" hidden="1" x14ac:dyDescent="0.3">
      <c r="A1685" t="s">
        <v>1233</v>
      </c>
      <c r="B1685" t="s">
        <v>28</v>
      </c>
      <c r="C1685" t="s">
        <v>29</v>
      </c>
      <c r="D1685" t="s">
        <v>189</v>
      </c>
      <c r="E1685">
        <v>2018</v>
      </c>
      <c r="F1685">
        <v>1450000</v>
      </c>
      <c r="G1685" t="s">
        <v>4985</v>
      </c>
      <c r="H1685" t="s">
        <v>2645</v>
      </c>
      <c r="I1685" t="s">
        <v>34</v>
      </c>
      <c r="J1685" t="s">
        <v>4986</v>
      </c>
      <c r="K1685" t="s">
        <v>31</v>
      </c>
      <c r="L1685" t="s">
        <v>31</v>
      </c>
      <c r="M1685" t="s">
        <v>27</v>
      </c>
      <c r="N1685" t="s">
        <v>27</v>
      </c>
      <c r="O1685" t="s">
        <v>27</v>
      </c>
      <c r="P1685" t="s">
        <v>31</v>
      </c>
      <c r="Q1685">
        <v>110</v>
      </c>
      <c r="R1685" t="s">
        <v>31</v>
      </c>
      <c r="S1685" t="s">
        <v>31</v>
      </c>
      <c r="T1685" t="s">
        <v>31</v>
      </c>
    </row>
    <row r="1686" spans="1:20" hidden="1" x14ac:dyDescent="0.3">
      <c r="A1686" t="s">
        <v>1234</v>
      </c>
      <c r="B1686" t="s">
        <v>28</v>
      </c>
      <c r="C1686" t="s">
        <v>29</v>
      </c>
      <c r="D1686" t="s">
        <v>97</v>
      </c>
      <c r="E1686">
        <v>2018</v>
      </c>
      <c r="F1686">
        <v>1500000</v>
      </c>
      <c r="G1686" t="s">
        <v>31</v>
      </c>
      <c r="H1686" t="s">
        <v>2645</v>
      </c>
      <c r="I1686" t="s">
        <v>34</v>
      </c>
      <c r="J1686" t="s">
        <v>4987</v>
      </c>
      <c r="K1686" t="s">
        <v>31</v>
      </c>
      <c r="L1686" t="s">
        <v>302</v>
      </c>
      <c r="M1686" t="s">
        <v>27</v>
      </c>
      <c r="N1686" t="s">
        <v>27</v>
      </c>
      <c r="O1686" t="s">
        <v>27</v>
      </c>
      <c r="P1686" t="s">
        <v>31</v>
      </c>
      <c r="Q1686" t="s">
        <v>31</v>
      </c>
      <c r="R1686" t="s">
        <v>31</v>
      </c>
      <c r="S1686" t="s">
        <v>31</v>
      </c>
      <c r="T1686" t="s">
        <v>31</v>
      </c>
    </row>
    <row r="1687" spans="1:20" hidden="1" x14ac:dyDescent="0.3">
      <c r="A1687" t="s">
        <v>1235</v>
      </c>
      <c r="B1687" t="s">
        <v>51</v>
      </c>
      <c r="C1687" t="s">
        <v>37</v>
      </c>
      <c r="D1687" t="s">
        <v>56</v>
      </c>
      <c r="E1687">
        <v>2018</v>
      </c>
      <c r="F1687">
        <v>250000</v>
      </c>
      <c r="G1687" t="s">
        <v>31</v>
      </c>
      <c r="H1687" t="s">
        <v>2645</v>
      </c>
      <c r="I1687" t="s">
        <v>34</v>
      </c>
      <c r="J1687" t="s">
        <v>4988</v>
      </c>
      <c r="K1687" t="s">
        <v>4989</v>
      </c>
      <c r="L1687" t="s">
        <v>31</v>
      </c>
      <c r="M1687" t="s">
        <v>27</v>
      </c>
      <c r="N1687" t="s">
        <v>27</v>
      </c>
      <c r="O1687" t="s">
        <v>33</v>
      </c>
      <c r="P1687" t="s">
        <v>31</v>
      </c>
      <c r="Q1687" t="s">
        <v>31</v>
      </c>
      <c r="R1687" t="s">
        <v>31</v>
      </c>
      <c r="S1687" t="s">
        <v>31</v>
      </c>
      <c r="T1687" t="s">
        <v>31</v>
      </c>
    </row>
    <row r="1688" spans="1:20" hidden="1" x14ac:dyDescent="0.3">
      <c r="A1688" t="s">
        <v>1236</v>
      </c>
      <c r="B1688" t="s">
        <v>51</v>
      </c>
      <c r="C1688" t="s">
        <v>37</v>
      </c>
      <c r="D1688" t="s">
        <v>52</v>
      </c>
      <c r="E1688">
        <v>2018</v>
      </c>
      <c r="F1688" t="s">
        <v>31</v>
      </c>
      <c r="G1688" t="s">
        <v>4990</v>
      </c>
      <c r="H1688" t="s">
        <v>2695</v>
      </c>
      <c r="I1688" t="s">
        <v>161</v>
      </c>
      <c r="J1688" t="s">
        <v>4991</v>
      </c>
      <c r="K1688" t="s">
        <v>31</v>
      </c>
      <c r="L1688" t="s">
        <v>54</v>
      </c>
      <c r="M1688" t="s">
        <v>27</v>
      </c>
      <c r="N1688" t="s">
        <v>27</v>
      </c>
      <c r="O1688" t="s">
        <v>27</v>
      </c>
      <c r="P1688" t="s">
        <v>31</v>
      </c>
      <c r="Q1688" t="s">
        <v>31</v>
      </c>
      <c r="R1688" t="s">
        <v>31</v>
      </c>
      <c r="S1688" t="s">
        <v>31</v>
      </c>
      <c r="T1688" t="s">
        <v>4992</v>
      </c>
    </row>
    <row r="1689" spans="1:20" hidden="1" x14ac:dyDescent="0.3">
      <c r="A1689" t="s">
        <v>1237</v>
      </c>
      <c r="B1689" t="s">
        <v>51</v>
      </c>
      <c r="C1689" t="s">
        <v>37</v>
      </c>
      <c r="D1689" t="s">
        <v>52</v>
      </c>
      <c r="E1689">
        <v>2018</v>
      </c>
      <c r="F1689" t="s">
        <v>31</v>
      </c>
      <c r="G1689" t="s">
        <v>4990</v>
      </c>
      <c r="H1689" t="s">
        <v>2753</v>
      </c>
      <c r="I1689" t="s">
        <v>49</v>
      </c>
      <c r="J1689" t="s">
        <v>4993</v>
      </c>
      <c r="K1689" t="s">
        <v>31</v>
      </c>
      <c r="L1689" t="s">
        <v>54</v>
      </c>
      <c r="M1689" t="s">
        <v>27</v>
      </c>
      <c r="N1689" t="s">
        <v>27</v>
      </c>
      <c r="O1689" t="s">
        <v>27</v>
      </c>
      <c r="P1689" t="s">
        <v>31</v>
      </c>
      <c r="Q1689" t="s">
        <v>31</v>
      </c>
      <c r="R1689" t="s">
        <v>31</v>
      </c>
      <c r="S1689" t="s">
        <v>31</v>
      </c>
      <c r="T1689" t="s">
        <v>31</v>
      </c>
    </row>
    <row r="1690" spans="1:20" hidden="1" x14ac:dyDescent="0.3">
      <c r="A1690" t="s">
        <v>1238</v>
      </c>
      <c r="B1690" t="s">
        <v>51</v>
      </c>
      <c r="C1690" t="s">
        <v>37</v>
      </c>
      <c r="D1690" t="s">
        <v>52</v>
      </c>
      <c r="E1690">
        <v>2018</v>
      </c>
      <c r="F1690" t="s">
        <v>31</v>
      </c>
      <c r="G1690" t="s">
        <v>4990</v>
      </c>
      <c r="H1690" t="s">
        <v>2675</v>
      </c>
      <c r="I1690" t="s">
        <v>81</v>
      </c>
      <c r="J1690" t="s">
        <v>4994</v>
      </c>
      <c r="K1690" t="s">
        <v>31</v>
      </c>
      <c r="L1690" t="s">
        <v>54</v>
      </c>
      <c r="M1690" t="s">
        <v>27</v>
      </c>
      <c r="N1690" t="s">
        <v>27</v>
      </c>
      <c r="O1690" t="s">
        <v>27</v>
      </c>
      <c r="P1690" t="s">
        <v>31</v>
      </c>
      <c r="Q1690" t="s">
        <v>31</v>
      </c>
      <c r="R1690" t="s">
        <v>31</v>
      </c>
      <c r="S1690" t="s">
        <v>31</v>
      </c>
      <c r="T1690" t="s">
        <v>31</v>
      </c>
    </row>
    <row r="1691" spans="1:20" hidden="1" x14ac:dyDescent="0.3">
      <c r="A1691" t="s">
        <v>1239</v>
      </c>
      <c r="B1691" t="s">
        <v>51</v>
      </c>
      <c r="C1691" t="s">
        <v>37</v>
      </c>
      <c r="D1691" t="s">
        <v>52</v>
      </c>
      <c r="E1691">
        <v>2018</v>
      </c>
      <c r="F1691">
        <v>3700</v>
      </c>
      <c r="G1691" t="s">
        <v>4995</v>
      </c>
      <c r="H1691" t="s">
        <v>3186</v>
      </c>
      <c r="I1691" t="s">
        <v>561</v>
      </c>
      <c r="J1691" t="s">
        <v>4996</v>
      </c>
      <c r="K1691" t="s">
        <v>3054</v>
      </c>
      <c r="L1691" t="s">
        <v>54</v>
      </c>
      <c r="M1691" t="s">
        <v>27</v>
      </c>
      <c r="N1691" t="s">
        <v>27</v>
      </c>
      <c r="O1691" t="s">
        <v>33</v>
      </c>
      <c r="P1691" t="s">
        <v>31</v>
      </c>
      <c r="Q1691" t="s">
        <v>31</v>
      </c>
      <c r="R1691" t="s">
        <v>31</v>
      </c>
      <c r="S1691" t="s">
        <v>31</v>
      </c>
      <c r="T1691" t="s">
        <v>31</v>
      </c>
    </row>
    <row r="1692" spans="1:20" hidden="1" x14ac:dyDescent="0.3">
      <c r="A1692" t="s">
        <v>1240</v>
      </c>
      <c r="B1692" t="s">
        <v>39</v>
      </c>
      <c r="C1692" t="s">
        <v>40</v>
      </c>
      <c r="D1692" t="s">
        <v>41</v>
      </c>
      <c r="E1692">
        <v>2018</v>
      </c>
      <c r="F1692">
        <v>16500000</v>
      </c>
      <c r="G1692" t="s">
        <v>31</v>
      </c>
      <c r="H1692" t="s">
        <v>2645</v>
      </c>
      <c r="I1692" t="s">
        <v>34</v>
      </c>
      <c r="J1692" t="s">
        <v>4997</v>
      </c>
      <c r="K1692" t="s">
        <v>31</v>
      </c>
      <c r="L1692" t="s">
        <v>31</v>
      </c>
      <c r="M1692" t="s">
        <v>27</v>
      </c>
      <c r="N1692" t="s">
        <v>27</v>
      </c>
      <c r="O1692" t="s">
        <v>33</v>
      </c>
      <c r="P1692" t="s">
        <v>31</v>
      </c>
      <c r="Q1692" t="s">
        <v>31</v>
      </c>
      <c r="R1692" t="s">
        <v>31</v>
      </c>
      <c r="S1692" t="s">
        <v>31</v>
      </c>
      <c r="T1692" t="s">
        <v>31</v>
      </c>
    </row>
    <row r="1693" spans="1:20" hidden="1" x14ac:dyDescent="0.3">
      <c r="A1693" t="s">
        <v>1241</v>
      </c>
      <c r="B1693" t="s">
        <v>51</v>
      </c>
      <c r="C1693" t="s">
        <v>37</v>
      </c>
      <c r="D1693" t="s">
        <v>52</v>
      </c>
      <c r="E1693">
        <v>2018</v>
      </c>
      <c r="F1693" t="s">
        <v>31</v>
      </c>
      <c r="G1693" t="s">
        <v>4998</v>
      </c>
      <c r="H1693" t="s">
        <v>2769</v>
      </c>
      <c r="I1693" t="s">
        <v>117</v>
      </c>
      <c r="J1693" t="s">
        <v>4999</v>
      </c>
      <c r="K1693" t="s">
        <v>31</v>
      </c>
      <c r="L1693" t="s">
        <v>31</v>
      </c>
      <c r="M1693" t="s">
        <v>27</v>
      </c>
      <c r="N1693" t="s">
        <v>27</v>
      </c>
      <c r="O1693" t="s">
        <v>27</v>
      </c>
      <c r="P1693" t="s">
        <v>31</v>
      </c>
      <c r="Q1693" t="s">
        <v>31</v>
      </c>
      <c r="R1693" t="s">
        <v>31</v>
      </c>
      <c r="S1693" t="s">
        <v>31</v>
      </c>
      <c r="T1693" t="s">
        <v>5000</v>
      </c>
    </row>
    <row r="1694" spans="1:20" hidden="1" x14ac:dyDescent="0.3">
      <c r="A1694" t="s">
        <v>1242</v>
      </c>
      <c r="B1694" t="s">
        <v>39</v>
      </c>
      <c r="C1694" t="s">
        <v>157</v>
      </c>
      <c r="D1694" t="s">
        <v>157</v>
      </c>
      <c r="E1694">
        <v>2018</v>
      </c>
      <c r="F1694" t="s">
        <v>31</v>
      </c>
      <c r="G1694" t="s">
        <v>31</v>
      </c>
      <c r="H1694" t="s">
        <v>2675</v>
      </c>
      <c r="I1694" t="s">
        <v>81</v>
      </c>
      <c r="J1694" t="s">
        <v>31</v>
      </c>
      <c r="K1694" t="s">
        <v>3910</v>
      </c>
      <c r="L1694" t="s">
        <v>31</v>
      </c>
      <c r="M1694" t="s">
        <v>27</v>
      </c>
      <c r="N1694" t="s">
        <v>27</v>
      </c>
      <c r="O1694" t="s">
        <v>27</v>
      </c>
      <c r="P1694" t="s">
        <v>31</v>
      </c>
      <c r="Q1694" t="s">
        <v>31</v>
      </c>
      <c r="R1694" t="s">
        <v>31</v>
      </c>
      <c r="S1694" t="s">
        <v>31</v>
      </c>
      <c r="T1694" t="s">
        <v>31</v>
      </c>
    </row>
    <row r="1695" spans="1:20" hidden="1" x14ac:dyDescent="0.3">
      <c r="A1695" t="s">
        <v>1615</v>
      </c>
      <c r="B1695" t="s">
        <v>28</v>
      </c>
      <c r="C1695" t="s">
        <v>29</v>
      </c>
      <c r="D1695" t="s">
        <v>67</v>
      </c>
      <c r="E1695">
        <v>2018</v>
      </c>
      <c r="F1695">
        <v>2300000</v>
      </c>
      <c r="G1695" t="s">
        <v>31</v>
      </c>
      <c r="H1695" t="s">
        <v>2645</v>
      </c>
      <c r="I1695" t="s">
        <v>34</v>
      </c>
      <c r="J1695" t="s">
        <v>5001</v>
      </c>
      <c r="K1695" t="s">
        <v>31</v>
      </c>
      <c r="L1695" t="s">
        <v>85</v>
      </c>
      <c r="M1695" t="s">
        <v>27</v>
      </c>
      <c r="N1695" t="s">
        <v>27</v>
      </c>
      <c r="O1695" t="s">
        <v>33</v>
      </c>
      <c r="P1695" t="s">
        <v>31</v>
      </c>
      <c r="Q1695">
        <v>110</v>
      </c>
      <c r="R1695" t="s">
        <v>31</v>
      </c>
      <c r="S1695" t="s">
        <v>31</v>
      </c>
      <c r="T1695" t="s">
        <v>31</v>
      </c>
    </row>
    <row r="1696" spans="1:20" hidden="1" x14ac:dyDescent="0.3">
      <c r="A1696" t="s">
        <v>1845</v>
      </c>
      <c r="B1696" t="s">
        <v>91</v>
      </c>
      <c r="C1696" t="s">
        <v>92</v>
      </c>
      <c r="D1696" t="s">
        <v>93</v>
      </c>
      <c r="E1696">
        <v>2018</v>
      </c>
      <c r="F1696" t="s">
        <v>31</v>
      </c>
      <c r="G1696" t="s">
        <v>5002</v>
      </c>
      <c r="H1696" t="s">
        <v>2678</v>
      </c>
      <c r="I1696" t="s">
        <v>53</v>
      </c>
      <c r="J1696" t="s">
        <v>5003</v>
      </c>
      <c r="K1696" t="s">
        <v>31</v>
      </c>
      <c r="L1696" t="s">
        <v>31</v>
      </c>
      <c r="M1696" t="s">
        <v>27</v>
      </c>
      <c r="N1696" t="s">
        <v>27</v>
      </c>
      <c r="O1696" t="s">
        <v>27</v>
      </c>
      <c r="P1696" t="s">
        <v>31</v>
      </c>
      <c r="Q1696">
        <v>7.1</v>
      </c>
      <c r="R1696">
        <v>-15.759</v>
      </c>
      <c r="S1696">
        <v>74.709999999999994</v>
      </c>
      <c r="T1696" t="s">
        <v>31</v>
      </c>
    </row>
    <row r="1697" spans="1:20" hidden="1" x14ac:dyDescent="0.3">
      <c r="A1697" t="s">
        <v>1846</v>
      </c>
      <c r="B1697" t="s">
        <v>28</v>
      </c>
      <c r="C1697" t="s">
        <v>29</v>
      </c>
      <c r="D1697" t="s">
        <v>67</v>
      </c>
      <c r="E1697">
        <v>2018</v>
      </c>
      <c r="F1697">
        <v>50000</v>
      </c>
      <c r="G1697" t="s">
        <v>31</v>
      </c>
      <c r="H1697" t="s">
        <v>2645</v>
      </c>
      <c r="I1697" t="s">
        <v>34</v>
      </c>
      <c r="J1697" t="s">
        <v>5004</v>
      </c>
      <c r="K1697" t="s">
        <v>31</v>
      </c>
      <c r="L1697" t="s">
        <v>31</v>
      </c>
      <c r="M1697" t="s">
        <v>27</v>
      </c>
      <c r="N1697" t="s">
        <v>27</v>
      </c>
      <c r="O1697" t="s">
        <v>27</v>
      </c>
      <c r="P1697" t="s">
        <v>31</v>
      </c>
      <c r="Q1697" t="s">
        <v>31</v>
      </c>
      <c r="R1697" t="s">
        <v>31</v>
      </c>
      <c r="S1697" t="s">
        <v>31</v>
      </c>
      <c r="T1697" t="s">
        <v>31</v>
      </c>
    </row>
    <row r="1698" spans="1:20" hidden="1" x14ac:dyDescent="0.3">
      <c r="A1698" t="s">
        <v>1847</v>
      </c>
      <c r="B1698" t="s">
        <v>51</v>
      </c>
      <c r="C1698" t="s">
        <v>37</v>
      </c>
      <c r="D1698" t="s">
        <v>121</v>
      </c>
      <c r="E1698">
        <v>2018</v>
      </c>
      <c r="F1698" t="s">
        <v>31</v>
      </c>
      <c r="G1698" t="s">
        <v>5005</v>
      </c>
      <c r="H1698" t="s">
        <v>2769</v>
      </c>
      <c r="I1698" t="s">
        <v>117</v>
      </c>
      <c r="J1698" t="s">
        <v>5006</v>
      </c>
      <c r="K1698" t="s">
        <v>2649</v>
      </c>
      <c r="L1698" t="s">
        <v>31</v>
      </c>
      <c r="M1698" t="s">
        <v>27</v>
      </c>
      <c r="N1698" t="s">
        <v>27</v>
      </c>
      <c r="O1698" t="s">
        <v>27</v>
      </c>
      <c r="P1698" t="s">
        <v>31</v>
      </c>
      <c r="Q1698">
        <v>2924.11</v>
      </c>
      <c r="R1698">
        <v>-25.312000000000001</v>
      </c>
      <c r="S1698">
        <v>-57.598999999999997</v>
      </c>
      <c r="T1698" t="s">
        <v>31</v>
      </c>
    </row>
    <row r="1699" spans="1:20" hidden="1" x14ac:dyDescent="0.3">
      <c r="A1699" t="s">
        <v>1848</v>
      </c>
      <c r="B1699" t="s">
        <v>91</v>
      </c>
      <c r="C1699" t="s">
        <v>2712</v>
      </c>
      <c r="D1699" t="s">
        <v>1779</v>
      </c>
      <c r="E1699">
        <v>2018</v>
      </c>
      <c r="F1699">
        <v>500000</v>
      </c>
      <c r="G1699" t="s">
        <v>5007</v>
      </c>
      <c r="H1699" t="s">
        <v>2645</v>
      </c>
      <c r="I1699" t="s">
        <v>34</v>
      </c>
      <c r="J1699" t="s">
        <v>5008</v>
      </c>
      <c r="K1699" t="s">
        <v>31</v>
      </c>
      <c r="L1699" t="s">
        <v>92</v>
      </c>
      <c r="M1699" t="s">
        <v>27</v>
      </c>
      <c r="N1699" t="s">
        <v>27</v>
      </c>
      <c r="O1699" t="s">
        <v>27</v>
      </c>
      <c r="P1699" t="s">
        <v>31</v>
      </c>
      <c r="Q1699" t="s">
        <v>31</v>
      </c>
      <c r="R1699" t="s">
        <v>31</v>
      </c>
      <c r="S1699" t="s">
        <v>31</v>
      </c>
      <c r="T1699" t="s">
        <v>31</v>
      </c>
    </row>
    <row r="1700" spans="1:20" hidden="1" x14ac:dyDescent="0.3">
      <c r="A1700" t="s">
        <v>1849</v>
      </c>
      <c r="B1700" t="s">
        <v>51</v>
      </c>
      <c r="C1700" t="s">
        <v>37</v>
      </c>
      <c r="D1700" t="s">
        <v>52</v>
      </c>
      <c r="E1700">
        <v>2018</v>
      </c>
      <c r="F1700" t="s">
        <v>31</v>
      </c>
      <c r="G1700" t="s">
        <v>5009</v>
      </c>
      <c r="H1700" t="s">
        <v>2847</v>
      </c>
      <c r="I1700" t="s">
        <v>62</v>
      </c>
      <c r="J1700" t="s">
        <v>5010</v>
      </c>
      <c r="K1700" t="s">
        <v>5011</v>
      </c>
      <c r="L1700" t="s">
        <v>31</v>
      </c>
      <c r="M1700" t="s">
        <v>27</v>
      </c>
      <c r="N1700" t="s">
        <v>27</v>
      </c>
      <c r="O1700" t="s">
        <v>27</v>
      </c>
      <c r="P1700" t="s">
        <v>31</v>
      </c>
      <c r="Q1700" t="s">
        <v>31</v>
      </c>
      <c r="R1700" t="s">
        <v>31</v>
      </c>
      <c r="S1700" t="s">
        <v>31</v>
      </c>
      <c r="T1700" t="s">
        <v>31</v>
      </c>
    </row>
    <row r="1701" spans="1:20" hidden="1" x14ac:dyDescent="0.3">
      <c r="A1701" t="s">
        <v>1850</v>
      </c>
      <c r="B1701" t="s">
        <v>28</v>
      </c>
      <c r="C1701" t="s">
        <v>29</v>
      </c>
      <c r="D1701" t="s">
        <v>30</v>
      </c>
      <c r="E1701">
        <v>2018</v>
      </c>
      <c r="F1701" t="s">
        <v>31</v>
      </c>
      <c r="G1701" t="s">
        <v>31</v>
      </c>
      <c r="H1701" t="s">
        <v>2888</v>
      </c>
      <c r="I1701" t="s">
        <v>75</v>
      </c>
      <c r="J1701" t="s">
        <v>5012</v>
      </c>
      <c r="K1701" t="s">
        <v>31</v>
      </c>
      <c r="L1701" t="s">
        <v>31</v>
      </c>
      <c r="M1701" t="s">
        <v>27</v>
      </c>
      <c r="N1701" t="s">
        <v>27</v>
      </c>
      <c r="O1701" t="s">
        <v>27</v>
      </c>
      <c r="P1701" t="s">
        <v>31</v>
      </c>
      <c r="Q1701" t="s">
        <v>31</v>
      </c>
      <c r="R1701" t="s">
        <v>31</v>
      </c>
      <c r="S1701" t="s">
        <v>31</v>
      </c>
      <c r="T1701" t="s">
        <v>31</v>
      </c>
    </row>
    <row r="1702" spans="1:20" hidden="1" x14ac:dyDescent="0.3">
      <c r="A1702" t="s">
        <v>1851</v>
      </c>
      <c r="B1702" t="s">
        <v>28</v>
      </c>
      <c r="C1702" t="s">
        <v>29</v>
      </c>
      <c r="D1702" t="s">
        <v>30</v>
      </c>
      <c r="E1702">
        <v>2018</v>
      </c>
      <c r="F1702" t="s">
        <v>31</v>
      </c>
      <c r="G1702" t="s">
        <v>31</v>
      </c>
      <c r="H1702" t="s">
        <v>2847</v>
      </c>
      <c r="I1702" t="s">
        <v>62</v>
      </c>
      <c r="J1702" t="s">
        <v>31</v>
      </c>
      <c r="K1702" t="s">
        <v>31</v>
      </c>
      <c r="L1702" t="s">
        <v>82</v>
      </c>
      <c r="M1702" t="s">
        <v>27</v>
      </c>
      <c r="N1702" t="s">
        <v>27</v>
      </c>
      <c r="O1702" t="s">
        <v>27</v>
      </c>
      <c r="P1702" t="s">
        <v>31</v>
      </c>
      <c r="Q1702" t="s">
        <v>31</v>
      </c>
      <c r="R1702" t="s">
        <v>31</v>
      </c>
      <c r="S1702" t="s">
        <v>31</v>
      </c>
      <c r="T1702" t="s">
        <v>31</v>
      </c>
    </row>
    <row r="1703" spans="1:20" hidden="1" x14ac:dyDescent="0.3">
      <c r="A1703" t="s">
        <v>1852</v>
      </c>
      <c r="B1703" t="s">
        <v>91</v>
      </c>
      <c r="C1703" t="s">
        <v>92</v>
      </c>
      <c r="D1703" t="s">
        <v>93</v>
      </c>
      <c r="E1703">
        <v>2018</v>
      </c>
      <c r="F1703" t="s">
        <v>31</v>
      </c>
      <c r="G1703" t="s">
        <v>5013</v>
      </c>
      <c r="H1703" t="s">
        <v>2749</v>
      </c>
      <c r="I1703" t="s">
        <v>45</v>
      </c>
      <c r="J1703" t="s">
        <v>5014</v>
      </c>
      <c r="K1703" t="s">
        <v>31</v>
      </c>
      <c r="L1703" t="s">
        <v>31</v>
      </c>
      <c r="M1703" t="s">
        <v>27</v>
      </c>
      <c r="N1703" t="s">
        <v>27</v>
      </c>
      <c r="O1703" t="s">
        <v>27</v>
      </c>
      <c r="P1703" t="s">
        <v>31</v>
      </c>
      <c r="Q1703">
        <v>5.9</v>
      </c>
      <c r="R1703">
        <v>20.033999999999999</v>
      </c>
      <c r="S1703">
        <v>-73.013000000000005</v>
      </c>
      <c r="T1703" t="s">
        <v>31</v>
      </c>
    </row>
    <row r="1704" spans="1:20" hidden="1" x14ac:dyDescent="0.3">
      <c r="A1704" t="s">
        <v>1853</v>
      </c>
      <c r="B1704" t="s">
        <v>51</v>
      </c>
      <c r="C1704" t="s">
        <v>37</v>
      </c>
      <c r="D1704" t="s">
        <v>56</v>
      </c>
      <c r="E1704">
        <v>2018</v>
      </c>
      <c r="F1704" t="s">
        <v>31</v>
      </c>
      <c r="G1704" t="s">
        <v>5015</v>
      </c>
      <c r="H1704" t="s">
        <v>2709</v>
      </c>
      <c r="I1704" t="s">
        <v>70</v>
      </c>
      <c r="J1704" t="s">
        <v>5016</v>
      </c>
      <c r="K1704" t="s">
        <v>2725</v>
      </c>
      <c r="L1704" t="s">
        <v>31</v>
      </c>
      <c r="M1704" t="s">
        <v>27</v>
      </c>
      <c r="N1704" t="s">
        <v>27</v>
      </c>
      <c r="O1704" t="s">
        <v>27</v>
      </c>
      <c r="P1704" t="s">
        <v>31</v>
      </c>
      <c r="Q1704">
        <v>3147.09</v>
      </c>
      <c r="R1704">
        <v>10.426</v>
      </c>
      <c r="S1704">
        <v>-66.55</v>
      </c>
      <c r="T1704" t="s">
        <v>31</v>
      </c>
    </row>
    <row r="1705" spans="1:20" hidden="1" x14ac:dyDescent="0.3">
      <c r="A1705" t="s">
        <v>1854</v>
      </c>
      <c r="B1705" t="s">
        <v>51</v>
      </c>
      <c r="C1705" t="s">
        <v>2655</v>
      </c>
      <c r="D1705" t="s">
        <v>134</v>
      </c>
      <c r="E1705">
        <v>2018</v>
      </c>
      <c r="F1705" t="s">
        <v>31</v>
      </c>
      <c r="G1705" t="s">
        <v>31</v>
      </c>
      <c r="H1705" t="s">
        <v>2656</v>
      </c>
      <c r="I1705" t="s">
        <v>119</v>
      </c>
      <c r="J1705" t="s">
        <v>5017</v>
      </c>
      <c r="K1705" t="s">
        <v>2649</v>
      </c>
      <c r="L1705" t="s">
        <v>31</v>
      </c>
      <c r="M1705" t="s">
        <v>27</v>
      </c>
      <c r="N1705" t="s">
        <v>27</v>
      </c>
      <c r="O1705" t="s">
        <v>27</v>
      </c>
      <c r="P1705" t="s">
        <v>31</v>
      </c>
      <c r="Q1705" t="s">
        <v>31</v>
      </c>
      <c r="R1705" t="s">
        <v>31</v>
      </c>
      <c r="S1705" t="s">
        <v>31</v>
      </c>
      <c r="T1705" t="s">
        <v>31</v>
      </c>
    </row>
    <row r="1706" spans="1:20" hidden="1" x14ac:dyDescent="0.3">
      <c r="A1706" t="s">
        <v>1855</v>
      </c>
      <c r="B1706" t="s">
        <v>28</v>
      </c>
      <c r="C1706" t="s">
        <v>29</v>
      </c>
      <c r="D1706" t="s">
        <v>30</v>
      </c>
      <c r="E1706">
        <v>2018</v>
      </c>
      <c r="F1706">
        <v>7005</v>
      </c>
      <c r="G1706" t="s">
        <v>31</v>
      </c>
      <c r="H1706" t="s">
        <v>2672</v>
      </c>
      <c r="I1706" t="s">
        <v>73</v>
      </c>
      <c r="J1706" t="s">
        <v>5018</v>
      </c>
      <c r="K1706" t="s">
        <v>31</v>
      </c>
      <c r="L1706" t="s">
        <v>37</v>
      </c>
      <c r="M1706" t="s">
        <v>27</v>
      </c>
      <c r="N1706" t="s">
        <v>27</v>
      </c>
      <c r="O1706" t="s">
        <v>27</v>
      </c>
      <c r="P1706" t="s">
        <v>31</v>
      </c>
      <c r="Q1706" t="s">
        <v>31</v>
      </c>
      <c r="R1706" t="s">
        <v>31</v>
      </c>
      <c r="S1706" t="s">
        <v>31</v>
      </c>
      <c r="T1706" t="s">
        <v>31</v>
      </c>
    </row>
    <row r="1707" spans="1:20" hidden="1" x14ac:dyDescent="0.3">
      <c r="A1707" t="s">
        <v>1856</v>
      </c>
      <c r="B1707" t="s">
        <v>28</v>
      </c>
      <c r="C1707" t="s">
        <v>29</v>
      </c>
      <c r="D1707" t="s">
        <v>67</v>
      </c>
      <c r="E1707">
        <v>2018</v>
      </c>
      <c r="F1707">
        <v>150000</v>
      </c>
      <c r="G1707" t="s">
        <v>31</v>
      </c>
      <c r="H1707" t="s">
        <v>2645</v>
      </c>
      <c r="I1707" t="s">
        <v>34</v>
      </c>
      <c r="J1707" t="s">
        <v>5019</v>
      </c>
      <c r="K1707" t="s">
        <v>31</v>
      </c>
      <c r="L1707" t="s">
        <v>37</v>
      </c>
      <c r="M1707" t="s">
        <v>27</v>
      </c>
      <c r="N1707" t="s">
        <v>27</v>
      </c>
      <c r="O1707" t="s">
        <v>27</v>
      </c>
      <c r="P1707" t="s">
        <v>31</v>
      </c>
      <c r="Q1707" t="s">
        <v>31</v>
      </c>
      <c r="R1707" t="s">
        <v>31</v>
      </c>
      <c r="S1707" t="s">
        <v>31</v>
      </c>
      <c r="T1707" t="s">
        <v>31</v>
      </c>
    </row>
    <row r="1708" spans="1:20" hidden="1" x14ac:dyDescent="0.3">
      <c r="A1708" t="s">
        <v>1857</v>
      </c>
      <c r="B1708" t="s">
        <v>39</v>
      </c>
      <c r="C1708" t="s">
        <v>40</v>
      </c>
      <c r="D1708" t="s">
        <v>142</v>
      </c>
      <c r="E1708">
        <v>2018</v>
      </c>
      <c r="F1708">
        <v>5200000</v>
      </c>
      <c r="G1708" t="s">
        <v>31</v>
      </c>
      <c r="H1708" t="s">
        <v>2645</v>
      </c>
      <c r="I1708" t="s">
        <v>34</v>
      </c>
      <c r="J1708" t="s">
        <v>5020</v>
      </c>
      <c r="K1708" t="s">
        <v>31</v>
      </c>
      <c r="L1708" t="s">
        <v>31</v>
      </c>
      <c r="M1708" t="s">
        <v>27</v>
      </c>
      <c r="N1708" t="s">
        <v>27</v>
      </c>
      <c r="O1708" t="s">
        <v>27</v>
      </c>
      <c r="P1708" t="s">
        <v>31</v>
      </c>
      <c r="Q1708" t="s">
        <v>31</v>
      </c>
      <c r="R1708" t="s">
        <v>31</v>
      </c>
      <c r="S1708" t="s">
        <v>31</v>
      </c>
      <c r="T1708" t="s">
        <v>31</v>
      </c>
    </row>
    <row r="1709" spans="1:20" hidden="1" x14ac:dyDescent="0.3">
      <c r="A1709" t="s">
        <v>1858</v>
      </c>
      <c r="B1709" t="s">
        <v>43</v>
      </c>
      <c r="C1709" t="s">
        <v>2665</v>
      </c>
      <c r="D1709" t="s">
        <v>114</v>
      </c>
      <c r="E1709">
        <v>2018</v>
      </c>
      <c r="F1709" t="s">
        <v>31</v>
      </c>
      <c r="G1709" t="s">
        <v>5021</v>
      </c>
      <c r="H1709" t="s">
        <v>2669</v>
      </c>
      <c r="I1709" t="s">
        <v>111</v>
      </c>
      <c r="J1709" t="s">
        <v>5022</v>
      </c>
      <c r="K1709" t="s">
        <v>31</v>
      </c>
      <c r="L1709" t="s">
        <v>31</v>
      </c>
      <c r="M1709" t="s">
        <v>27</v>
      </c>
      <c r="N1709" t="s">
        <v>27</v>
      </c>
      <c r="O1709" t="s">
        <v>27</v>
      </c>
      <c r="P1709" t="s">
        <v>31</v>
      </c>
      <c r="Q1709" t="s">
        <v>31</v>
      </c>
      <c r="R1709" t="s">
        <v>31</v>
      </c>
      <c r="S1709" t="s">
        <v>31</v>
      </c>
      <c r="T1709" t="s">
        <v>31</v>
      </c>
    </row>
    <row r="1710" spans="1:20" hidden="1" x14ac:dyDescent="0.3">
      <c r="A1710" t="s">
        <v>1859</v>
      </c>
      <c r="B1710" t="s">
        <v>39</v>
      </c>
      <c r="C1710" t="s">
        <v>157</v>
      </c>
      <c r="D1710" t="s">
        <v>157</v>
      </c>
      <c r="E1710">
        <v>2018</v>
      </c>
      <c r="F1710">
        <v>44669</v>
      </c>
      <c r="G1710" t="s">
        <v>31</v>
      </c>
      <c r="H1710" t="s">
        <v>2719</v>
      </c>
      <c r="I1710" t="s">
        <v>90</v>
      </c>
      <c r="J1710" t="s">
        <v>31</v>
      </c>
      <c r="K1710" t="s">
        <v>31</v>
      </c>
      <c r="L1710" t="s">
        <v>31</v>
      </c>
      <c r="M1710" t="s">
        <v>27</v>
      </c>
      <c r="N1710" t="s">
        <v>27</v>
      </c>
      <c r="O1710" t="s">
        <v>27</v>
      </c>
      <c r="P1710" t="s">
        <v>31</v>
      </c>
      <c r="Q1710" t="s">
        <v>31</v>
      </c>
      <c r="R1710" t="s">
        <v>31</v>
      </c>
      <c r="S1710" t="s">
        <v>31</v>
      </c>
      <c r="T1710" t="s">
        <v>31</v>
      </c>
    </row>
    <row r="1711" spans="1:20" hidden="1" x14ac:dyDescent="0.3">
      <c r="A1711" t="s">
        <v>2398</v>
      </c>
      <c r="B1711" t="s">
        <v>39</v>
      </c>
      <c r="C1711" t="s">
        <v>157</v>
      </c>
      <c r="D1711" t="s">
        <v>157</v>
      </c>
      <c r="E1711">
        <v>2018</v>
      </c>
      <c r="F1711">
        <v>72000</v>
      </c>
      <c r="G1711" t="s">
        <v>31</v>
      </c>
      <c r="H1711" t="s">
        <v>2774</v>
      </c>
      <c r="I1711" t="s">
        <v>166</v>
      </c>
      <c r="J1711" t="s">
        <v>31</v>
      </c>
      <c r="K1711" t="s">
        <v>5023</v>
      </c>
      <c r="L1711" t="s">
        <v>31</v>
      </c>
      <c r="M1711" t="s">
        <v>27</v>
      </c>
      <c r="N1711" t="s">
        <v>27</v>
      </c>
      <c r="O1711" t="s">
        <v>27</v>
      </c>
      <c r="P1711" t="s">
        <v>31</v>
      </c>
      <c r="Q1711" t="s">
        <v>31</v>
      </c>
      <c r="R1711" t="s">
        <v>31</v>
      </c>
      <c r="S1711" t="s">
        <v>31</v>
      </c>
      <c r="T1711" t="s">
        <v>31</v>
      </c>
    </row>
    <row r="1712" spans="1:20" x14ac:dyDescent="0.3">
      <c r="A1712" t="s">
        <v>2503</v>
      </c>
      <c r="B1712" t="s">
        <v>51</v>
      </c>
      <c r="C1712" t="s">
        <v>37</v>
      </c>
      <c r="D1712" t="s">
        <v>52</v>
      </c>
      <c r="E1712">
        <v>2018</v>
      </c>
      <c r="F1712">
        <v>43000</v>
      </c>
      <c r="G1712" t="s">
        <v>5024</v>
      </c>
      <c r="H1712" t="s">
        <v>2656</v>
      </c>
      <c r="I1712" t="s">
        <v>119</v>
      </c>
      <c r="J1712" t="s">
        <v>2636</v>
      </c>
      <c r="K1712" t="s">
        <v>5025</v>
      </c>
      <c r="L1712" t="s">
        <v>31</v>
      </c>
      <c r="M1712" t="s">
        <v>27</v>
      </c>
      <c r="N1712" t="s">
        <v>27</v>
      </c>
      <c r="O1712" t="s">
        <v>27</v>
      </c>
      <c r="P1712" t="s">
        <v>31</v>
      </c>
      <c r="Q1712">
        <v>131278.34</v>
      </c>
      <c r="R1712">
        <v>-24.206</v>
      </c>
      <c r="S1712">
        <v>-48.622999999999998</v>
      </c>
      <c r="T1712" t="s">
        <v>31</v>
      </c>
    </row>
    <row r="1713" spans="1:20" hidden="1" x14ac:dyDescent="0.3">
      <c r="A1713" t="s">
        <v>2516</v>
      </c>
      <c r="B1713" t="s">
        <v>28</v>
      </c>
      <c r="C1713" t="s">
        <v>29</v>
      </c>
      <c r="D1713" t="s">
        <v>189</v>
      </c>
      <c r="E1713">
        <v>2018</v>
      </c>
      <c r="F1713">
        <v>1300000</v>
      </c>
      <c r="G1713" t="s">
        <v>5026</v>
      </c>
      <c r="H1713" t="s">
        <v>2645</v>
      </c>
      <c r="I1713" t="s">
        <v>34</v>
      </c>
      <c r="J1713" t="s">
        <v>5027</v>
      </c>
      <c r="K1713" t="s">
        <v>31</v>
      </c>
      <c r="L1713" t="s">
        <v>65</v>
      </c>
      <c r="M1713" t="s">
        <v>27</v>
      </c>
      <c r="N1713" t="s">
        <v>27</v>
      </c>
      <c r="O1713" t="s">
        <v>27</v>
      </c>
      <c r="P1713" t="s">
        <v>31</v>
      </c>
      <c r="Q1713" t="s">
        <v>31</v>
      </c>
      <c r="R1713" t="s">
        <v>31</v>
      </c>
      <c r="S1713" t="s">
        <v>31</v>
      </c>
      <c r="T1713" t="s">
        <v>31</v>
      </c>
    </row>
    <row r="1714" spans="1:20" hidden="1" x14ac:dyDescent="0.3">
      <c r="A1714" t="s">
        <v>2525</v>
      </c>
      <c r="B1714" t="s">
        <v>51</v>
      </c>
      <c r="C1714" t="s">
        <v>2655</v>
      </c>
      <c r="D1714" t="s">
        <v>150</v>
      </c>
      <c r="E1714">
        <v>2018</v>
      </c>
      <c r="F1714">
        <v>900000</v>
      </c>
      <c r="G1714" t="s">
        <v>31</v>
      </c>
      <c r="H1714" t="s">
        <v>2645</v>
      </c>
      <c r="I1714" t="s">
        <v>34</v>
      </c>
      <c r="J1714" t="s">
        <v>5028</v>
      </c>
      <c r="K1714" t="s">
        <v>2649</v>
      </c>
      <c r="L1714" t="s">
        <v>37</v>
      </c>
      <c r="M1714" t="s">
        <v>27</v>
      </c>
      <c r="N1714" t="s">
        <v>27</v>
      </c>
      <c r="O1714" t="s">
        <v>27</v>
      </c>
      <c r="P1714" t="s">
        <v>31</v>
      </c>
      <c r="Q1714" t="s">
        <v>31</v>
      </c>
      <c r="R1714" t="s">
        <v>31</v>
      </c>
      <c r="S1714" t="s">
        <v>31</v>
      </c>
      <c r="T1714" t="s">
        <v>31</v>
      </c>
    </row>
    <row r="1715" spans="1:20" hidden="1" x14ac:dyDescent="0.3">
      <c r="A1715" t="s">
        <v>2526</v>
      </c>
      <c r="B1715" t="s">
        <v>51</v>
      </c>
      <c r="C1715" t="s">
        <v>37</v>
      </c>
      <c r="D1715" t="s">
        <v>52</v>
      </c>
      <c r="E1715">
        <v>2018</v>
      </c>
      <c r="F1715">
        <v>125000</v>
      </c>
      <c r="G1715" t="s">
        <v>31</v>
      </c>
      <c r="H1715" t="s">
        <v>2645</v>
      </c>
      <c r="I1715" t="s">
        <v>34</v>
      </c>
      <c r="J1715" t="s">
        <v>5029</v>
      </c>
      <c r="K1715" t="s">
        <v>3054</v>
      </c>
      <c r="L1715" t="s">
        <v>54</v>
      </c>
      <c r="M1715" t="s">
        <v>27</v>
      </c>
      <c r="N1715" t="s">
        <v>27</v>
      </c>
      <c r="O1715" t="s">
        <v>33</v>
      </c>
      <c r="P1715" t="s">
        <v>31</v>
      </c>
      <c r="Q1715" t="s">
        <v>31</v>
      </c>
      <c r="R1715" t="s">
        <v>31</v>
      </c>
      <c r="S1715" t="s">
        <v>31</v>
      </c>
      <c r="T1715" t="s">
        <v>31</v>
      </c>
    </row>
    <row r="1716" spans="1:20" hidden="1" x14ac:dyDescent="0.3">
      <c r="A1716" t="s">
        <v>2527</v>
      </c>
      <c r="B1716" t="s">
        <v>28</v>
      </c>
      <c r="C1716" t="s">
        <v>29</v>
      </c>
      <c r="D1716" t="s">
        <v>67</v>
      </c>
      <c r="E1716">
        <v>2018</v>
      </c>
      <c r="F1716">
        <v>1000000</v>
      </c>
      <c r="G1716" t="s">
        <v>31</v>
      </c>
      <c r="H1716" t="s">
        <v>2645</v>
      </c>
      <c r="I1716" t="s">
        <v>34</v>
      </c>
      <c r="J1716" t="s">
        <v>5030</v>
      </c>
      <c r="K1716" t="s">
        <v>31</v>
      </c>
      <c r="L1716" t="s">
        <v>68</v>
      </c>
      <c r="M1716" t="s">
        <v>27</v>
      </c>
      <c r="N1716" t="s">
        <v>27</v>
      </c>
      <c r="O1716" t="s">
        <v>27</v>
      </c>
      <c r="P1716" t="s">
        <v>31</v>
      </c>
      <c r="Q1716" t="s">
        <v>31</v>
      </c>
      <c r="R1716" t="s">
        <v>31</v>
      </c>
      <c r="S1716" t="s">
        <v>31</v>
      </c>
      <c r="T1716" t="s">
        <v>31</v>
      </c>
    </row>
    <row r="1717" spans="1:20" hidden="1" x14ac:dyDescent="0.3">
      <c r="A1717" t="s">
        <v>2528</v>
      </c>
      <c r="B1717" t="s">
        <v>51</v>
      </c>
      <c r="C1717" t="s">
        <v>37</v>
      </c>
      <c r="D1717" t="s">
        <v>56</v>
      </c>
      <c r="E1717">
        <v>2018</v>
      </c>
      <c r="F1717" t="s">
        <v>31</v>
      </c>
      <c r="G1717" t="s">
        <v>5031</v>
      </c>
      <c r="H1717" t="s">
        <v>2669</v>
      </c>
      <c r="I1717" t="s">
        <v>111</v>
      </c>
      <c r="J1717" t="s">
        <v>5032</v>
      </c>
      <c r="K1717" t="s">
        <v>2649</v>
      </c>
      <c r="L1717" t="s">
        <v>54</v>
      </c>
      <c r="M1717" t="s">
        <v>27</v>
      </c>
      <c r="N1717" t="s">
        <v>27</v>
      </c>
      <c r="O1717" t="s">
        <v>27</v>
      </c>
      <c r="P1717" t="s">
        <v>31</v>
      </c>
      <c r="Q1717">
        <v>245647.66</v>
      </c>
      <c r="R1717">
        <v>-14.404999999999999</v>
      </c>
      <c r="S1717">
        <v>-64.013000000000005</v>
      </c>
      <c r="T1717" t="s">
        <v>31</v>
      </c>
    </row>
    <row r="1718" spans="1:20" hidden="1" x14ac:dyDescent="0.3">
      <c r="A1718" t="s">
        <v>2529</v>
      </c>
      <c r="B1718" t="s">
        <v>51</v>
      </c>
      <c r="C1718" t="s">
        <v>37</v>
      </c>
      <c r="D1718" t="s">
        <v>52</v>
      </c>
      <c r="E1718">
        <v>2018</v>
      </c>
      <c r="F1718" t="s">
        <v>31</v>
      </c>
      <c r="G1718" t="s">
        <v>31</v>
      </c>
      <c r="H1718" t="s">
        <v>2647</v>
      </c>
      <c r="I1718" t="s">
        <v>47</v>
      </c>
      <c r="J1718" t="s">
        <v>5033</v>
      </c>
      <c r="K1718" t="s">
        <v>2649</v>
      </c>
      <c r="L1718" t="s">
        <v>29</v>
      </c>
      <c r="M1718" t="s">
        <v>27</v>
      </c>
      <c r="N1718" t="s">
        <v>27</v>
      </c>
      <c r="O1718" t="s">
        <v>27</v>
      </c>
      <c r="P1718" t="s">
        <v>31</v>
      </c>
      <c r="Q1718" t="s">
        <v>31</v>
      </c>
      <c r="R1718" t="s">
        <v>31</v>
      </c>
      <c r="S1718" t="s">
        <v>31</v>
      </c>
      <c r="T1718" t="s">
        <v>31</v>
      </c>
    </row>
    <row r="1719" spans="1:20" hidden="1" x14ac:dyDescent="0.3">
      <c r="A1719" t="s">
        <v>2530</v>
      </c>
      <c r="B1719" t="s">
        <v>51</v>
      </c>
      <c r="C1719" t="s">
        <v>37</v>
      </c>
      <c r="D1719" t="s">
        <v>52</v>
      </c>
      <c r="E1719">
        <v>2018</v>
      </c>
      <c r="F1719" t="s">
        <v>31</v>
      </c>
      <c r="G1719" t="s">
        <v>5034</v>
      </c>
      <c r="H1719" t="s">
        <v>2739</v>
      </c>
      <c r="I1719" t="s">
        <v>77</v>
      </c>
      <c r="J1719" t="s">
        <v>5035</v>
      </c>
      <c r="K1719" t="s">
        <v>5036</v>
      </c>
      <c r="L1719" t="s">
        <v>31</v>
      </c>
      <c r="M1719" t="s">
        <v>27</v>
      </c>
      <c r="N1719" t="s">
        <v>27</v>
      </c>
      <c r="O1719" t="s">
        <v>27</v>
      </c>
      <c r="P1719" t="s">
        <v>31</v>
      </c>
      <c r="Q1719">
        <v>78669.36</v>
      </c>
      <c r="R1719">
        <v>50.357999999999997</v>
      </c>
      <c r="S1719">
        <v>-119.241</v>
      </c>
      <c r="T1719" t="s">
        <v>31</v>
      </c>
    </row>
    <row r="1720" spans="1:20" hidden="1" x14ac:dyDescent="0.3">
      <c r="A1720" t="s">
        <v>2531</v>
      </c>
      <c r="B1720" t="s">
        <v>51</v>
      </c>
      <c r="C1720" t="s">
        <v>37</v>
      </c>
      <c r="D1720" t="s">
        <v>52</v>
      </c>
      <c r="E1720">
        <v>2018</v>
      </c>
      <c r="F1720" t="s">
        <v>31</v>
      </c>
      <c r="G1720" t="s">
        <v>5009</v>
      </c>
      <c r="H1720" t="s">
        <v>2888</v>
      </c>
      <c r="I1720" t="s">
        <v>75</v>
      </c>
      <c r="J1720" t="s">
        <v>5037</v>
      </c>
      <c r="K1720" t="s">
        <v>5038</v>
      </c>
      <c r="L1720" t="s">
        <v>31</v>
      </c>
      <c r="M1720" t="s">
        <v>27</v>
      </c>
      <c r="N1720" t="s">
        <v>27</v>
      </c>
      <c r="O1720" t="s">
        <v>27</v>
      </c>
      <c r="P1720" t="s">
        <v>31</v>
      </c>
      <c r="Q1720">
        <v>21589.73</v>
      </c>
      <c r="R1720">
        <v>19.018000000000001</v>
      </c>
      <c r="S1720">
        <v>-69.703999999999994</v>
      </c>
      <c r="T1720" t="s">
        <v>31</v>
      </c>
    </row>
    <row r="1721" spans="1:20" hidden="1" x14ac:dyDescent="0.3">
      <c r="A1721" t="s">
        <v>2532</v>
      </c>
      <c r="B1721" t="s">
        <v>39</v>
      </c>
      <c r="C1721" t="s">
        <v>40</v>
      </c>
      <c r="D1721" t="s">
        <v>41</v>
      </c>
      <c r="E1721">
        <v>2018</v>
      </c>
      <c r="F1721">
        <v>1000000</v>
      </c>
      <c r="G1721" t="s">
        <v>31</v>
      </c>
      <c r="H1721" t="s">
        <v>2645</v>
      </c>
      <c r="I1721" t="s">
        <v>34</v>
      </c>
      <c r="J1721" t="s">
        <v>5039</v>
      </c>
      <c r="K1721" t="s">
        <v>31</v>
      </c>
      <c r="L1721" t="s">
        <v>176</v>
      </c>
      <c r="M1721" t="s">
        <v>27</v>
      </c>
      <c r="N1721" t="s">
        <v>27</v>
      </c>
      <c r="O1721" t="s">
        <v>27</v>
      </c>
      <c r="P1721" t="s">
        <v>31</v>
      </c>
      <c r="Q1721" t="s">
        <v>31</v>
      </c>
      <c r="R1721" t="s">
        <v>31</v>
      </c>
      <c r="S1721" t="s">
        <v>31</v>
      </c>
      <c r="T1721" t="s">
        <v>31</v>
      </c>
    </row>
    <row r="1722" spans="1:20" hidden="1" x14ac:dyDescent="0.3">
      <c r="A1722" t="s">
        <v>2533</v>
      </c>
      <c r="B1722" t="s">
        <v>51</v>
      </c>
      <c r="C1722" t="s">
        <v>37</v>
      </c>
      <c r="D1722" t="s">
        <v>52</v>
      </c>
      <c r="E1722">
        <v>2018</v>
      </c>
      <c r="F1722" t="s">
        <v>31</v>
      </c>
      <c r="G1722" t="s">
        <v>31</v>
      </c>
      <c r="H1722" t="s">
        <v>2709</v>
      </c>
      <c r="I1722" t="s">
        <v>70</v>
      </c>
      <c r="J1722" t="s">
        <v>5040</v>
      </c>
      <c r="K1722" t="s">
        <v>31</v>
      </c>
      <c r="L1722" t="s">
        <v>31</v>
      </c>
      <c r="M1722" t="s">
        <v>27</v>
      </c>
      <c r="N1722" t="s">
        <v>27</v>
      </c>
      <c r="O1722" t="s">
        <v>27</v>
      </c>
      <c r="P1722" t="s">
        <v>31</v>
      </c>
      <c r="Q1722" t="s">
        <v>31</v>
      </c>
      <c r="R1722" t="s">
        <v>31</v>
      </c>
      <c r="S1722" t="s">
        <v>31</v>
      </c>
      <c r="T1722" t="s">
        <v>5041</v>
      </c>
    </row>
    <row r="1723" spans="1:20" hidden="1" x14ac:dyDescent="0.3">
      <c r="A1723" t="s">
        <v>2534</v>
      </c>
      <c r="B1723" t="s">
        <v>91</v>
      </c>
      <c r="C1723" t="s">
        <v>92</v>
      </c>
      <c r="D1723" t="s">
        <v>93</v>
      </c>
      <c r="E1723">
        <v>2018</v>
      </c>
      <c r="F1723" t="s">
        <v>31</v>
      </c>
      <c r="G1723" t="s">
        <v>5042</v>
      </c>
      <c r="H1723" t="s">
        <v>2680</v>
      </c>
      <c r="I1723" t="s">
        <v>115</v>
      </c>
      <c r="J1723" t="s">
        <v>5043</v>
      </c>
      <c r="K1723" t="s">
        <v>31</v>
      </c>
      <c r="L1723" t="s">
        <v>54</v>
      </c>
      <c r="M1723" t="s">
        <v>27</v>
      </c>
      <c r="N1723" t="s">
        <v>27</v>
      </c>
      <c r="O1723" t="s">
        <v>27</v>
      </c>
      <c r="P1723" t="s">
        <v>31</v>
      </c>
      <c r="Q1723">
        <v>5.4</v>
      </c>
      <c r="R1723">
        <v>13.103999999999999</v>
      </c>
      <c r="S1723">
        <v>-88.061999999999998</v>
      </c>
      <c r="T1723" t="s">
        <v>31</v>
      </c>
    </row>
    <row r="1724" spans="1:20" hidden="1" x14ac:dyDescent="0.3">
      <c r="A1724" t="s">
        <v>2535</v>
      </c>
      <c r="B1724" t="s">
        <v>28</v>
      </c>
      <c r="C1724" t="s">
        <v>29</v>
      </c>
      <c r="D1724" t="s">
        <v>30</v>
      </c>
      <c r="E1724">
        <v>2018</v>
      </c>
      <c r="F1724">
        <v>14000000</v>
      </c>
      <c r="G1724" t="s">
        <v>5044</v>
      </c>
      <c r="H1724" t="s">
        <v>2645</v>
      </c>
      <c r="I1724" t="s">
        <v>34</v>
      </c>
      <c r="J1724" t="s">
        <v>5045</v>
      </c>
      <c r="K1724" t="s">
        <v>31</v>
      </c>
      <c r="L1724" t="s">
        <v>37</v>
      </c>
      <c r="M1724" t="s">
        <v>27</v>
      </c>
      <c r="N1724" t="s">
        <v>27</v>
      </c>
      <c r="O1724" t="s">
        <v>33</v>
      </c>
      <c r="P1724" t="s">
        <v>31</v>
      </c>
      <c r="Q1724" t="s">
        <v>31</v>
      </c>
      <c r="R1724" t="s">
        <v>31</v>
      </c>
      <c r="S1724" t="s">
        <v>31</v>
      </c>
      <c r="T1724" t="s">
        <v>31</v>
      </c>
    </row>
    <row r="1725" spans="1:20" hidden="1" x14ac:dyDescent="0.3">
      <c r="A1725" t="s">
        <v>2536</v>
      </c>
      <c r="B1725" t="s">
        <v>28</v>
      </c>
      <c r="C1725" t="s">
        <v>29</v>
      </c>
      <c r="D1725" t="s">
        <v>99</v>
      </c>
      <c r="E1725">
        <v>2018</v>
      </c>
      <c r="F1725">
        <v>1000000</v>
      </c>
      <c r="G1725" t="s">
        <v>31</v>
      </c>
      <c r="H1725" t="s">
        <v>2645</v>
      </c>
      <c r="I1725" t="s">
        <v>34</v>
      </c>
      <c r="J1725" t="s">
        <v>5046</v>
      </c>
      <c r="K1725" t="s">
        <v>31</v>
      </c>
      <c r="L1725" t="s">
        <v>65</v>
      </c>
      <c r="M1725" t="s">
        <v>27</v>
      </c>
      <c r="N1725" t="s">
        <v>27</v>
      </c>
      <c r="O1725" t="s">
        <v>27</v>
      </c>
      <c r="P1725" t="s">
        <v>31</v>
      </c>
      <c r="Q1725" t="s">
        <v>31</v>
      </c>
      <c r="R1725" t="s">
        <v>31</v>
      </c>
      <c r="S1725" t="s">
        <v>31</v>
      </c>
      <c r="T1725" t="s">
        <v>31</v>
      </c>
    </row>
    <row r="1726" spans="1:20" hidden="1" x14ac:dyDescent="0.3">
      <c r="A1726" t="s">
        <v>2537</v>
      </c>
      <c r="B1726" t="s">
        <v>51</v>
      </c>
      <c r="C1726" t="s">
        <v>37</v>
      </c>
      <c r="D1726" t="s">
        <v>56</v>
      </c>
      <c r="E1726">
        <v>2018</v>
      </c>
      <c r="F1726" t="s">
        <v>31</v>
      </c>
      <c r="G1726" t="s">
        <v>31</v>
      </c>
      <c r="H1726" t="s">
        <v>2672</v>
      </c>
      <c r="I1726" t="s">
        <v>73</v>
      </c>
      <c r="J1726" t="s">
        <v>5047</v>
      </c>
      <c r="K1726" t="s">
        <v>3063</v>
      </c>
      <c r="L1726" t="s">
        <v>31</v>
      </c>
      <c r="M1726" t="s">
        <v>27</v>
      </c>
      <c r="N1726" t="s">
        <v>27</v>
      </c>
      <c r="O1726" t="s">
        <v>27</v>
      </c>
      <c r="P1726" t="s">
        <v>31</v>
      </c>
      <c r="Q1726" t="s">
        <v>31</v>
      </c>
      <c r="R1726" t="s">
        <v>31</v>
      </c>
      <c r="S1726" t="s">
        <v>31</v>
      </c>
      <c r="T1726" t="s">
        <v>5048</v>
      </c>
    </row>
    <row r="1727" spans="1:20" hidden="1" x14ac:dyDescent="0.3">
      <c r="A1727" t="s">
        <v>2538</v>
      </c>
      <c r="B1727" t="s">
        <v>28</v>
      </c>
      <c r="C1727" t="s">
        <v>29</v>
      </c>
      <c r="D1727" t="s">
        <v>30</v>
      </c>
      <c r="E1727">
        <v>2018</v>
      </c>
      <c r="F1727" t="s">
        <v>31</v>
      </c>
      <c r="G1727" t="s">
        <v>5049</v>
      </c>
      <c r="H1727" t="s">
        <v>2716</v>
      </c>
      <c r="I1727" t="s">
        <v>242</v>
      </c>
      <c r="J1727" t="s">
        <v>5050</v>
      </c>
      <c r="K1727" t="s">
        <v>31</v>
      </c>
      <c r="L1727" t="s">
        <v>31</v>
      </c>
      <c r="M1727" t="s">
        <v>27</v>
      </c>
      <c r="N1727" t="s">
        <v>27</v>
      </c>
      <c r="O1727" t="s">
        <v>27</v>
      </c>
      <c r="P1727" t="s">
        <v>31</v>
      </c>
      <c r="Q1727" t="s">
        <v>31</v>
      </c>
      <c r="R1727" t="s">
        <v>31</v>
      </c>
      <c r="S1727" t="s">
        <v>31</v>
      </c>
      <c r="T1727" t="s">
        <v>31</v>
      </c>
    </row>
    <row r="1728" spans="1:20" hidden="1" x14ac:dyDescent="0.3">
      <c r="A1728" t="s">
        <v>2539</v>
      </c>
      <c r="B1728" t="s">
        <v>28</v>
      </c>
      <c r="C1728" t="s">
        <v>29</v>
      </c>
      <c r="D1728" t="s">
        <v>30</v>
      </c>
      <c r="E1728">
        <v>2018</v>
      </c>
      <c r="F1728">
        <v>16000000</v>
      </c>
      <c r="G1728" t="s">
        <v>5049</v>
      </c>
      <c r="H1728" t="s">
        <v>2645</v>
      </c>
      <c r="I1728" t="s">
        <v>34</v>
      </c>
      <c r="J1728" t="s">
        <v>5051</v>
      </c>
      <c r="K1728" t="s">
        <v>31</v>
      </c>
      <c r="L1728" t="s">
        <v>87</v>
      </c>
      <c r="M1728" t="s">
        <v>27</v>
      </c>
      <c r="N1728" t="s">
        <v>27</v>
      </c>
      <c r="O1728" t="s">
        <v>27</v>
      </c>
      <c r="P1728" t="s">
        <v>31</v>
      </c>
      <c r="Q1728">
        <v>250</v>
      </c>
      <c r="R1728" t="s">
        <v>31</v>
      </c>
      <c r="S1728" t="s">
        <v>31</v>
      </c>
      <c r="T1728" t="s">
        <v>31</v>
      </c>
    </row>
    <row r="1729" spans="1:20" hidden="1" x14ac:dyDescent="0.3">
      <c r="A1729" t="s">
        <v>2540</v>
      </c>
      <c r="B1729" t="s">
        <v>51</v>
      </c>
      <c r="C1729" t="s">
        <v>37</v>
      </c>
      <c r="D1729" t="s">
        <v>52</v>
      </c>
      <c r="E1729">
        <v>2018</v>
      </c>
      <c r="F1729" t="s">
        <v>31</v>
      </c>
      <c r="G1729" t="s">
        <v>4990</v>
      </c>
      <c r="H1729" t="s">
        <v>2719</v>
      </c>
      <c r="I1729" t="s">
        <v>90</v>
      </c>
      <c r="J1729" t="s">
        <v>5052</v>
      </c>
      <c r="K1729" t="s">
        <v>31</v>
      </c>
      <c r="L1729" t="s">
        <v>54</v>
      </c>
      <c r="M1729" t="s">
        <v>27</v>
      </c>
      <c r="N1729" t="s">
        <v>27</v>
      </c>
      <c r="O1729" t="s">
        <v>27</v>
      </c>
      <c r="P1729" t="s">
        <v>31</v>
      </c>
      <c r="Q1729" t="s">
        <v>31</v>
      </c>
      <c r="R1729" t="s">
        <v>31</v>
      </c>
      <c r="S1729" t="s">
        <v>31</v>
      </c>
      <c r="T1729" t="s">
        <v>31</v>
      </c>
    </row>
    <row r="1730" spans="1:20" hidden="1" x14ac:dyDescent="0.3">
      <c r="A1730" t="s">
        <v>2541</v>
      </c>
      <c r="B1730" t="s">
        <v>51</v>
      </c>
      <c r="C1730" t="s">
        <v>37</v>
      </c>
      <c r="D1730" t="s">
        <v>52</v>
      </c>
      <c r="E1730">
        <v>2018</v>
      </c>
      <c r="F1730" t="s">
        <v>31</v>
      </c>
      <c r="G1730" t="s">
        <v>4990</v>
      </c>
      <c r="H1730" t="s">
        <v>2680</v>
      </c>
      <c r="I1730" t="s">
        <v>115</v>
      </c>
      <c r="J1730" t="s">
        <v>5053</v>
      </c>
      <c r="K1730" t="s">
        <v>5054</v>
      </c>
      <c r="L1730" t="s">
        <v>54</v>
      </c>
      <c r="M1730" t="s">
        <v>27</v>
      </c>
      <c r="N1730" t="s">
        <v>27</v>
      </c>
      <c r="O1730" t="s">
        <v>27</v>
      </c>
      <c r="P1730" t="s">
        <v>31</v>
      </c>
      <c r="Q1730" t="s">
        <v>31</v>
      </c>
      <c r="R1730" t="s">
        <v>31</v>
      </c>
      <c r="S1730" t="s">
        <v>31</v>
      </c>
      <c r="T1730" t="s">
        <v>31</v>
      </c>
    </row>
    <row r="1731" spans="1:20" hidden="1" x14ac:dyDescent="0.3">
      <c r="A1731" t="s">
        <v>2542</v>
      </c>
      <c r="B1731" t="s">
        <v>51</v>
      </c>
      <c r="C1731" t="s">
        <v>37</v>
      </c>
      <c r="D1731" t="s">
        <v>56</v>
      </c>
      <c r="E1731">
        <v>2018</v>
      </c>
      <c r="F1731" t="s">
        <v>31</v>
      </c>
      <c r="G1731" t="s">
        <v>31</v>
      </c>
      <c r="H1731" t="s">
        <v>2658</v>
      </c>
      <c r="I1731" t="s">
        <v>130</v>
      </c>
      <c r="J1731" t="s">
        <v>5055</v>
      </c>
      <c r="K1731" t="s">
        <v>2649</v>
      </c>
      <c r="L1731" t="s">
        <v>29</v>
      </c>
      <c r="M1731" t="s">
        <v>27</v>
      </c>
      <c r="N1731" t="s">
        <v>27</v>
      </c>
      <c r="O1731" t="s">
        <v>27</v>
      </c>
      <c r="P1731" t="s">
        <v>31</v>
      </c>
      <c r="Q1731" t="s">
        <v>31</v>
      </c>
      <c r="R1731" t="s">
        <v>31</v>
      </c>
      <c r="S1731" t="s">
        <v>31</v>
      </c>
      <c r="T1731" t="s">
        <v>31</v>
      </c>
    </row>
    <row r="1732" spans="1:20" hidden="1" x14ac:dyDescent="0.3">
      <c r="A1732" t="s">
        <v>2543</v>
      </c>
      <c r="B1732" t="s">
        <v>51</v>
      </c>
      <c r="C1732" t="s">
        <v>37</v>
      </c>
      <c r="D1732" t="s">
        <v>52</v>
      </c>
      <c r="E1732">
        <v>2018</v>
      </c>
      <c r="F1732" t="s">
        <v>31</v>
      </c>
      <c r="G1732" t="s">
        <v>31</v>
      </c>
      <c r="H1732" t="s">
        <v>2647</v>
      </c>
      <c r="I1732" t="s">
        <v>47</v>
      </c>
      <c r="J1732" t="s">
        <v>5056</v>
      </c>
      <c r="K1732" t="s">
        <v>31</v>
      </c>
      <c r="L1732" t="s">
        <v>54</v>
      </c>
      <c r="M1732" t="s">
        <v>27</v>
      </c>
      <c r="N1732" t="s">
        <v>27</v>
      </c>
      <c r="O1732" t="s">
        <v>27</v>
      </c>
      <c r="P1732" t="s">
        <v>31</v>
      </c>
      <c r="Q1732" t="s">
        <v>31</v>
      </c>
      <c r="R1732" t="s">
        <v>31</v>
      </c>
      <c r="S1732" t="s">
        <v>31</v>
      </c>
      <c r="T1732" t="s">
        <v>31</v>
      </c>
    </row>
    <row r="1733" spans="1:20" hidden="1" x14ac:dyDescent="0.3">
      <c r="A1733" t="s">
        <v>2544</v>
      </c>
      <c r="B1733" t="s">
        <v>28</v>
      </c>
      <c r="C1733" t="s">
        <v>29</v>
      </c>
      <c r="D1733" t="s">
        <v>30</v>
      </c>
      <c r="E1733">
        <v>2018</v>
      </c>
      <c r="F1733">
        <v>536800</v>
      </c>
      <c r="G1733" t="s">
        <v>5057</v>
      </c>
      <c r="H1733" t="s">
        <v>2672</v>
      </c>
      <c r="I1733" t="s">
        <v>73</v>
      </c>
      <c r="J1733" t="s">
        <v>5058</v>
      </c>
      <c r="K1733" t="s">
        <v>31</v>
      </c>
      <c r="L1733" t="s">
        <v>31</v>
      </c>
      <c r="M1733" t="s">
        <v>27</v>
      </c>
      <c r="N1733" t="s">
        <v>27</v>
      </c>
      <c r="O1733" t="s">
        <v>27</v>
      </c>
      <c r="P1733" t="s">
        <v>31</v>
      </c>
      <c r="Q1733">
        <v>195</v>
      </c>
      <c r="R1733" t="s">
        <v>31</v>
      </c>
      <c r="S1733" t="s">
        <v>31</v>
      </c>
      <c r="T1733" t="s">
        <v>31</v>
      </c>
    </row>
    <row r="1734" spans="1:20" hidden="1" x14ac:dyDescent="0.3">
      <c r="A1734" t="s">
        <v>2545</v>
      </c>
      <c r="B1734" t="s">
        <v>39</v>
      </c>
      <c r="C1734" t="s">
        <v>157</v>
      </c>
      <c r="D1734" t="s">
        <v>157</v>
      </c>
      <c r="E1734">
        <v>2018</v>
      </c>
      <c r="F1734">
        <v>500000</v>
      </c>
      <c r="G1734" t="s">
        <v>5059</v>
      </c>
      <c r="H1734" t="s">
        <v>2730</v>
      </c>
      <c r="I1734" t="s">
        <v>57</v>
      </c>
      <c r="J1734" t="s">
        <v>5060</v>
      </c>
      <c r="K1734" t="s">
        <v>5061</v>
      </c>
      <c r="L1734" t="s">
        <v>31</v>
      </c>
      <c r="M1734" t="s">
        <v>27</v>
      </c>
      <c r="N1734" t="s">
        <v>27</v>
      </c>
      <c r="O1734" t="s">
        <v>33</v>
      </c>
      <c r="P1734" t="s">
        <v>31</v>
      </c>
      <c r="Q1734" t="s">
        <v>31</v>
      </c>
      <c r="R1734" t="s">
        <v>31</v>
      </c>
      <c r="S1734" t="s">
        <v>31</v>
      </c>
      <c r="T1734" t="s">
        <v>31</v>
      </c>
    </row>
    <row r="1735" spans="1:20" hidden="1" x14ac:dyDescent="0.3">
      <c r="A1735" t="s">
        <v>50</v>
      </c>
      <c r="B1735" t="s">
        <v>51</v>
      </c>
      <c r="C1735" t="s">
        <v>37</v>
      </c>
      <c r="D1735" t="s">
        <v>52</v>
      </c>
      <c r="E1735">
        <v>2019</v>
      </c>
      <c r="F1735" t="s">
        <v>31</v>
      </c>
      <c r="G1735" t="s">
        <v>5062</v>
      </c>
      <c r="H1735" t="s">
        <v>2678</v>
      </c>
      <c r="I1735" t="s">
        <v>53</v>
      </c>
      <c r="J1735" t="s">
        <v>5063</v>
      </c>
      <c r="K1735" t="s">
        <v>31</v>
      </c>
      <c r="L1735" t="s">
        <v>54</v>
      </c>
      <c r="M1735" t="s">
        <v>27</v>
      </c>
      <c r="N1735" t="s">
        <v>27</v>
      </c>
      <c r="O1735" t="s">
        <v>27</v>
      </c>
      <c r="P1735" t="s">
        <v>31</v>
      </c>
      <c r="Q1735">
        <v>322182.75</v>
      </c>
      <c r="R1735">
        <v>-5.9210000000000003</v>
      </c>
      <c r="S1735">
        <v>-76.978999999999999</v>
      </c>
      <c r="T1735" t="s">
        <v>31</v>
      </c>
    </row>
    <row r="1736" spans="1:20" hidden="1" x14ac:dyDescent="0.3">
      <c r="A1736" t="s">
        <v>58</v>
      </c>
      <c r="B1736" t="s">
        <v>39</v>
      </c>
      <c r="C1736" t="s">
        <v>40</v>
      </c>
      <c r="D1736" t="s">
        <v>59</v>
      </c>
      <c r="E1736">
        <v>2019</v>
      </c>
      <c r="F1736" t="s">
        <v>31</v>
      </c>
      <c r="G1736" t="s">
        <v>31</v>
      </c>
      <c r="H1736" t="s">
        <v>2701</v>
      </c>
      <c r="I1736" t="s">
        <v>60</v>
      </c>
      <c r="J1736" t="s">
        <v>5064</v>
      </c>
      <c r="K1736" t="s">
        <v>31</v>
      </c>
      <c r="L1736" t="s">
        <v>31</v>
      </c>
      <c r="M1736" t="s">
        <v>27</v>
      </c>
      <c r="N1736" t="s">
        <v>27</v>
      </c>
      <c r="O1736" t="s">
        <v>33</v>
      </c>
      <c r="P1736" t="s">
        <v>31</v>
      </c>
      <c r="Q1736" t="s">
        <v>31</v>
      </c>
      <c r="R1736" t="s">
        <v>31</v>
      </c>
      <c r="S1736" t="s">
        <v>31</v>
      </c>
      <c r="T1736" t="s">
        <v>31</v>
      </c>
    </row>
    <row r="1737" spans="1:20" hidden="1" x14ac:dyDescent="0.3">
      <c r="A1737" t="s">
        <v>63</v>
      </c>
      <c r="B1737" t="s">
        <v>28</v>
      </c>
      <c r="C1737" t="s">
        <v>29</v>
      </c>
      <c r="D1737" t="s">
        <v>64</v>
      </c>
      <c r="E1737">
        <v>2019</v>
      </c>
      <c r="F1737">
        <v>235000</v>
      </c>
      <c r="G1737" t="s">
        <v>31</v>
      </c>
      <c r="H1737" t="s">
        <v>2645</v>
      </c>
      <c r="I1737" t="s">
        <v>34</v>
      </c>
      <c r="J1737" t="s">
        <v>5065</v>
      </c>
      <c r="K1737" t="s">
        <v>31</v>
      </c>
      <c r="L1737" t="s">
        <v>65</v>
      </c>
      <c r="M1737" t="s">
        <v>27</v>
      </c>
      <c r="N1737" t="s">
        <v>27</v>
      </c>
      <c r="O1737" t="s">
        <v>27</v>
      </c>
      <c r="P1737" t="s">
        <v>31</v>
      </c>
      <c r="Q1737">
        <v>260</v>
      </c>
      <c r="R1737" t="s">
        <v>31</v>
      </c>
      <c r="S1737" t="s">
        <v>31</v>
      </c>
      <c r="T1737" t="s">
        <v>31</v>
      </c>
    </row>
    <row r="1738" spans="1:20" hidden="1" x14ac:dyDescent="0.3">
      <c r="A1738" t="s">
        <v>69</v>
      </c>
      <c r="B1738" t="s">
        <v>51</v>
      </c>
      <c r="C1738" t="s">
        <v>37</v>
      </c>
      <c r="D1738" t="s">
        <v>52</v>
      </c>
      <c r="E1738">
        <v>2019</v>
      </c>
      <c r="F1738" t="s">
        <v>31</v>
      </c>
      <c r="G1738" t="s">
        <v>5066</v>
      </c>
      <c r="H1738" t="s">
        <v>2709</v>
      </c>
      <c r="I1738" t="s">
        <v>70</v>
      </c>
      <c r="J1738" t="s">
        <v>5067</v>
      </c>
      <c r="K1738" t="s">
        <v>2649</v>
      </c>
      <c r="L1738" t="s">
        <v>31</v>
      </c>
      <c r="M1738" t="s">
        <v>27</v>
      </c>
      <c r="N1738" t="s">
        <v>27</v>
      </c>
      <c r="O1738" t="s">
        <v>27</v>
      </c>
      <c r="P1738" t="s">
        <v>31</v>
      </c>
      <c r="Q1738">
        <v>24680.9</v>
      </c>
      <c r="R1738">
        <v>9.7720000000000002</v>
      </c>
      <c r="S1738">
        <v>-72.227999999999994</v>
      </c>
      <c r="T1738" t="s">
        <v>31</v>
      </c>
    </row>
    <row r="1739" spans="1:20" hidden="1" x14ac:dyDescent="0.3">
      <c r="A1739" t="s">
        <v>71</v>
      </c>
      <c r="B1739" t="s">
        <v>51</v>
      </c>
      <c r="C1739" t="s">
        <v>37</v>
      </c>
      <c r="D1739" t="s">
        <v>52</v>
      </c>
      <c r="E1739">
        <v>2019</v>
      </c>
      <c r="F1739" t="s">
        <v>31</v>
      </c>
      <c r="G1739" t="s">
        <v>31</v>
      </c>
      <c r="H1739" t="s">
        <v>2647</v>
      </c>
      <c r="I1739" t="s">
        <v>47</v>
      </c>
      <c r="J1739" t="s">
        <v>5068</v>
      </c>
      <c r="K1739" t="s">
        <v>2649</v>
      </c>
      <c r="L1739" t="s">
        <v>31</v>
      </c>
      <c r="M1739" t="s">
        <v>27</v>
      </c>
      <c r="N1739" t="s">
        <v>27</v>
      </c>
      <c r="O1739" t="s">
        <v>27</v>
      </c>
      <c r="P1739" t="s">
        <v>31</v>
      </c>
      <c r="Q1739" t="s">
        <v>31</v>
      </c>
      <c r="R1739" t="s">
        <v>31</v>
      </c>
      <c r="S1739" t="s">
        <v>31</v>
      </c>
      <c r="T1739" t="s">
        <v>5069</v>
      </c>
    </row>
    <row r="1740" spans="1:20" hidden="1" x14ac:dyDescent="0.3">
      <c r="A1740" t="s">
        <v>76</v>
      </c>
      <c r="B1740" t="s">
        <v>28</v>
      </c>
      <c r="C1740" t="s">
        <v>29</v>
      </c>
      <c r="D1740" t="s">
        <v>64</v>
      </c>
      <c r="E1740">
        <v>2019</v>
      </c>
      <c r="F1740">
        <v>275000</v>
      </c>
      <c r="G1740" t="s">
        <v>31</v>
      </c>
      <c r="H1740" t="s">
        <v>2739</v>
      </c>
      <c r="I1740" t="s">
        <v>77</v>
      </c>
      <c r="J1740" t="s">
        <v>5070</v>
      </c>
      <c r="K1740" t="s">
        <v>31</v>
      </c>
      <c r="L1740" t="s">
        <v>37</v>
      </c>
      <c r="M1740" t="s">
        <v>27</v>
      </c>
      <c r="N1740" t="s">
        <v>27</v>
      </c>
      <c r="O1740" t="s">
        <v>27</v>
      </c>
      <c r="P1740" t="s">
        <v>31</v>
      </c>
      <c r="Q1740">
        <v>100</v>
      </c>
      <c r="R1740" t="s">
        <v>31</v>
      </c>
      <c r="S1740" t="s">
        <v>31</v>
      </c>
      <c r="T1740" t="s">
        <v>31</v>
      </c>
    </row>
    <row r="1741" spans="1:20" hidden="1" x14ac:dyDescent="0.3">
      <c r="A1741" t="s">
        <v>79</v>
      </c>
      <c r="B1741" t="s">
        <v>39</v>
      </c>
      <c r="C1741" t="s">
        <v>40</v>
      </c>
      <c r="D1741" t="s">
        <v>41</v>
      </c>
      <c r="E1741">
        <v>2019</v>
      </c>
      <c r="F1741">
        <v>325000</v>
      </c>
      <c r="G1741" t="s">
        <v>31</v>
      </c>
      <c r="H1741" t="s">
        <v>2645</v>
      </c>
      <c r="I1741" t="s">
        <v>34</v>
      </c>
      <c r="J1741" t="s">
        <v>5071</v>
      </c>
      <c r="K1741" t="s">
        <v>31</v>
      </c>
      <c r="L1741" t="s">
        <v>31</v>
      </c>
      <c r="M1741" t="s">
        <v>27</v>
      </c>
      <c r="N1741" t="s">
        <v>27</v>
      </c>
      <c r="O1741" t="s">
        <v>27</v>
      </c>
      <c r="P1741" t="s">
        <v>31</v>
      </c>
      <c r="Q1741" t="s">
        <v>31</v>
      </c>
      <c r="R1741" t="s">
        <v>31</v>
      </c>
      <c r="S1741" t="s">
        <v>31</v>
      </c>
      <c r="T1741" t="s">
        <v>31</v>
      </c>
    </row>
    <row r="1742" spans="1:20" hidden="1" x14ac:dyDescent="0.3">
      <c r="A1742" t="s">
        <v>83</v>
      </c>
      <c r="B1742" t="s">
        <v>28</v>
      </c>
      <c r="C1742" t="s">
        <v>29</v>
      </c>
      <c r="D1742" t="s">
        <v>64</v>
      </c>
      <c r="E1742">
        <v>2019</v>
      </c>
      <c r="F1742">
        <v>2600000</v>
      </c>
      <c r="G1742" t="s">
        <v>5072</v>
      </c>
      <c r="H1742" t="s">
        <v>2645</v>
      </c>
      <c r="I1742" t="s">
        <v>34</v>
      </c>
      <c r="J1742" t="s">
        <v>5073</v>
      </c>
      <c r="K1742" t="s">
        <v>31</v>
      </c>
      <c r="L1742" t="s">
        <v>31</v>
      </c>
      <c r="M1742" t="s">
        <v>27</v>
      </c>
      <c r="N1742" t="s">
        <v>27</v>
      </c>
      <c r="O1742" t="s">
        <v>33</v>
      </c>
      <c r="P1742" t="s">
        <v>31</v>
      </c>
      <c r="Q1742">
        <v>220</v>
      </c>
      <c r="R1742" t="s">
        <v>31</v>
      </c>
      <c r="S1742" t="s">
        <v>31</v>
      </c>
      <c r="T1742" t="s">
        <v>31</v>
      </c>
    </row>
    <row r="1743" spans="1:20" hidden="1" x14ac:dyDescent="0.3">
      <c r="A1743" t="s">
        <v>96</v>
      </c>
      <c r="B1743" t="s">
        <v>39</v>
      </c>
      <c r="C1743" t="s">
        <v>40</v>
      </c>
      <c r="D1743" t="s">
        <v>41</v>
      </c>
      <c r="E1743">
        <v>2019</v>
      </c>
      <c r="F1743" t="s">
        <v>31</v>
      </c>
      <c r="G1743" t="s">
        <v>31</v>
      </c>
      <c r="H1743" t="s">
        <v>2678</v>
      </c>
      <c r="I1743" t="s">
        <v>53</v>
      </c>
      <c r="J1743" t="s">
        <v>31</v>
      </c>
      <c r="K1743" t="s">
        <v>31</v>
      </c>
      <c r="L1743" t="s">
        <v>31</v>
      </c>
      <c r="M1743" t="s">
        <v>27</v>
      </c>
      <c r="N1743" t="s">
        <v>27</v>
      </c>
      <c r="O1743" t="s">
        <v>27</v>
      </c>
      <c r="P1743" t="s">
        <v>31</v>
      </c>
      <c r="Q1743" t="s">
        <v>31</v>
      </c>
      <c r="R1743" t="s">
        <v>31</v>
      </c>
      <c r="S1743" t="s">
        <v>31</v>
      </c>
      <c r="T1743" t="s">
        <v>31</v>
      </c>
    </row>
    <row r="1744" spans="1:20" hidden="1" x14ac:dyDescent="0.3">
      <c r="A1744" t="s">
        <v>101</v>
      </c>
      <c r="B1744" t="s">
        <v>28</v>
      </c>
      <c r="C1744" t="s">
        <v>29</v>
      </c>
      <c r="D1744" t="s">
        <v>30</v>
      </c>
      <c r="E1744">
        <v>2019</v>
      </c>
      <c r="F1744">
        <v>3400000</v>
      </c>
      <c r="G1744" t="s">
        <v>5074</v>
      </c>
      <c r="H1744" t="s">
        <v>2804</v>
      </c>
      <c r="I1744" t="s">
        <v>102</v>
      </c>
      <c r="J1744" t="s">
        <v>5075</v>
      </c>
      <c r="K1744" t="s">
        <v>31</v>
      </c>
      <c r="L1744" t="s">
        <v>31</v>
      </c>
      <c r="M1744" t="s">
        <v>33</v>
      </c>
      <c r="N1744" t="s">
        <v>33</v>
      </c>
      <c r="O1744" t="s">
        <v>27</v>
      </c>
      <c r="P1744" t="s">
        <v>31</v>
      </c>
      <c r="Q1744">
        <v>298</v>
      </c>
      <c r="R1744" t="s">
        <v>31</v>
      </c>
      <c r="S1744" t="s">
        <v>31</v>
      </c>
      <c r="T1744" t="s">
        <v>31</v>
      </c>
    </row>
    <row r="1745" spans="1:20" hidden="1" x14ac:dyDescent="0.3">
      <c r="A1745" t="s">
        <v>103</v>
      </c>
      <c r="B1745" t="s">
        <v>28</v>
      </c>
      <c r="C1745" t="s">
        <v>29</v>
      </c>
      <c r="D1745" t="s">
        <v>64</v>
      </c>
      <c r="E1745">
        <v>2019</v>
      </c>
      <c r="F1745" t="s">
        <v>31</v>
      </c>
      <c r="G1745" t="s">
        <v>31</v>
      </c>
      <c r="H1745" t="s">
        <v>2719</v>
      </c>
      <c r="I1745" t="s">
        <v>90</v>
      </c>
      <c r="J1745" t="s">
        <v>5076</v>
      </c>
      <c r="K1745" t="s">
        <v>31</v>
      </c>
      <c r="L1745" t="s">
        <v>104</v>
      </c>
      <c r="M1745" t="s">
        <v>27</v>
      </c>
      <c r="N1745" t="s">
        <v>27</v>
      </c>
      <c r="O1745" t="s">
        <v>27</v>
      </c>
      <c r="P1745" t="s">
        <v>31</v>
      </c>
      <c r="Q1745" t="s">
        <v>31</v>
      </c>
      <c r="R1745" t="s">
        <v>31</v>
      </c>
      <c r="S1745" t="s">
        <v>31</v>
      </c>
      <c r="T1745" t="s">
        <v>31</v>
      </c>
    </row>
    <row r="1746" spans="1:20" hidden="1" x14ac:dyDescent="0.3">
      <c r="A1746" t="s">
        <v>112</v>
      </c>
      <c r="B1746" t="s">
        <v>91</v>
      </c>
      <c r="C1746" t="s">
        <v>2712</v>
      </c>
      <c r="D1746" t="s">
        <v>105</v>
      </c>
      <c r="E1746">
        <v>2019</v>
      </c>
      <c r="F1746" t="s">
        <v>31</v>
      </c>
      <c r="G1746" t="s">
        <v>31</v>
      </c>
      <c r="H1746" t="s">
        <v>2678</v>
      </c>
      <c r="I1746" t="s">
        <v>53</v>
      </c>
      <c r="J1746" t="s">
        <v>5077</v>
      </c>
      <c r="K1746" t="s">
        <v>31</v>
      </c>
      <c r="L1746" t="s">
        <v>31</v>
      </c>
      <c r="M1746" t="s">
        <v>27</v>
      </c>
      <c r="N1746" t="s">
        <v>27</v>
      </c>
      <c r="O1746" t="s">
        <v>33</v>
      </c>
      <c r="P1746" t="s">
        <v>31</v>
      </c>
      <c r="Q1746" t="s">
        <v>31</v>
      </c>
      <c r="R1746" t="s">
        <v>31</v>
      </c>
      <c r="S1746" t="s">
        <v>31</v>
      </c>
      <c r="T1746" t="s">
        <v>31</v>
      </c>
    </row>
    <row r="1747" spans="1:20" hidden="1" x14ac:dyDescent="0.3">
      <c r="A1747" t="s">
        <v>113</v>
      </c>
      <c r="B1747" t="s">
        <v>43</v>
      </c>
      <c r="C1747" t="s">
        <v>2665</v>
      </c>
      <c r="D1747" t="s">
        <v>114</v>
      </c>
      <c r="E1747">
        <v>2019</v>
      </c>
      <c r="F1747" t="s">
        <v>31</v>
      </c>
      <c r="G1747" t="s">
        <v>31</v>
      </c>
      <c r="H1747" t="s">
        <v>2680</v>
      </c>
      <c r="I1747" t="s">
        <v>115</v>
      </c>
      <c r="J1747" t="s">
        <v>5078</v>
      </c>
      <c r="K1747" t="s">
        <v>31</v>
      </c>
      <c r="L1747" t="s">
        <v>31</v>
      </c>
      <c r="M1747" t="s">
        <v>27</v>
      </c>
      <c r="N1747" t="s">
        <v>27</v>
      </c>
      <c r="O1747" t="s">
        <v>27</v>
      </c>
      <c r="P1747" t="s">
        <v>31</v>
      </c>
      <c r="Q1747" t="s">
        <v>31</v>
      </c>
      <c r="R1747" t="s">
        <v>31</v>
      </c>
      <c r="S1747" t="s">
        <v>31</v>
      </c>
      <c r="T1747" t="s">
        <v>31</v>
      </c>
    </row>
    <row r="1748" spans="1:20" hidden="1" x14ac:dyDescent="0.3">
      <c r="A1748" t="s">
        <v>118</v>
      </c>
      <c r="B1748" t="s">
        <v>51</v>
      </c>
      <c r="C1748" t="s">
        <v>37</v>
      </c>
      <c r="D1748" t="s">
        <v>56</v>
      </c>
      <c r="E1748">
        <v>2019</v>
      </c>
      <c r="F1748" t="s">
        <v>31</v>
      </c>
      <c r="G1748" t="s">
        <v>31</v>
      </c>
      <c r="H1748" t="s">
        <v>2656</v>
      </c>
      <c r="I1748" t="s">
        <v>119</v>
      </c>
      <c r="J1748" t="s">
        <v>5079</v>
      </c>
      <c r="K1748" t="s">
        <v>2649</v>
      </c>
      <c r="L1748" t="s">
        <v>31</v>
      </c>
      <c r="M1748" t="s">
        <v>27</v>
      </c>
      <c r="N1748" t="s">
        <v>27</v>
      </c>
      <c r="O1748" t="s">
        <v>27</v>
      </c>
      <c r="P1748" t="s">
        <v>31</v>
      </c>
      <c r="Q1748" t="s">
        <v>31</v>
      </c>
      <c r="R1748" t="s">
        <v>31</v>
      </c>
      <c r="S1748" t="s">
        <v>31</v>
      </c>
      <c r="T1748" t="s">
        <v>31</v>
      </c>
    </row>
    <row r="1749" spans="1:20" hidden="1" x14ac:dyDescent="0.3">
      <c r="A1749" t="s">
        <v>120</v>
      </c>
      <c r="B1749" t="s">
        <v>51</v>
      </c>
      <c r="C1749" t="s">
        <v>37</v>
      </c>
      <c r="D1749" t="s">
        <v>52</v>
      </c>
      <c r="E1749">
        <v>2019</v>
      </c>
      <c r="F1749" t="s">
        <v>31</v>
      </c>
      <c r="G1749" t="s">
        <v>31</v>
      </c>
      <c r="H1749" t="s">
        <v>2672</v>
      </c>
      <c r="I1749" t="s">
        <v>73</v>
      </c>
      <c r="J1749" t="s">
        <v>5080</v>
      </c>
      <c r="K1749" t="s">
        <v>2649</v>
      </c>
      <c r="L1749" t="s">
        <v>31</v>
      </c>
      <c r="M1749" t="s">
        <v>27</v>
      </c>
      <c r="N1749" t="s">
        <v>27</v>
      </c>
      <c r="O1749" t="s">
        <v>27</v>
      </c>
      <c r="P1749" t="s">
        <v>31</v>
      </c>
      <c r="Q1749" t="s">
        <v>31</v>
      </c>
      <c r="R1749" t="s">
        <v>31</v>
      </c>
      <c r="S1749" t="s">
        <v>31</v>
      </c>
      <c r="T1749" t="s">
        <v>31</v>
      </c>
    </row>
    <row r="1750" spans="1:20" hidden="1" x14ac:dyDescent="0.3">
      <c r="A1750" t="s">
        <v>125</v>
      </c>
      <c r="B1750" t="s">
        <v>51</v>
      </c>
      <c r="C1750" t="s">
        <v>37</v>
      </c>
      <c r="D1750" t="s">
        <v>121</v>
      </c>
      <c r="E1750">
        <v>2019</v>
      </c>
      <c r="F1750" t="s">
        <v>31</v>
      </c>
      <c r="G1750" t="s">
        <v>31</v>
      </c>
      <c r="H1750" t="s">
        <v>2769</v>
      </c>
      <c r="I1750" t="s">
        <v>117</v>
      </c>
      <c r="J1750" t="s">
        <v>5081</v>
      </c>
      <c r="K1750" t="s">
        <v>2649</v>
      </c>
      <c r="L1750" t="s">
        <v>31</v>
      </c>
      <c r="M1750" t="s">
        <v>27</v>
      </c>
      <c r="N1750" t="s">
        <v>27</v>
      </c>
      <c r="O1750" t="s">
        <v>27</v>
      </c>
      <c r="P1750" t="s">
        <v>31</v>
      </c>
      <c r="Q1750" t="s">
        <v>31</v>
      </c>
      <c r="R1750" t="s">
        <v>31</v>
      </c>
      <c r="S1750" t="s">
        <v>31</v>
      </c>
      <c r="T1750" t="s">
        <v>4610</v>
      </c>
    </row>
    <row r="1751" spans="1:20" hidden="1" x14ac:dyDescent="0.3">
      <c r="A1751" t="s">
        <v>128</v>
      </c>
      <c r="B1751" t="s">
        <v>51</v>
      </c>
      <c r="C1751" t="s">
        <v>37</v>
      </c>
      <c r="D1751" t="s">
        <v>52</v>
      </c>
      <c r="E1751">
        <v>2019</v>
      </c>
      <c r="F1751" t="s">
        <v>31</v>
      </c>
      <c r="G1751" t="s">
        <v>31</v>
      </c>
      <c r="H1751" t="s">
        <v>2749</v>
      </c>
      <c r="I1751" t="s">
        <v>45</v>
      </c>
      <c r="J1751" t="s">
        <v>5082</v>
      </c>
      <c r="K1751" t="s">
        <v>2649</v>
      </c>
      <c r="L1751" t="s">
        <v>31</v>
      </c>
      <c r="M1751" t="s">
        <v>27</v>
      </c>
      <c r="N1751" t="s">
        <v>27</v>
      </c>
      <c r="O1751" t="s">
        <v>27</v>
      </c>
      <c r="P1751" t="s">
        <v>31</v>
      </c>
      <c r="Q1751" t="s">
        <v>31</v>
      </c>
      <c r="R1751" t="s">
        <v>31</v>
      </c>
      <c r="S1751" t="s">
        <v>31</v>
      </c>
      <c r="T1751" t="s">
        <v>31</v>
      </c>
    </row>
    <row r="1752" spans="1:20" hidden="1" x14ac:dyDescent="0.3">
      <c r="A1752" t="s">
        <v>129</v>
      </c>
      <c r="B1752" t="s">
        <v>51</v>
      </c>
      <c r="C1752" t="s">
        <v>37</v>
      </c>
      <c r="D1752" t="s">
        <v>52</v>
      </c>
      <c r="E1752">
        <v>2019</v>
      </c>
      <c r="F1752" t="s">
        <v>31</v>
      </c>
      <c r="G1752" t="s">
        <v>31</v>
      </c>
      <c r="H1752" t="s">
        <v>2658</v>
      </c>
      <c r="I1752" t="s">
        <v>130</v>
      </c>
      <c r="J1752" t="s">
        <v>5083</v>
      </c>
      <c r="K1752" t="s">
        <v>5084</v>
      </c>
      <c r="L1752" t="s">
        <v>31</v>
      </c>
      <c r="M1752" t="s">
        <v>27</v>
      </c>
      <c r="N1752" t="s">
        <v>27</v>
      </c>
      <c r="O1752" t="s">
        <v>27</v>
      </c>
      <c r="P1752" t="s">
        <v>31</v>
      </c>
      <c r="Q1752" t="s">
        <v>31</v>
      </c>
      <c r="R1752" t="s">
        <v>31</v>
      </c>
      <c r="S1752" t="s">
        <v>31</v>
      </c>
      <c r="T1752" t="s">
        <v>31</v>
      </c>
    </row>
    <row r="1753" spans="1:20" hidden="1" x14ac:dyDescent="0.3">
      <c r="A1753" t="s">
        <v>131</v>
      </c>
      <c r="B1753" t="s">
        <v>51</v>
      </c>
      <c r="C1753" t="s">
        <v>37</v>
      </c>
      <c r="D1753" t="s">
        <v>52</v>
      </c>
      <c r="E1753">
        <v>2019</v>
      </c>
      <c r="F1753" t="s">
        <v>31</v>
      </c>
      <c r="G1753" t="s">
        <v>31</v>
      </c>
      <c r="H1753" t="s">
        <v>2658</v>
      </c>
      <c r="I1753" t="s">
        <v>130</v>
      </c>
      <c r="J1753" t="s">
        <v>5085</v>
      </c>
      <c r="K1753" t="s">
        <v>2649</v>
      </c>
      <c r="L1753" t="s">
        <v>31</v>
      </c>
      <c r="M1753" t="s">
        <v>27</v>
      </c>
      <c r="N1753" t="s">
        <v>27</v>
      </c>
      <c r="O1753" t="s">
        <v>27</v>
      </c>
      <c r="P1753" t="s">
        <v>31</v>
      </c>
      <c r="Q1753" t="s">
        <v>31</v>
      </c>
      <c r="R1753" t="s">
        <v>31</v>
      </c>
      <c r="S1753" t="s">
        <v>31</v>
      </c>
      <c r="T1753" t="s">
        <v>31</v>
      </c>
    </row>
    <row r="1754" spans="1:20" hidden="1" x14ac:dyDescent="0.3">
      <c r="A1754" t="s">
        <v>133</v>
      </c>
      <c r="B1754" t="s">
        <v>51</v>
      </c>
      <c r="C1754" t="s">
        <v>2655</v>
      </c>
      <c r="D1754" t="s">
        <v>134</v>
      </c>
      <c r="E1754">
        <v>2019</v>
      </c>
      <c r="F1754" t="s">
        <v>31</v>
      </c>
      <c r="G1754" t="s">
        <v>31</v>
      </c>
      <c r="H1754" t="s">
        <v>2647</v>
      </c>
      <c r="I1754" t="s">
        <v>47</v>
      </c>
      <c r="J1754" t="s">
        <v>5086</v>
      </c>
      <c r="K1754" t="s">
        <v>2649</v>
      </c>
      <c r="L1754" t="s">
        <v>31</v>
      </c>
      <c r="M1754" t="s">
        <v>27</v>
      </c>
      <c r="N1754" t="s">
        <v>27</v>
      </c>
      <c r="O1754" t="s">
        <v>27</v>
      </c>
      <c r="P1754" t="s">
        <v>31</v>
      </c>
      <c r="Q1754" t="s">
        <v>31</v>
      </c>
      <c r="R1754" t="s">
        <v>31</v>
      </c>
      <c r="S1754" t="s">
        <v>31</v>
      </c>
      <c r="T1754" t="s">
        <v>31</v>
      </c>
    </row>
    <row r="1755" spans="1:20" hidden="1" x14ac:dyDescent="0.3">
      <c r="A1755" t="s">
        <v>149</v>
      </c>
      <c r="B1755" t="s">
        <v>51</v>
      </c>
      <c r="C1755" t="s">
        <v>2655</v>
      </c>
      <c r="D1755" t="s">
        <v>150</v>
      </c>
      <c r="E1755">
        <v>2019</v>
      </c>
      <c r="F1755" t="s">
        <v>31</v>
      </c>
      <c r="G1755" t="s">
        <v>31</v>
      </c>
      <c r="H1755" t="s">
        <v>2669</v>
      </c>
      <c r="I1755" t="s">
        <v>111</v>
      </c>
      <c r="J1755" t="s">
        <v>5087</v>
      </c>
      <c r="K1755" t="s">
        <v>3054</v>
      </c>
      <c r="L1755" t="s">
        <v>31</v>
      </c>
      <c r="M1755" t="s">
        <v>27</v>
      </c>
      <c r="N1755" t="s">
        <v>27</v>
      </c>
      <c r="O1755" t="s">
        <v>27</v>
      </c>
      <c r="P1755" t="s">
        <v>31</v>
      </c>
      <c r="Q1755" t="s">
        <v>31</v>
      </c>
      <c r="R1755" t="s">
        <v>31</v>
      </c>
      <c r="S1755" t="s">
        <v>31</v>
      </c>
      <c r="T1755" t="s">
        <v>31</v>
      </c>
    </row>
    <row r="1756" spans="1:20" hidden="1" x14ac:dyDescent="0.3">
      <c r="A1756" t="s">
        <v>151</v>
      </c>
      <c r="B1756" t="s">
        <v>28</v>
      </c>
      <c r="C1756" t="s">
        <v>29</v>
      </c>
      <c r="D1756" t="s">
        <v>99</v>
      </c>
      <c r="E1756">
        <v>2019</v>
      </c>
      <c r="F1756">
        <v>1200000</v>
      </c>
      <c r="G1756" t="s">
        <v>5088</v>
      </c>
      <c r="H1756" t="s">
        <v>2645</v>
      </c>
      <c r="I1756" t="s">
        <v>34</v>
      </c>
      <c r="J1756" t="s">
        <v>5089</v>
      </c>
      <c r="K1756" t="s">
        <v>31</v>
      </c>
      <c r="L1756" t="s">
        <v>100</v>
      </c>
      <c r="M1756" t="s">
        <v>27</v>
      </c>
      <c r="N1756" t="s">
        <v>27</v>
      </c>
      <c r="O1756" t="s">
        <v>27</v>
      </c>
      <c r="P1756" t="s">
        <v>31</v>
      </c>
      <c r="Q1756" t="s">
        <v>31</v>
      </c>
      <c r="R1756" t="s">
        <v>31</v>
      </c>
      <c r="S1756" t="s">
        <v>31</v>
      </c>
      <c r="T1756" t="s">
        <v>31</v>
      </c>
    </row>
    <row r="1757" spans="1:20" hidden="1" x14ac:dyDescent="0.3">
      <c r="A1757" t="s">
        <v>152</v>
      </c>
      <c r="B1757" t="s">
        <v>51</v>
      </c>
      <c r="C1757" t="s">
        <v>37</v>
      </c>
      <c r="D1757" t="s">
        <v>52</v>
      </c>
      <c r="E1757">
        <v>2019</v>
      </c>
      <c r="F1757" t="s">
        <v>31</v>
      </c>
      <c r="G1757" t="s">
        <v>5090</v>
      </c>
      <c r="H1757" t="s">
        <v>2647</v>
      </c>
      <c r="I1757" t="s">
        <v>47</v>
      </c>
      <c r="J1757" t="s">
        <v>5091</v>
      </c>
      <c r="K1757" t="s">
        <v>2649</v>
      </c>
      <c r="L1757" t="s">
        <v>31</v>
      </c>
      <c r="M1757" t="s">
        <v>27</v>
      </c>
      <c r="N1757" t="s">
        <v>27</v>
      </c>
      <c r="O1757" t="s">
        <v>27</v>
      </c>
      <c r="P1757" t="s">
        <v>31</v>
      </c>
      <c r="Q1757" t="s">
        <v>31</v>
      </c>
      <c r="R1757" t="s">
        <v>31</v>
      </c>
      <c r="S1757" t="s">
        <v>31</v>
      </c>
      <c r="T1757" t="s">
        <v>5092</v>
      </c>
    </row>
    <row r="1758" spans="1:20" hidden="1" x14ac:dyDescent="0.3">
      <c r="A1758" t="s">
        <v>154</v>
      </c>
      <c r="B1758" t="s">
        <v>51</v>
      </c>
      <c r="C1758" t="s">
        <v>37</v>
      </c>
      <c r="D1758" t="s">
        <v>52</v>
      </c>
      <c r="E1758">
        <v>2019</v>
      </c>
      <c r="F1758" t="s">
        <v>31</v>
      </c>
      <c r="G1758" t="s">
        <v>31</v>
      </c>
      <c r="H1758" t="s">
        <v>2678</v>
      </c>
      <c r="I1758" t="s">
        <v>53</v>
      </c>
      <c r="J1758" t="s">
        <v>5093</v>
      </c>
      <c r="K1758" t="s">
        <v>31</v>
      </c>
      <c r="L1758" t="s">
        <v>155</v>
      </c>
      <c r="M1758" t="s">
        <v>27</v>
      </c>
      <c r="N1758" t="s">
        <v>27</v>
      </c>
      <c r="O1758" t="s">
        <v>27</v>
      </c>
      <c r="P1758" t="s">
        <v>31</v>
      </c>
      <c r="Q1758" t="s">
        <v>31</v>
      </c>
      <c r="R1758" t="s">
        <v>31</v>
      </c>
      <c r="S1758" t="s">
        <v>31</v>
      </c>
      <c r="T1758" t="s">
        <v>31</v>
      </c>
    </row>
    <row r="1759" spans="1:20" hidden="1" x14ac:dyDescent="0.3">
      <c r="A1759" t="s">
        <v>160</v>
      </c>
      <c r="B1759" t="s">
        <v>39</v>
      </c>
      <c r="C1759" t="s">
        <v>157</v>
      </c>
      <c r="D1759" t="s">
        <v>157</v>
      </c>
      <c r="E1759">
        <v>2019</v>
      </c>
      <c r="F1759" t="s">
        <v>31</v>
      </c>
      <c r="G1759" t="s">
        <v>31</v>
      </c>
      <c r="H1759" t="s">
        <v>2695</v>
      </c>
      <c r="I1759" t="s">
        <v>161</v>
      </c>
      <c r="J1759" t="s">
        <v>31</v>
      </c>
      <c r="K1759" t="s">
        <v>5023</v>
      </c>
      <c r="L1759" t="s">
        <v>31</v>
      </c>
      <c r="M1759" t="s">
        <v>27</v>
      </c>
      <c r="N1759" t="s">
        <v>27</v>
      </c>
      <c r="O1759" t="s">
        <v>27</v>
      </c>
      <c r="P1759" t="s">
        <v>31</v>
      </c>
      <c r="Q1759" t="s">
        <v>31</v>
      </c>
      <c r="R1759" t="s">
        <v>31</v>
      </c>
      <c r="S1759" t="s">
        <v>31</v>
      </c>
      <c r="T1759" t="s">
        <v>31</v>
      </c>
    </row>
    <row r="1760" spans="1:20" hidden="1" x14ac:dyDescent="0.3">
      <c r="A1760" t="s">
        <v>1243</v>
      </c>
      <c r="B1760" t="s">
        <v>28</v>
      </c>
      <c r="C1760" t="s">
        <v>29</v>
      </c>
      <c r="D1760" t="s">
        <v>67</v>
      </c>
      <c r="E1760">
        <v>2019</v>
      </c>
      <c r="F1760" t="s">
        <v>31</v>
      </c>
      <c r="G1760" t="s">
        <v>31</v>
      </c>
      <c r="H1760" t="s">
        <v>2645</v>
      </c>
      <c r="I1760" t="s">
        <v>34</v>
      </c>
      <c r="J1760" t="s">
        <v>5094</v>
      </c>
      <c r="K1760" t="s">
        <v>31</v>
      </c>
      <c r="L1760" t="s">
        <v>355</v>
      </c>
      <c r="M1760" t="s">
        <v>27</v>
      </c>
      <c r="N1760" t="s">
        <v>27</v>
      </c>
      <c r="O1760" t="s">
        <v>33</v>
      </c>
      <c r="P1760" t="s">
        <v>31</v>
      </c>
      <c r="Q1760" t="s">
        <v>31</v>
      </c>
      <c r="R1760" t="s">
        <v>31</v>
      </c>
      <c r="S1760" t="s">
        <v>31</v>
      </c>
      <c r="T1760" t="s">
        <v>31</v>
      </c>
    </row>
    <row r="1761" spans="1:20" hidden="1" x14ac:dyDescent="0.3">
      <c r="A1761" t="s">
        <v>1244</v>
      </c>
      <c r="B1761" t="s">
        <v>51</v>
      </c>
      <c r="C1761" t="s">
        <v>37</v>
      </c>
      <c r="D1761" t="s">
        <v>52</v>
      </c>
      <c r="E1761">
        <v>2019</v>
      </c>
      <c r="F1761" t="s">
        <v>31</v>
      </c>
      <c r="G1761" t="s">
        <v>5095</v>
      </c>
      <c r="H1761" t="s">
        <v>2669</v>
      </c>
      <c r="I1761" t="s">
        <v>111</v>
      </c>
      <c r="J1761" t="s">
        <v>5096</v>
      </c>
      <c r="K1761" t="s">
        <v>5097</v>
      </c>
      <c r="L1761" t="s">
        <v>155</v>
      </c>
      <c r="M1761" t="s">
        <v>27</v>
      </c>
      <c r="N1761" t="s">
        <v>27</v>
      </c>
      <c r="O1761" t="s">
        <v>33</v>
      </c>
      <c r="P1761" t="s">
        <v>31</v>
      </c>
      <c r="Q1761" t="s">
        <v>31</v>
      </c>
      <c r="R1761" t="s">
        <v>31</v>
      </c>
      <c r="S1761" t="s">
        <v>31</v>
      </c>
      <c r="T1761" t="s">
        <v>31</v>
      </c>
    </row>
    <row r="1762" spans="1:20" hidden="1" x14ac:dyDescent="0.3">
      <c r="A1762" t="s">
        <v>1245</v>
      </c>
      <c r="B1762" t="s">
        <v>51</v>
      </c>
      <c r="C1762" t="s">
        <v>37</v>
      </c>
      <c r="D1762" t="s">
        <v>52</v>
      </c>
      <c r="E1762">
        <v>2019</v>
      </c>
      <c r="F1762" t="s">
        <v>31</v>
      </c>
      <c r="G1762" t="s">
        <v>31</v>
      </c>
      <c r="H1762" t="s">
        <v>2666</v>
      </c>
      <c r="I1762" t="s">
        <v>109</v>
      </c>
      <c r="J1762" t="s">
        <v>5098</v>
      </c>
      <c r="K1762" t="s">
        <v>2649</v>
      </c>
      <c r="L1762" t="s">
        <v>31</v>
      </c>
      <c r="M1762" t="s">
        <v>27</v>
      </c>
      <c r="N1762" t="s">
        <v>27</v>
      </c>
      <c r="O1762" t="s">
        <v>27</v>
      </c>
      <c r="P1762" t="s">
        <v>31</v>
      </c>
      <c r="Q1762" t="s">
        <v>31</v>
      </c>
      <c r="R1762" t="s">
        <v>31</v>
      </c>
      <c r="S1762" t="s">
        <v>31</v>
      </c>
      <c r="T1762" t="s">
        <v>5099</v>
      </c>
    </row>
    <row r="1763" spans="1:20" hidden="1" x14ac:dyDescent="0.3">
      <c r="A1763" t="s">
        <v>1246</v>
      </c>
      <c r="B1763" t="s">
        <v>28</v>
      </c>
      <c r="C1763" t="s">
        <v>29</v>
      </c>
      <c r="D1763" t="s">
        <v>97</v>
      </c>
      <c r="E1763">
        <v>2019</v>
      </c>
      <c r="F1763">
        <v>190000</v>
      </c>
      <c r="G1763" t="s">
        <v>31</v>
      </c>
      <c r="H1763" t="s">
        <v>2645</v>
      </c>
      <c r="I1763" t="s">
        <v>34</v>
      </c>
      <c r="J1763" t="s">
        <v>5100</v>
      </c>
      <c r="K1763" t="s">
        <v>31</v>
      </c>
      <c r="L1763" t="s">
        <v>31</v>
      </c>
      <c r="M1763" t="s">
        <v>27</v>
      </c>
      <c r="N1763" t="s">
        <v>27</v>
      </c>
      <c r="O1763" t="s">
        <v>27</v>
      </c>
      <c r="P1763" t="s">
        <v>31</v>
      </c>
      <c r="Q1763" t="s">
        <v>31</v>
      </c>
      <c r="R1763" t="s">
        <v>31</v>
      </c>
      <c r="S1763" t="s">
        <v>31</v>
      </c>
      <c r="T1763" t="s">
        <v>31</v>
      </c>
    </row>
    <row r="1764" spans="1:20" hidden="1" x14ac:dyDescent="0.3">
      <c r="A1764" t="s">
        <v>1247</v>
      </c>
      <c r="B1764" t="s">
        <v>51</v>
      </c>
      <c r="C1764" t="s">
        <v>37</v>
      </c>
      <c r="D1764" t="s">
        <v>52</v>
      </c>
      <c r="E1764">
        <v>2019</v>
      </c>
      <c r="F1764" t="s">
        <v>31</v>
      </c>
      <c r="G1764" t="s">
        <v>5101</v>
      </c>
      <c r="H1764" t="s">
        <v>2678</v>
      </c>
      <c r="I1764" t="s">
        <v>53</v>
      </c>
      <c r="J1764" t="s">
        <v>5102</v>
      </c>
      <c r="K1764" t="s">
        <v>2649</v>
      </c>
      <c r="L1764" t="s">
        <v>54</v>
      </c>
      <c r="M1764" t="s">
        <v>27</v>
      </c>
      <c r="N1764" t="s">
        <v>27</v>
      </c>
      <c r="O1764" t="s">
        <v>27</v>
      </c>
      <c r="P1764" t="s">
        <v>31</v>
      </c>
      <c r="Q1764" t="s">
        <v>31</v>
      </c>
      <c r="R1764" t="s">
        <v>31</v>
      </c>
      <c r="S1764" t="s">
        <v>31</v>
      </c>
      <c r="T1764" t="s">
        <v>31</v>
      </c>
    </row>
    <row r="1765" spans="1:20" hidden="1" x14ac:dyDescent="0.3">
      <c r="A1765" t="s">
        <v>1248</v>
      </c>
      <c r="B1765" t="s">
        <v>51</v>
      </c>
      <c r="C1765" t="s">
        <v>37</v>
      </c>
      <c r="D1765" t="s">
        <v>52</v>
      </c>
      <c r="E1765">
        <v>2019</v>
      </c>
      <c r="F1765" t="s">
        <v>31</v>
      </c>
      <c r="G1765" t="s">
        <v>31</v>
      </c>
      <c r="H1765" t="s">
        <v>2656</v>
      </c>
      <c r="I1765" t="s">
        <v>119</v>
      </c>
      <c r="J1765" t="s">
        <v>5103</v>
      </c>
      <c r="K1765" t="s">
        <v>3054</v>
      </c>
      <c r="L1765" t="s">
        <v>54</v>
      </c>
      <c r="M1765" t="s">
        <v>27</v>
      </c>
      <c r="N1765" t="s">
        <v>27</v>
      </c>
      <c r="O1765" t="s">
        <v>27</v>
      </c>
      <c r="P1765" t="s">
        <v>31</v>
      </c>
      <c r="Q1765">
        <v>20310.38</v>
      </c>
      <c r="R1765">
        <v>-23.539000000000001</v>
      </c>
      <c r="S1765">
        <v>-46.124000000000002</v>
      </c>
      <c r="T1765" t="s">
        <v>31</v>
      </c>
    </row>
    <row r="1766" spans="1:20" hidden="1" x14ac:dyDescent="0.3">
      <c r="A1766" t="s">
        <v>1249</v>
      </c>
      <c r="B1766" t="s">
        <v>51</v>
      </c>
      <c r="C1766" t="s">
        <v>37</v>
      </c>
      <c r="D1766" t="s">
        <v>121</v>
      </c>
      <c r="E1766">
        <v>2019</v>
      </c>
      <c r="F1766">
        <v>10000000</v>
      </c>
      <c r="G1766" t="s">
        <v>5104</v>
      </c>
      <c r="H1766" t="s">
        <v>2645</v>
      </c>
      <c r="I1766" t="s">
        <v>34</v>
      </c>
      <c r="J1766" t="s">
        <v>5105</v>
      </c>
      <c r="K1766" t="s">
        <v>5106</v>
      </c>
      <c r="L1766" t="s">
        <v>29</v>
      </c>
      <c r="M1766" t="s">
        <v>27</v>
      </c>
      <c r="N1766" t="s">
        <v>27</v>
      </c>
      <c r="O1766" t="s">
        <v>27</v>
      </c>
      <c r="P1766" t="s">
        <v>31</v>
      </c>
      <c r="Q1766" t="s">
        <v>31</v>
      </c>
      <c r="R1766" t="s">
        <v>31</v>
      </c>
      <c r="S1766" t="s">
        <v>31</v>
      </c>
      <c r="T1766" t="s">
        <v>31</v>
      </c>
    </row>
    <row r="1767" spans="1:20" hidden="1" x14ac:dyDescent="0.3">
      <c r="A1767" t="s">
        <v>1250</v>
      </c>
      <c r="B1767" t="s">
        <v>51</v>
      </c>
      <c r="C1767" t="s">
        <v>37</v>
      </c>
      <c r="D1767" t="s">
        <v>52</v>
      </c>
      <c r="E1767">
        <v>2019</v>
      </c>
      <c r="F1767">
        <v>800000</v>
      </c>
      <c r="G1767" t="s">
        <v>5107</v>
      </c>
      <c r="H1767" t="s">
        <v>2739</v>
      </c>
      <c r="I1767" t="s">
        <v>77</v>
      </c>
      <c r="J1767" t="s">
        <v>5108</v>
      </c>
      <c r="K1767" t="s">
        <v>5109</v>
      </c>
      <c r="L1767" t="s">
        <v>402</v>
      </c>
      <c r="M1767" t="s">
        <v>27</v>
      </c>
      <c r="N1767" t="s">
        <v>27</v>
      </c>
      <c r="O1767" t="s">
        <v>27</v>
      </c>
      <c r="P1767" t="s">
        <v>31</v>
      </c>
      <c r="Q1767" t="s">
        <v>31</v>
      </c>
      <c r="R1767" t="s">
        <v>31</v>
      </c>
      <c r="S1767" t="s">
        <v>31</v>
      </c>
      <c r="T1767" t="s">
        <v>5110</v>
      </c>
    </row>
    <row r="1768" spans="1:20" hidden="1" x14ac:dyDescent="0.3">
      <c r="A1768" t="s">
        <v>1251</v>
      </c>
      <c r="B1768" t="s">
        <v>28</v>
      </c>
      <c r="C1768" t="s">
        <v>29</v>
      </c>
      <c r="D1768" t="s">
        <v>99</v>
      </c>
      <c r="E1768">
        <v>2019</v>
      </c>
      <c r="F1768" t="s">
        <v>31</v>
      </c>
      <c r="G1768" t="s">
        <v>31</v>
      </c>
      <c r="H1768" t="s">
        <v>2645</v>
      </c>
      <c r="I1768" t="s">
        <v>34</v>
      </c>
      <c r="J1768" t="s">
        <v>5111</v>
      </c>
      <c r="K1768" t="s">
        <v>31</v>
      </c>
      <c r="L1768" t="s">
        <v>37</v>
      </c>
      <c r="M1768" t="s">
        <v>27</v>
      </c>
      <c r="N1768" t="s">
        <v>27</v>
      </c>
      <c r="O1768" t="s">
        <v>33</v>
      </c>
      <c r="P1768" t="s">
        <v>31</v>
      </c>
      <c r="Q1768" t="s">
        <v>31</v>
      </c>
      <c r="R1768" t="s">
        <v>31</v>
      </c>
      <c r="S1768" t="s">
        <v>31</v>
      </c>
      <c r="T1768" t="s">
        <v>31</v>
      </c>
    </row>
    <row r="1769" spans="1:20" hidden="1" x14ac:dyDescent="0.3">
      <c r="A1769" t="s">
        <v>1253</v>
      </c>
      <c r="B1769" t="s">
        <v>51</v>
      </c>
      <c r="C1769" t="s">
        <v>37</v>
      </c>
      <c r="D1769" t="s">
        <v>52</v>
      </c>
      <c r="E1769">
        <v>2019</v>
      </c>
      <c r="F1769" t="s">
        <v>31</v>
      </c>
      <c r="G1769" t="s">
        <v>31</v>
      </c>
      <c r="H1769" t="s">
        <v>2769</v>
      </c>
      <c r="I1769" t="s">
        <v>117</v>
      </c>
      <c r="J1769" t="s">
        <v>5112</v>
      </c>
      <c r="K1769" t="s">
        <v>2649</v>
      </c>
      <c r="L1769" t="s">
        <v>31</v>
      </c>
      <c r="M1769" t="s">
        <v>27</v>
      </c>
      <c r="N1769" t="s">
        <v>27</v>
      </c>
      <c r="O1769" t="s">
        <v>33</v>
      </c>
      <c r="P1769" t="s">
        <v>31</v>
      </c>
      <c r="Q1769" t="s">
        <v>31</v>
      </c>
      <c r="R1769" t="s">
        <v>31</v>
      </c>
      <c r="S1769" t="s">
        <v>31</v>
      </c>
      <c r="T1769" t="s">
        <v>5113</v>
      </c>
    </row>
    <row r="1770" spans="1:20" hidden="1" x14ac:dyDescent="0.3">
      <c r="A1770" t="s">
        <v>1254</v>
      </c>
      <c r="B1770" t="s">
        <v>51</v>
      </c>
      <c r="C1770" t="s">
        <v>37</v>
      </c>
      <c r="D1770" t="s">
        <v>52</v>
      </c>
      <c r="E1770">
        <v>2019</v>
      </c>
      <c r="F1770" t="s">
        <v>31</v>
      </c>
      <c r="G1770" t="s">
        <v>31</v>
      </c>
      <c r="H1770" t="s">
        <v>2672</v>
      </c>
      <c r="I1770" t="s">
        <v>73</v>
      </c>
      <c r="J1770" t="s">
        <v>5114</v>
      </c>
      <c r="K1770" t="s">
        <v>2649</v>
      </c>
      <c r="L1770" t="s">
        <v>155</v>
      </c>
      <c r="M1770" t="s">
        <v>27</v>
      </c>
      <c r="N1770" t="s">
        <v>27</v>
      </c>
      <c r="O1770" t="s">
        <v>27</v>
      </c>
      <c r="P1770" t="s">
        <v>31</v>
      </c>
      <c r="Q1770">
        <v>34619.97</v>
      </c>
      <c r="R1770">
        <v>20.175999999999998</v>
      </c>
      <c r="S1770">
        <v>-103.182</v>
      </c>
      <c r="T1770" t="s">
        <v>5115</v>
      </c>
    </row>
    <row r="1771" spans="1:20" hidden="1" x14ac:dyDescent="0.3">
      <c r="A1771" t="s">
        <v>1255</v>
      </c>
      <c r="B1771" t="s">
        <v>91</v>
      </c>
      <c r="C1771" t="s">
        <v>92</v>
      </c>
      <c r="D1771" t="s">
        <v>93</v>
      </c>
      <c r="E1771">
        <v>2019</v>
      </c>
      <c r="F1771" t="s">
        <v>31</v>
      </c>
      <c r="G1771" t="s">
        <v>5116</v>
      </c>
      <c r="H1771" t="s">
        <v>2666</v>
      </c>
      <c r="I1771" t="s">
        <v>109</v>
      </c>
      <c r="J1771" t="s">
        <v>5117</v>
      </c>
      <c r="K1771" t="s">
        <v>31</v>
      </c>
      <c r="L1771" t="s">
        <v>31</v>
      </c>
      <c r="M1771" t="s">
        <v>27</v>
      </c>
      <c r="N1771" t="s">
        <v>27</v>
      </c>
      <c r="O1771" t="s">
        <v>27</v>
      </c>
      <c r="P1771" t="s">
        <v>31</v>
      </c>
      <c r="Q1771">
        <v>8</v>
      </c>
      <c r="R1771">
        <v>-5.8120000000000003</v>
      </c>
      <c r="S1771">
        <v>-75.27</v>
      </c>
      <c r="T1771" t="s">
        <v>31</v>
      </c>
    </row>
    <row r="1772" spans="1:20" hidden="1" x14ac:dyDescent="0.3">
      <c r="A1772" t="s">
        <v>1256</v>
      </c>
      <c r="B1772" t="s">
        <v>91</v>
      </c>
      <c r="C1772" t="s">
        <v>2712</v>
      </c>
      <c r="D1772" t="s">
        <v>105</v>
      </c>
      <c r="E1772">
        <v>2019</v>
      </c>
      <c r="F1772" t="s">
        <v>31</v>
      </c>
      <c r="G1772" t="s">
        <v>31</v>
      </c>
      <c r="H1772" t="s">
        <v>2669</v>
      </c>
      <c r="I1772" t="s">
        <v>111</v>
      </c>
      <c r="J1772" t="s">
        <v>5118</v>
      </c>
      <c r="K1772" t="s">
        <v>31</v>
      </c>
      <c r="L1772" t="s">
        <v>31</v>
      </c>
      <c r="M1772" t="s">
        <v>27</v>
      </c>
      <c r="N1772" t="s">
        <v>27</v>
      </c>
      <c r="O1772" t="s">
        <v>27</v>
      </c>
      <c r="P1772" t="s">
        <v>31</v>
      </c>
      <c r="Q1772" t="s">
        <v>31</v>
      </c>
      <c r="R1772" t="s">
        <v>31</v>
      </c>
      <c r="S1772" t="s">
        <v>31</v>
      </c>
      <c r="T1772" t="s">
        <v>31</v>
      </c>
    </row>
    <row r="1773" spans="1:20" hidden="1" x14ac:dyDescent="0.3">
      <c r="A1773" t="s">
        <v>1257</v>
      </c>
      <c r="B1773" t="s">
        <v>51</v>
      </c>
      <c r="C1773" t="s">
        <v>37</v>
      </c>
      <c r="D1773" t="s">
        <v>56</v>
      </c>
      <c r="E1773">
        <v>2019</v>
      </c>
      <c r="F1773" t="s">
        <v>31</v>
      </c>
      <c r="G1773" t="s">
        <v>31</v>
      </c>
      <c r="H1773" t="s">
        <v>2749</v>
      </c>
      <c r="I1773" t="s">
        <v>45</v>
      </c>
      <c r="J1773" t="s">
        <v>5119</v>
      </c>
      <c r="K1773" t="s">
        <v>2649</v>
      </c>
      <c r="L1773" t="s">
        <v>31</v>
      </c>
      <c r="M1773" t="s">
        <v>27</v>
      </c>
      <c r="N1773" t="s">
        <v>27</v>
      </c>
      <c r="O1773" t="s">
        <v>27</v>
      </c>
      <c r="P1773" t="s">
        <v>31</v>
      </c>
      <c r="Q1773" t="s">
        <v>31</v>
      </c>
      <c r="R1773" t="s">
        <v>31</v>
      </c>
      <c r="S1773" t="s">
        <v>31</v>
      </c>
      <c r="T1773" t="s">
        <v>31</v>
      </c>
    </row>
    <row r="1774" spans="1:20" hidden="1" x14ac:dyDescent="0.3">
      <c r="A1774" t="s">
        <v>1258</v>
      </c>
      <c r="B1774" t="s">
        <v>28</v>
      </c>
      <c r="C1774" t="s">
        <v>29</v>
      </c>
      <c r="D1774" t="s">
        <v>30</v>
      </c>
      <c r="E1774">
        <v>2019</v>
      </c>
      <c r="F1774" t="s">
        <v>31</v>
      </c>
      <c r="G1774" t="s">
        <v>31</v>
      </c>
      <c r="H1774" t="s">
        <v>2672</v>
      </c>
      <c r="I1774" t="s">
        <v>73</v>
      </c>
      <c r="J1774" t="s">
        <v>5120</v>
      </c>
      <c r="K1774" t="s">
        <v>31</v>
      </c>
      <c r="L1774" t="s">
        <v>31</v>
      </c>
      <c r="M1774" t="s">
        <v>27</v>
      </c>
      <c r="N1774" t="s">
        <v>27</v>
      </c>
      <c r="O1774" t="s">
        <v>27</v>
      </c>
      <c r="P1774" t="s">
        <v>31</v>
      </c>
      <c r="Q1774">
        <v>55</v>
      </c>
      <c r="R1774" t="s">
        <v>31</v>
      </c>
      <c r="S1774" t="s">
        <v>31</v>
      </c>
      <c r="T1774" t="s">
        <v>31</v>
      </c>
    </row>
    <row r="1775" spans="1:20" hidden="1" x14ac:dyDescent="0.3">
      <c r="A1775" t="s">
        <v>1259</v>
      </c>
      <c r="B1775" t="s">
        <v>28</v>
      </c>
      <c r="C1775" t="s">
        <v>29</v>
      </c>
      <c r="D1775" t="s">
        <v>64</v>
      </c>
      <c r="E1775">
        <v>2019</v>
      </c>
      <c r="F1775" t="s">
        <v>31</v>
      </c>
      <c r="G1775" t="s">
        <v>31</v>
      </c>
      <c r="H1775" t="s">
        <v>2719</v>
      </c>
      <c r="I1775" t="s">
        <v>90</v>
      </c>
      <c r="J1775" t="s">
        <v>5121</v>
      </c>
      <c r="K1775" t="s">
        <v>31</v>
      </c>
      <c r="L1775" t="s">
        <v>82</v>
      </c>
      <c r="M1775" t="s">
        <v>27</v>
      </c>
      <c r="N1775" t="s">
        <v>27</v>
      </c>
      <c r="O1775" t="s">
        <v>27</v>
      </c>
      <c r="P1775" t="s">
        <v>31</v>
      </c>
      <c r="Q1775" t="s">
        <v>31</v>
      </c>
      <c r="R1775" t="s">
        <v>31</v>
      </c>
      <c r="S1775" t="s">
        <v>31</v>
      </c>
      <c r="T1775" t="s">
        <v>31</v>
      </c>
    </row>
    <row r="1776" spans="1:20" hidden="1" x14ac:dyDescent="0.3">
      <c r="A1776" t="s">
        <v>1260</v>
      </c>
      <c r="B1776" t="s">
        <v>51</v>
      </c>
      <c r="C1776" t="s">
        <v>37</v>
      </c>
      <c r="D1776" t="s">
        <v>52</v>
      </c>
      <c r="E1776">
        <v>2019</v>
      </c>
      <c r="F1776" t="s">
        <v>31</v>
      </c>
      <c r="G1776" t="s">
        <v>31</v>
      </c>
      <c r="H1776" t="s">
        <v>2647</v>
      </c>
      <c r="I1776" t="s">
        <v>47</v>
      </c>
      <c r="J1776" t="s">
        <v>5122</v>
      </c>
      <c r="K1776" t="s">
        <v>31</v>
      </c>
      <c r="L1776" t="s">
        <v>31</v>
      </c>
      <c r="M1776" t="s">
        <v>27</v>
      </c>
      <c r="N1776" t="s">
        <v>27</v>
      </c>
      <c r="O1776" t="s">
        <v>27</v>
      </c>
      <c r="P1776" t="s">
        <v>31</v>
      </c>
      <c r="Q1776" t="s">
        <v>31</v>
      </c>
      <c r="R1776" t="s">
        <v>31</v>
      </c>
      <c r="S1776" t="s">
        <v>31</v>
      </c>
      <c r="T1776" t="s">
        <v>31</v>
      </c>
    </row>
    <row r="1777" spans="1:20" hidden="1" x14ac:dyDescent="0.3">
      <c r="A1777" t="s">
        <v>1261</v>
      </c>
      <c r="B1777" t="s">
        <v>51</v>
      </c>
      <c r="C1777" t="s">
        <v>37</v>
      </c>
      <c r="D1777" t="s">
        <v>52</v>
      </c>
      <c r="E1777">
        <v>2019</v>
      </c>
      <c r="F1777" t="s">
        <v>31</v>
      </c>
      <c r="G1777" t="s">
        <v>31</v>
      </c>
      <c r="H1777" t="s">
        <v>2656</v>
      </c>
      <c r="I1777" t="s">
        <v>119</v>
      </c>
      <c r="J1777" t="s">
        <v>5123</v>
      </c>
      <c r="K1777" t="s">
        <v>31</v>
      </c>
      <c r="L1777" t="s">
        <v>54</v>
      </c>
      <c r="M1777" t="s">
        <v>27</v>
      </c>
      <c r="N1777" t="s">
        <v>27</v>
      </c>
      <c r="O1777" t="s">
        <v>27</v>
      </c>
      <c r="P1777" t="s">
        <v>31</v>
      </c>
      <c r="Q1777" t="s">
        <v>31</v>
      </c>
      <c r="R1777" t="s">
        <v>31</v>
      </c>
      <c r="S1777" t="s">
        <v>31</v>
      </c>
      <c r="T1777" t="s">
        <v>31</v>
      </c>
    </row>
    <row r="1778" spans="1:20" hidden="1" x14ac:dyDescent="0.3">
      <c r="A1778" t="s">
        <v>1262</v>
      </c>
      <c r="B1778" t="s">
        <v>51</v>
      </c>
      <c r="C1778" t="s">
        <v>37</v>
      </c>
      <c r="D1778" t="s">
        <v>52</v>
      </c>
      <c r="E1778">
        <v>2019</v>
      </c>
      <c r="F1778" t="s">
        <v>31</v>
      </c>
      <c r="G1778" t="s">
        <v>5124</v>
      </c>
      <c r="H1778" t="s">
        <v>2656</v>
      </c>
      <c r="I1778" t="s">
        <v>119</v>
      </c>
      <c r="J1778" t="s">
        <v>5125</v>
      </c>
      <c r="K1778" t="s">
        <v>2649</v>
      </c>
      <c r="L1778" t="s">
        <v>54</v>
      </c>
      <c r="M1778" t="s">
        <v>27</v>
      </c>
      <c r="N1778" t="s">
        <v>27</v>
      </c>
      <c r="O1778" t="s">
        <v>27</v>
      </c>
      <c r="P1778" t="s">
        <v>31</v>
      </c>
      <c r="Q1778">
        <v>173355.12</v>
      </c>
      <c r="R1778">
        <v>-39.270000000000003</v>
      </c>
      <c r="S1778">
        <v>-12.906000000000001</v>
      </c>
      <c r="T1778" t="s">
        <v>31</v>
      </c>
    </row>
    <row r="1779" spans="1:20" hidden="1" x14ac:dyDescent="0.3">
      <c r="A1779" t="s">
        <v>1264</v>
      </c>
      <c r="B1779" t="s">
        <v>39</v>
      </c>
      <c r="C1779" t="s">
        <v>157</v>
      </c>
      <c r="D1779" t="s">
        <v>157</v>
      </c>
      <c r="E1779">
        <v>2019</v>
      </c>
      <c r="F1779" t="s">
        <v>31</v>
      </c>
      <c r="G1779" t="s">
        <v>5126</v>
      </c>
      <c r="H1779" t="s">
        <v>2658</v>
      </c>
      <c r="I1779" t="s">
        <v>130</v>
      </c>
      <c r="J1779" t="s">
        <v>5127</v>
      </c>
      <c r="K1779" t="s">
        <v>31</v>
      </c>
      <c r="L1779" t="s">
        <v>31</v>
      </c>
      <c r="M1779" t="s">
        <v>27</v>
      </c>
      <c r="N1779" t="s">
        <v>27</v>
      </c>
      <c r="O1779" t="s">
        <v>33</v>
      </c>
      <c r="P1779" t="s">
        <v>31</v>
      </c>
      <c r="Q1779" t="s">
        <v>31</v>
      </c>
      <c r="R1779" t="s">
        <v>31</v>
      </c>
      <c r="S1779" t="s">
        <v>31</v>
      </c>
      <c r="T1779" t="s">
        <v>31</v>
      </c>
    </row>
    <row r="1780" spans="1:20" hidden="1" x14ac:dyDescent="0.3">
      <c r="A1780" t="s">
        <v>1860</v>
      </c>
      <c r="B1780" t="s">
        <v>51</v>
      </c>
      <c r="C1780" t="s">
        <v>37</v>
      </c>
      <c r="D1780" t="s">
        <v>52</v>
      </c>
      <c r="E1780">
        <v>2019</v>
      </c>
      <c r="F1780" t="s">
        <v>31</v>
      </c>
      <c r="G1780" t="s">
        <v>5128</v>
      </c>
      <c r="H1780" t="s">
        <v>2658</v>
      </c>
      <c r="I1780" t="s">
        <v>130</v>
      </c>
      <c r="J1780" t="s">
        <v>5129</v>
      </c>
      <c r="K1780" t="s">
        <v>2664</v>
      </c>
      <c r="L1780" t="s">
        <v>29</v>
      </c>
      <c r="M1780" t="s">
        <v>27</v>
      </c>
      <c r="N1780" t="s">
        <v>27</v>
      </c>
      <c r="O1780" t="s">
        <v>27</v>
      </c>
      <c r="P1780" t="s">
        <v>31</v>
      </c>
      <c r="Q1780" t="s">
        <v>31</v>
      </c>
      <c r="R1780" t="s">
        <v>31</v>
      </c>
      <c r="S1780" t="s">
        <v>31</v>
      </c>
      <c r="T1780" t="s">
        <v>31</v>
      </c>
    </row>
    <row r="1781" spans="1:20" hidden="1" x14ac:dyDescent="0.3">
      <c r="A1781" t="s">
        <v>1861</v>
      </c>
      <c r="B1781" t="s">
        <v>51</v>
      </c>
      <c r="C1781" t="s">
        <v>37</v>
      </c>
      <c r="D1781" t="s">
        <v>52</v>
      </c>
      <c r="E1781">
        <v>2019</v>
      </c>
      <c r="F1781" t="s">
        <v>31</v>
      </c>
      <c r="G1781" t="s">
        <v>5128</v>
      </c>
      <c r="H1781" t="s">
        <v>2656</v>
      </c>
      <c r="I1781" t="s">
        <v>119</v>
      </c>
      <c r="J1781" t="s">
        <v>5130</v>
      </c>
      <c r="K1781" t="s">
        <v>31</v>
      </c>
      <c r="L1781" t="s">
        <v>29</v>
      </c>
      <c r="M1781" t="s">
        <v>27</v>
      </c>
      <c r="N1781" t="s">
        <v>27</v>
      </c>
      <c r="O1781" t="s">
        <v>33</v>
      </c>
      <c r="P1781" t="s">
        <v>31</v>
      </c>
      <c r="Q1781" t="s">
        <v>31</v>
      </c>
      <c r="R1781" t="s">
        <v>31</v>
      </c>
      <c r="S1781" t="s">
        <v>31</v>
      </c>
      <c r="T1781" t="s">
        <v>31</v>
      </c>
    </row>
    <row r="1782" spans="1:20" hidden="1" x14ac:dyDescent="0.3">
      <c r="A1782" t="s">
        <v>1862</v>
      </c>
      <c r="B1782" t="s">
        <v>28</v>
      </c>
      <c r="C1782" t="s">
        <v>29</v>
      </c>
      <c r="D1782" t="s">
        <v>97</v>
      </c>
      <c r="E1782">
        <v>2019</v>
      </c>
      <c r="F1782" t="s">
        <v>31</v>
      </c>
      <c r="G1782" t="s">
        <v>5131</v>
      </c>
      <c r="H1782" t="s">
        <v>2716</v>
      </c>
      <c r="I1782" t="s">
        <v>242</v>
      </c>
      <c r="J1782" t="s">
        <v>5132</v>
      </c>
      <c r="K1782" t="s">
        <v>31</v>
      </c>
      <c r="L1782" t="s">
        <v>31</v>
      </c>
      <c r="M1782" t="s">
        <v>27</v>
      </c>
      <c r="N1782" t="s">
        <v>27</v>
      </c>
      <c r="O1782" t="s">
        <v>27</v>
      </c>
      <c r="P1782" t="s">
        <v>31</v>
      </c>
      <c r="Q1782">
        <v>300</v>
      </c>
      <c r="R1782" t="s">
        <v>31</v>
      </c>
      <c r="S1782" t="s">
        <v>31</v>
      </c>
      <c r="T1782" t="s">
        <v>31</v>
      </c>
    </row>
    <row r="1783" spans="1:20" hidden="1" x14ac:dyDescent="0.3">
      <c r="A1783" t="s">
        <v>1863</v>
      </c>
      <c r="B1783" t="s">
        <v>51</v>
      </c>
      <c r="C1783" t="s">
        <v>37</v>
      </c>
      <c r="D1783" t="s">
        <v>52</v>
      </c>
      <c r="E1783">
        <v>2019</v>
      </c>
      <c r="F1783" t="s">
        <v>31</v>
      </c>
      <c r="G1783" t="s">
        <v>31</v>
      </c>
      <c r="H1783" t="s">
        <v>2669</v>
      </c>
      <c r="I1783" t="s">
        <v>111</v>
      </c>
      <c r="J1783" t="s">
        <v>5133</v>
      </c>
      <c r="K1783" t="s">
        <v>2649</v>
      </c>
      <c r="L1783" t="s">
        <v>31</v>
      </c>
      <c r="M1783" t="s">
        <v>27</v>
      </c>
      <c r="N1783" t="s">
        <v>27</v>
      </c>
      <c r="O1783" t="s">
        <v>33</v>
      </c>
      <c r="P1783" t="s">
        <v>31</v>
      </c>
      <c r="Q1783" t="s">
        <v>31</v>
      </c>
      <c r="R1783" t="s">
        <v>31</v>
      </c>
      <c r="S1783" t="s">
        <v>31</v>
      </c>
      <c r="T1783" t="s">
        <v>31</v>
      </c>
    </row>
    <row r="1784" spans="1:20" hidden="1" x14ac:dyDescent="0.3">
      <c r="A1784" t="s">
        <v>1864</v>
      </c>
      <c r="B1784" t="s">
        <v>51</v>
      </c>
      <c r="C1784" t="s">
        <v>37</v>
      </c>
      <c r="D1784" t="s">
        <v>52</v>
      </c>
      <c r="E1784">
        <v>2019</v>
      </c>
      <c r="F1784" t="s">
        <v>31</v>
      </c>
      <c r="G1784" t="s">
        <v>31</v>
      </c>
      <c r="H1784" t="s">
        <v>2730</v>
      </c>
      <c r="I1784" t="s">
        <v>57</v>
      </c>
      <c r="J1784" t="s">
        <v>5134</v>
      </c>
      <c r="K1784" t="s">
        <v>2649</v>
      </c>
      <c r="L1784" t="s">
        <v>31</v>
      </c>
      <c r="M1784" t="s">
        <v>27</v>
      </c>
      <c r="N1784" t="s">
        <v>27</v>
      </c>
      <c r="O1784" t="s">
        <v>27</v>
      </c>
      <c r="P1784" t="s">
        <v>31</v>
      </c>
      <c r="Q1784" t="s">
        <v>31</v>
      </c>
      <c r="R1784" t="s">
        <v>31</v>
      </c>
      <c r="S1784" t="s">
        <v>31</v>
      </c>
      <c r="T1784" t="s">
        <v>31</v>
      </c>
    </row>
    <row r="1785" spans="1:20" hidden="1" x14ac:dyDescent="0.3">
      <c r="A1785" t="s">
        <v>1865</v>
      </c>
      <c r="B1785" t="s">
        <v>51</v>
      </c>
      <c r="C1785" t="s">
        <v>37</v>
      </c>
      <c r="D1785" t="s">
        <v>52</v>
      </c>
      <c r="E1785">
        <v>2019</v>
      </c>
      <c r="F1785" t="s">
        <v>31</v>
      </c>
      <c r="G1785" t="s">
        <v>31</v>
      </c>
      <c r="H1785" t="s">
        <v>2645</v>
      </c>
      <c r="I1785" t="s">
        <v>34</v>
      </c>
      <c r="J1785" t="s">
        <v>5135</v>
      </c>
      <c r="K1785" t="s">
        <v>2664</v>
      </c>
      <c r="L1785" t="s">
        <v>155</v>
      </c>
      <c r="M1785" t="s">
        <v>27</v>
      </c>
      <c r="N1785" t="s">
        <v>27</v>
      </c>
      <c r="O1785" t="s">
        <v>33</v>
      </c>
      <c r="P1785" t="s">
        <v>31</v>
      </c>
      <c r="Q1785" t="s">
        <v>31</v>
      </c>
      <c r="R1785" t="s">
        <v>31</v>
      </c>
      <c r="S1785" t="s">
        <v>31</v>
      </c>
      <c r="T1785" t="s">
        <v>31</v>
      </c>
    </row>
    <row r="1786" spans="1:20" hidden="1" x14ac:dyDescent="0.3">
      <c r="A1786" t="s">
        <v>1866</v>
      </c>
      <c r="B1786" t="s">
        <v>51</v>
      </c>
      <c r="C1786" t="s">
        <v>37</v>
      </c>
      <c r="D1786" t="s">
        <v>52</v>
      </c>
      <c r="E1786">
        <v>2019</v>
      </c>
      <c r="F1786" t="s">
        <v>31</v>
      </c>
      <c r="G1786" t="s">
        <v>5136</v>
      </c>
      <c r="H1786" t="s">
        <v>2701</v>
      </c>
      <c r="I1786" t="s">
        <v>60</v>
      </c>
      <c r="J1786" t="s">
        <v>5137</v>
      </c>
      <c r="K1786" t="s">
        <v>3054</v>
      </c>
      <c r="L1786" t="s">
        <v>31</v>
      </c>
      <c r="M1786" t="s">
        <v>27</v>
      </c>
      <c r="N1786" t="s">
        <v>27</v>
      </c>
      <c r="O1786" t="s">
        <v>27</v>
      </c>
      <c r="P1786" t="s">
        <v>31</v>
      </c>
      <c r="Q1786">
        <v>272110.34000000003</v>
      </c>
      <c r="R1786">
        <v>-21.965</v>
      </c>
      <c r="S1786">
        <v>-69.245000000000005</v>
      </c>
      <c r="T1786" t="s">
        <v>31</v>
      </c>
    </row>
    <row r="1787" spans="1:20" hidden="1" x14ac:dyDescent="0.3">
      <c r="A1787" t="s">
        <v>1867</v>
      </c>
      <c r="B1787" t="s">
        <v>51</v>
      </c>
      <c r="C1787" t="s">
        <v>37</v>
      </c>
      <c r="D1787" t="s">
        <v>121</v>
      </c>
      <c r="E1787">
        <v>2019</v>
      </c>
      <c r="F1787" t="s">
        <v>31</v>
      </c>
      <c r="G1787" t="s">
        <v>31</v>
      </c>
      <c r="H1787" t="s">
        <v>2769</v>
      </c>
      <c r="I1787" t="s">
        <v>117</v>
      </c>
      <c r="J1787" t="s">
        <v>5138</v>
      </c>
      <c r="K1787" t="s">
        <v>31</v>
      </c>
      <c r="L1787" t="s">
        <v>31</v>
      </c>
      <c r="M1787" t="s">
        <v>27</v>
      </c>
      <c r="N1787" t="s">
        <v>27</v>
      </c>
      <c r="O1787" t="s">
        <v>33</v>
      </c>
      <c r="P1787" t="s">
        <v>31</v>
      </c>
      <c r="Q1787" t="s">
        <v>31</v>
      </c>
      <c r="R1787" t="s">
        <v>31</v>
      </c>
      <c r="S1787" t="s">
        <v>31</v>
      </c>
      <c r="T1787" t="s">
        <v>5139</v>
      </c>
    </row>
    <row r="1788" spans="1:20" hidden="1" x14ac:dyDescent="0.3">
      <c r="A1788" t="s">
        <v>1868</v>
      </c>
      <c r="B1788" t="s">
        <v>51</v>
      </c>
      <c r="C1788" t="s">
        <v>37</v>
      </c>
      <c r="D1788" t="s">
        <v>52</v>
      </c>
      <c r="E1788">
        <v>2019</v>
      </c>
      <c r="F1788" t="s">
        <v>31</v>
      </c>
      <c r="G1788" t="s">
        <v>31</v>
      </c>
      <c r="H1788" t="s">
        <v>2647</v>
      </c>
      <c r="I1788" t="s">
        <v>47</v>
      </c>
      <c r="J1788" t="s">
        <v>5140</v>
      </c>
      <c r="K1788" t="s">
        <v>2649</v>
      </c>
      <c r="L1788" t="s">
        <v>54</v>
      </c>
      <c r="M1788" t="s">
        <v>27</v>
      </c>
      <c r="N1788" t="s">
        <v>27</v>
      </c>
      <c r="O1788" t="s">
        <v>27</v>
      </c>
      <c r="P1788" t="s">
        <v>31</v>
      </c>
      <c r="Q1788" t="s">
        <v>31</v>
      </c>
      <c r="R1788" t="s">
        <v>31</v>
      </c>
      <c r="S1788" t="s">
        <v>31</v>
      </c>
      <c r="T1788" t="s">
        <v>31</v>
      </c>
    </row>
    <row r="1789" spans="1:20" hidden="1" x14ac:dyDescent="0.3">
      <c r="A1789" t="s">
        <v>1869</v>
      </c>
      <c r="B1789" t="s">
        <v>91</v>
      </c>
      <c r="C1789" t="s">
        <v>92</v>
      </c>
      <c r="D1789" t="s">
        <v>93</v>
      </c>
      <c r="E1789">
        <v>2019</v>
      </c>
      <c r="F1789">
        <v>200000</v>
      </c>
      <c r="G1789" t="s">
        <v>5141</v>
      </c>
      <c r="H1789" t="s">
        <v>2645</v>
      </c>
      <c r="I1789" t="s">
        <v>34</v>
      </c>
      <c r="J1789" t="s">
        <v>5142</v>
      </c>
      <c r="K1789" t="s">
        <v>31</v>
      </c>
      <c r="L1789" t="s">
        <v>31</v>
      </c>
      <c r="M1789" t="s">
        <v>27</v>
      </c>
      <c r="N1789" t="s">
        <v>27</v>
      </c>
      <c r="O1789" t="s">
        <v>33</v>
      </c>
      <c r="P1789" t="s">
        <v>31</v>
      </c>
      <c r="Q1789">
        <v>7.1</v>
      </c>
      <c r="R1789">
        <v>35.770000000000003</v>
      </c>
      <c r="S1789">
        <v>-117.599</v>
      </c>
      <c r="T1789" t="s">
        <v>31</v>
      </c>
    </row>
    <row r="1790" spans="1:20" hidden="1" x14ac:dyDescent="0.3">
      <c r="A1790" t="s">
        <v>1870</v>
      </c>
      <c r="B1790" t="s">
        <v>51</v>
      </c>
      <c r="C1790" t="s">
        <v>37</v>
      </c>
      <c r="D1790" t="s">
        <v>52</v>
      </c>
      <c r="E1790">
        <v>2019</v>
      </c>
      <c r="F1790" t="s">
        <v>31</v>
      </c>
      <c r="G1790" t="s">
        <v>31</v>
      </c>
      <c r="H1790" t="s">
        <v>2645</v>
      </c>
      <c r="I1790" t="s">
        <v>34</v>
      </c>
      <c r="J1790" t="s">
        <v>5143</v>
      </c>
      <c r="K1790" t="s">
        <v>2649</v>
      </c>
      <c r="L1790" t="s">
        <v>31</v>
      </c>
      <c r="M1790" t="s">
        <v>27</v>
      </c>
      <c r="N1790" t="s">
        <v>27</v>
      </c>
      <c r="O1790" t="s">
        <v>33</v>
      </c>
      <c r="P1790" t="s">
        <v>31</v>
      </c>
      <c r="Q1790" t="s">
        <v>31</v>
      </c>
      <c r="R1790" t="s">
        <v>31</v>
      </c>
      <c r="S1790" t="s">
        <v>31</v>
      </c>
      <c r="T1790" t="s">
        <v>5144</v>
      </c>
    </row>
    <row r="1791" spans="1:20" hidden="1" x14ac:dyDescent="0.3">
      <c r="A1791" t="s">
        <v>1871</v>
      </c>
      <c r="B1791" t="s">
        <v>28</v>
      </c>
      <c r="C1791" t="s">
        <v>29</v>
      </c>
      <c r="D1791" t="s">
        <v>30</v>
      </c>
      <c r="E1791">
        <v>2019</v>
      </c>
      <c r="F1791">
        <v>600000</v>
      </c>
      <c r="G1791" t="s">
        <v>31</v>
      </c>
      <c r="H1791" t="s">
        <v>2645</v>
      </c>
      <c r="I1791" t="s">
        <v>34</v>
      </c>
      <c r="J1791" t="s">
        <v>5145</v>
      </c>
      <c r="K1791" t="s">
        <v>31</v>
      </c>
      <c r="L1791" t="s">
        <v>31</v>
      </c>
      <c r="M1791" t="s">
        <v>27</v>
      </c>
      <c r="N1791" t="s">
        <v>27</v>
      </c>
      <c r="O1791" t="s">
        <v>27</v>
      </c>
      <c r="P1791" t="s">
        <v>31</v>
      </c>
      <c r="Q1791" t="s">
        <v>31</v>
      </c>
      <c r="R1791" t="s">
        <v>31</v>
      </c>
      <c r="S1791" t="s">
        <v>31</v>
      </c>
      <c r="T1791" t="s">
        <v>31</v>
      </c>
    </row>
    <row r="1792" spans="1:20" hidden="1" x14ac:dyDescent="0.3">
      <c r="A1792" t="s">
        <v>1872</v>
      </c>
      <c r="B1792" t="s">
        <v>43</v>
      </c>
      <c r="C1792" t="s">
        <v>2665</v>
      </c>
      <c r="D1792" t="s">
        <v>114</v>
      </c>
      <c r="E1792">
        <v>2019</v>
      </c>
      <c r="F1792" t="s">
        <v>31</v>
      </c>
      <c r="G1792" t="s">
        <v>31</v>
      </c>
      <c r="H1792" t="s">
        <v>2695</v>
      </c>
      <c r="I1792" t="s">
        <v>161</v>
      </c>
      <c r="J1792" t="s">
        <v>5146</v>
      </c>
      <c r="K1792" t="s">
        <v>31</v>
      </c>
      <c r="L1792" t="s">
        <v>31</v>
      </c>
      <c r="M1792" t="s">
        <v>27</v>
      </c>
      <c r="N1792" t="s">
        <v>27</v>
      </c>
      <c r="O1792" t="s">
        <v>27</v>
      </c>
      <c r="P1792" t="s">
        <v>31</v>
      </c>
      <c r="Q1792" t="s">
        <v>31</v>
      </c>
      <c r="R1792" t="s">
        <v>31</v>
      </c>
      <c r="S1792" t="s">
        <v>31</v>
      </c>
      <c r="T1792" t="s">
        <v>31</v>
      </c>
    </row>
    <row r="1793" spans="1:20" hidden="1" x14ac:dyDescent="0.3">
      <c r="A1793" t="s">
        <v>1873</v>
      </c>
      <c r="B1793" t="s">
        <v>43</v>
      </c>
      <c r="C1793" t="s">
        <v>2665</v>
      </c>
      <c r="D1793" t="s">
        <v>114</v>
      </c>
      <c r="E1793">
        <v>2019</v>
      </c>
      <c r="F1793" t="s">
        <v>31</v>
      </c>
      <c r="G1793" t="s">
        <v>31</v>
      </c>
      <c r="H1793" t="s">
        <v>2675</v>
      </c>
      <c r="I1793" t="s">
        <v>81</v>
      </c>
      <c r="J1793" t="s">
        <v>5147</v>
      </c>
      <c r="K1793" t="s">
        <v>31</v>
      </c>
      <c r="L1793" t="s">
        <v>31</v>
      </c>
      <c r="M1793" t="s">
        <v>27</v>
      </c>
      <c r="N1793" t="s">
        <v>27</v>
      </c>
      <c r="O1793" t="s">
        <v>27</v>
      </c>
      <c r="P1793" t="s">
        <v>31</v>
      </c>
      <c r="Q1793" t="s">
        <v>31</v>
      </c>
      <c r="R1793" t="s">
        <v>31</v>
      </c>
      <c r="S1793" t="s">
        <v>31</v>
      </c>
      <c r="T1793" t="s">
        <v>31</v>
      </c>
    </row>
    <row r="1794" spans="1:20" hidden="1" x14ac:dyDescent="0.3">
      <c r="A1794" t="s">
        <v>1874</v>
      </c>
      <c r="B1794" t="s">
        <v>39</v>
      </c>
      <c r="C1794" t="s">
        <v>40</v>
      </c>
      <c r="D1794" t="s">
        <v>41</v>
      </c>
      <c r="E1794">
        <v>2019</v>
      </c>
      <c r="F1794" t="s">
        <v>31</v>
      </c>
      <c r="G1794" t="s">
        <v>31</v>
      </c>
      <c r="H1794" t="s">
        <v>2669</v>
      </c>
      <c r="I1794" t="s">
        <v>111</v>
      </c>
      <c r="J1794" t="s">
        <v>5148</v>
      </c>
      <c r="K1794" t="s">
        <v>31</v>
      </c>
      <c r="L1794" t="s">
        <v>31</v>
      </c>
      <c r="M1794" t="s">
        <v>33</v>
      </c>
      <c r="N1794" t="s">
        <v>27</v>
      </c>
      <c r="O1794" t="s">
        <v>27</v>
      </c>
      <c r="P1794" t="s">
        <v>31</v>
      </c>
      <c r="Q1794" t="s">
        <v>31</v>
      </c>
      <c r="R1794" t="s">
        <v>31</v>
      </c>
      <c r="S1794" t="s">
        <v>31</v>
      </c>
      <c r="T1794" t="s">
        <v>31</v>
      </c>
    </row>
    <row r="1795" spans="1:20" hidden="1" x14ac:dyDescent="0.3">
      <c r="A1795" t="s">
        <v>1875</v>
      </c>
      <c r="B1795" t="s">
        <v>39</v>
      </c>
      <c r="C1795" t="s">
        <v>40</v>
      </c>
      <c r="D1795" t="s">
        <v>41</v>
      </c>
      <c r="E1795">
        <v>2019</v>
      </c>
      <c r="F1795" t="s">
        <v>31</v>
      </c>
      <c r="G1795" t="s">
        <v>31</v>
      </c>
      <c r="H1795" t="s">
        <v>2656</v>
      </c>
      <c r="I1795" t="s">
        <v>119</v>
      </c>
      <c r="J1795" t="s">
        <v>5149</v>
      </c>
      <c r="K1795" t="s">
        <v>31</v>
      </c>
      <c r="L1795" t="s">
        <v>31</v>
      </c>
      <c r="M1795" t="s">
        <v>33</v>
      </c>
      <c r="N1795" t="s">
        <v>27</v>
      </c>
      <c r="O1795" t="s">
        <v>27</v>
      </c>
      <c r="P1795" t="s">
        <v>31</v>
      </c>
      <c r="Q1795" t="s">
        <v>31</v>
      </c>
      <c r="R1795" t="s">
        <v>31</v>
      </c>
      <c r="S1795" t="s">
        <v>31</v>
      </c>
      <c r="T1795" t="s">
        <v>31</v>
      </c>
    </row>
    <row r="1796" spans="1:20" hidden="1" x14ac:dyDescent="0.3">
      <c r="A1796" t="s">
        <v>1876</v>
      </c>
      <c r="B1796" t="s">
        <v>39</v>
      </c>
      <c r="C1796" t="s">
        <v>40</v>
      </c>
      <c r="D1796" t="s">
        <v>41</v>
      </c>
      <c r="E1796">
        <v>2019</v>
      </c>
      <c r="F1796">
        <v>1300000</v>
      </c>
      <c r="G1796" t="s">
        <v>31</v>
      </c>
      <c r="H1796" t="s">
        <v>2645</v>
      </c>
      <c r="I1796" t="s">
        <v>34</v>
      </c>
      <c r="J1796" t="s">
        <v>5150</v>
      </c>
      <c r="K1796" t="s">
        <v>31</v>
      </c>
      <c r="L1796" t="s">
        <v>31</v>
      </c>
      <c r="M1796" t="s">
        <v>27</v>
      </c>
      <c r="N1796" t="s">
        <v>27</v>
      </c>
      <c r="O1796" t="s">
        <v>33</v>
      </c>
      <c r="P1796" t="s">
        <v>31</v>
      </c>
      <c r="Q1796" t="s">
        <v>31</v>
      </c>
      <c r="R1796" t="s">
        <v>31</v>
      </c>
      <c r="S1796" t="s">
        <v>31</v>
      </c>
      <c r="T1796" t="s">
        <v>31</v>
      </c>
    </row>
    <row r="1797" spans="1:20" hidden="1" x14ac:dyDescent="0.3">
      <c r="A1797" t="s">
        <v>1877</v>
      </c>
      <c r="B1797" t="s">
        <v>28</v>
      </c>
      <c r="C1797" t="s">
        <v>29</v>
      </c>
      <c r="D1797" t="s">
        <v>30</v>
      </c>
      <c r="E1797">
        <v>2019</v>
      </c>
      <c r="F1797">
        <v>383000</v>
      </c>
      <c r="G1797" t="s">
        <v>31</v>
      </c>
      <c r="H1797" t="s">
        <v>2672</v>
      </c>
      <c r="I1797" t="s">
        <v>73</v>
      </c>
      <c r="J1797" t="s">
        <v>5151</v>
      </c>
      <c r="K1797" t="s">
        <v>31</v>
      </c>
      <c r="L1797" t="s">
        <v>37</v>
      </c>
      <c r="M1797" t="s">
        <v>27</v>
      </c>
      <c r="N1797" t="s">
        <v>27</v>
      </c>
      <c r="O1797" t="s">
        <v>27</v>
      </c>
      <c r="P1797" t="s">
        <v>31</v>
      </c>
      <c r="Q1797" t="s">
        <v>31</v>
      </c>
      <c r="R1797" t="s">
        <v>31</v>
      </c>
      <c r="S1797" t="s">
        <v>31</v>
      </c>
      <c r="T1797" t="s">
        <v>31</v>
      </c>
    </row>
    <row r="1798" spans="1:20" hidden="1" x14ac:dyDescent="0.3">
      <c r="A1798" t="s">
        <v>1879</v>
      </c>
      <c r="B1798" t="s">
        <v>28</v>
      </c>
      <c r="C1798" t="s">
        <v>29</v>
      </c>
      <c r="D1798" t="s">
        <v>67</v>
      </c>
      <c r="E1798">
        <v>2019</v>
      </c>
      <c r="F1798" t="s">
        <v>31</v>
      </c>
      <c r="G1798" t="s">
        <v>31</v>
      </c>
      <c r="H1798" t="s">
        <v>2645</v>
      </c>
      <c r="I1798" t="s">
        <v>34</v>
      </c>
      <c r="J1798" t="s">
        <v>5152</v>
      </c>
      <c r="K1798" t="s">
        <v>31</v>
      </c>
      <c r="L1798" t="s">
        <v>68</v>
      </c>
      <c r="M1798" t="s">
        <v>27</v>
      </c>
      <c r="N1798" t="s">
        <v>27</v>
      </c>
      <c r="O1798" t="s">
        <v>27</v>
      </c>
      <c r="P1798" t="s">
        <v>31</v>
      </c>
      <c r="Q1798" t="s">
        <v>31</v>
      </c>
      <c r="R1798" t="s">
        <v>31</v>
      </c>
      <c r="S1798" t="s">
        <v>31</v>
      </c>
      <c r="T1798" t="s">
        <v>31</v>
      </c>
    </row>
    <row r="1799" spans="1:20" hidden="1" x14ac:dyDescent="0.3">
      <c r="A1799" t="s">
        <v>1880</v>
      </c>
      <c r="B1799" t="s">
        <v>51</v>
      </c>
      <c r="C1799" t="s">
        <v>37</v>
      </c>
      <c r="D1799" t="s">
        <v>52</v>
      </c>
      <c r="E1799">
        <v>2019</v>
      </c>
      <c r="F1799" t="s">
        <v>31</v>
      </c>
      <c r="G1799" t="s">
        <v>5153</v>
      </c>
      <c r="H1799" t="s">
        <v>2730</v>
      </c>
      <c r="I1799" t="s">
        <v>57</v>
      </c>
      <c r="J1799" t="s">
        <v>5154</v>
      </c>
      <c r="K1799" t="s">
        <v>31</v>
      </c>
      <c r="L1799" t="s">
        <v>31</v>
      </c>
      <c r="M1799" t="s">
        <v>27</v>
      </c>
      <c r="N1799" t="s">
        <v>27</v>
      </c>
      <c r="O1799" t="s">
        <v>27</v>
      </c>
      <c r="P1799" t="s">
        <v>31</v>
      </c>
      <c r="Q1799">
        <v>73269.14</v>
      </c>
      <c r="R1799">
        <v>-33.749000000000002</v>
      </c>
      <c r="S1799">
        <v>-55.921999999999997</v>
      </c>
      <c r="T1799" t="s">
        <v>31</v>
      </c>
    </row>
    <row r="1800" spans="1:20" hidden="1" x14ac:dyDescent="0.3">
      <c r="A1800" t="s">
        <v>1882</v>
      </c>
      <c r="B1800" t="s">
        <v>51</v>
      </c>
      <c r="C1800" t="s">
        <v>37</v>
      </c>
      <c r="D1800" t="s">
        <v>52</v>
      </c>
      <c r="E1800">
        <v>2019</v>
      </c>
      <c r="F1800" t="s">
        <v>31</v>
      </c>
      <c r="G1800" t="s">
        <v>31</v>
      </c>
      <c r="H1800" t="s">
        <v>2647</v>
      </c>
      <c r="I1800" t="s">
        <v>47</v>
      </c>
      <c r="J1800" t="s">
        <v>5155</v>
      </c>
      <c r="K1800" t="s">
        <v>2649</v>
      </c>
      <c r="L1800" t="s">
        <v>31</v>
      </c>
      <c r="M1800" t="s">
        <v>27</v>
      </c>
      <c r="N1800" t="s">
        <v>27</v>
      </c>
      <c r="O1800" t="s">
        <v>27</v>
      </c>
      <c r="P1800" t="s">
        <v>31</v>
      </c>
      <c r="Q1800" t="s">
        <v>31</v>
      </c>
      <c r="R1800" t="s">
        <v>31</v>
      </c>
      <c r="S1800" t="s">
        <v>31</v>
      </c>
      <c r="T1800" t="s">
        <v>31</v>
      </c>
    </row>
    <row r="1801" spans="1:20" hidden="1" x14ac:dyDescent="0.3">
      <c r="A1801" t="s">
        <v>1971</v>
      </c>
      <c r="B1801" t="s">
        <v>51</v>
      </c>
      <c r="C1801" t="s">
        <v>37</v>
      </c>
      <c r="D1801" t="s">
        <v>52</v>
      </c>
      <c r="E1801">
        <v>2019</v>
      </c>
      <c r="F1801" t="s">
        <v>31</v>
      </c>
      <c r="G1801" t="s">
        <v>5156</v>
      </c>
      <c r="H1801" t="s">
        <v>2672</v>
      </c>
      <c r="I1801" t="s">
        <v>73</v>
      </c>
      <c r="J1801" t="s">
        <v>5157</v>
      </c>
      <c r="K1801" t="s">
        <v>3054</v>
      </c>
      <c r="L1801" t="s">
        <v>31</v>
      </c>
      <c r="M1801" t="s">
        <v>27</v>
      </c>
      <c r="N1801" t="s">
        <v>27</v>
      </c>
      <c r="O1801" t="s">
        <v>27</v>
      </c>
      <c r="P1801" t="s">
        <v>31</v>
      </c>
      <c r="Q1801">
        <v>397450.44</v>
      </c>
      <c r="R1801">
        <v>28.484000000000002</v>
      </c>
      <c r="S1801">
        <v>-107.661</v>
      </c>
      <c r="T1801" t="s">
        <v>31</v>
      </c>
    </row>
    <row r="1802" spans="1:20" hidden="1" x14ac:dyDescent="0.3">
      <c r="A1802" t="s">
        <v>2477</v>
      </c>
      <c r="B1802" t="s">
        <v>51</v>
      </c>
      <c r="C1802" t="s">
        <v>37</v>
      </c>
      <c r="D1802" t="s">
        <v>52</v>
      </c>
      <c r="E1802">
        <v>2019</v>
      </c>
      <c r="F1802" t="s">
        <v>31</v>
      </c>
      <c r="G1802" t="s">
        <v>5158</v>
      </c>
      <c r="H1802" t="s">
        <v>2645</v>
      </c>
      <c r="I1802" t="s">
        <v>34</v>
      </c>
      <c r="J1802" t="s">
        <v>5159</v>
      </c>
      <c r="K1802" t="s">
        <v>31</v>
      </c>
      <c r="L1802" t="s">
        <v>54</v>
      </c>
      <c r="M1802" t="s">
        <v>27</v>
      </c>
      <c r="N1802" t="s">
        <v>27</v>
      </c>
      <c r="O1802" t="s">
        <v>27</v>
      </c>
      <c r="P1802" t="s">
        <v>31</v>
      </c>
      <c r="Q1802" t="s">
        <v>31</v>
      </c>
      <c r="R1802" t="s">
        <v>31</v>
      </c>
      <c r="S1802" t="s">
        <v>31</v>
      </c>
      <c r="T1802" t="s">
        <v>31</v>
      </c>
    </row>
    <row r="1803" spans="1:20" hidden="1" x14ac:dyDescent="0.3">
      <c r="A1803" t="s">
        <v>2546</v>
      </c>
      <c r="B1803" t="s">
        <v>91</v>
      </c>
      <c r="C1803" t="s">
        <v>92</v>
      </c>
      <c r="D1803" t="s">
        <v>93</v>
      </c>
      <c r="E1803">
        <v>2019</v>
      </c>
      <c r="F1803" t="s">
        <v>31</v>
      </c>
      <c r="G1803" t="s">
        <v>5160</v>
      </c>
      <c r="H1803" t="s">
        <v>2701</v>
      </c>
      <c r="I1803" t="s">
        <v>60</v>
      </c>
      <c r="J1803" t="s">
        <v>5161</v>
      </c>
      <c r="K1803" t="s">
        <v>31</v>
      </c>
      <c r="L1803" t="s">
        <v>31</v>
      </c>
      <c r="M1803" t="s">
        <v>27</v>
      </c>
      <c r="N1803" t="s">
        <v>27</v>
      </c>
      <c r="O1803" t="s">
        <v>27</v>
      </c>
      <c r="P1803" t="s">
        <v>31</v>
      </c>
      <c r="Q1803">
        <v>6.7</v>
      </c>
      <c r="R1803">
        <v>-30.074000000000002</v>
      </c>
      <c r="S1803">
        <v>-71.423000000000002</v>
      </c>
      <c r="T1803" t="s">
        <v>31</v>
      </c>
    </row>
    <row r="1804" spans="1:20" hidden="1" x14ac:dyDescent="0.3">
      <c r="A1804" t="s">
        <v>2547</v>
      </c>
      <c r="B1804" t="s">
        <v>51</v>
      </c>
      <c r="C1804" t="s">
        <v>2655</v>
      </c>
      <c r="D1804" t="s">
        <v>150</v>
      </c>
      <c r="E1804">
        <v>2019</v>
      </c>
      <c r="F1804" t="s">
        <v>31</v>
      </c>
      <c r="G1804" t="s">
        <v>31</v>
      </c>
      <c r="H1804" t="s">
        <v>2678</v>
      </c>
      <c r="I1804" t="s">
        <v>53</v>
      </c>
      <c r="J1804" t="s">
        <v>5162</v>
      </c>
      <c r="K1804" t="s">
        <v>2649</v>
      </c>
      <c r="L1804" t="s">
        <v>31</v>
      </c>
      <c r="M1804" t="s">
        <v>27</v>
      </c>
      <c r="N1804" t="s">
        <v>27</v>
      </c>
      <c r="O1804" t="s">
        <v>27</v>
      </c>
      <c r="P1804" t="s">
        <v>31</v>
      </c>
      <c r="Q1804" t="s">
        <v>31</v>
      </c>
      <c r="R1804" t="s">
        <v>31</v>
      </c>
      <c r="S1804" t="s">
        <v>31</v>
      </c>
      <c r="T1804" t="s">
        <v>31</v>
      </c>
    </row>
    <row r="1805" spans="1:20" hidden="1" x14ac:dyDescent="0.3">
      <c r="A1805" t="s">
        <v>2548</v>
      </c>
      <c r="B1805" t="s">
        <v>28</v>
      </c>
      <c r="C1805" t="s">
        <v>29</v>
      </c>
      <c r="D1805" t="s">
        <v>2549</v>
      </c>
      <c r="E1805">
        <v>2019</v>
      </c>
      <c r="F1805">
        <v>100000</v>
      </c>
      <c r="G1805" t="s">
        <v>31</v>
      </c>
      <c r="H1805" t="s">
        <v>2645</v>
      </c>
      <c r="I1805" t="s">
        <v>34</v>
      </c>
      <c r="J1805" t="s">
        <v>5163</v>
      </c>
      <c r="K1805" t="s">
        <v>31</v>
      </c>
      <c r="L1805" t="s">
        <v>2550</v>
      </c>
      <c r="M1805" t="s">
        <v>27</v>
      </c>
      <c r="N1805" t="s">
        <v>27</v>
      </c>
      <c r="O1805" t="s">
        <v>27</v>
      </c>
      <c r="P1805" t="s">
        <v>31</v>
      </c>
      <c r="Q1805" t="s">
        <v>31</v>
      </c>
      <c r="R1805" t="s">
        <v>31</v>
      </c>
      <c r="S1805" t="s">
        <v>31</v>
      </c>
      <c r="T1805" t="s">
        <v>31</v>
      </c>
    </row>
    <row r="1806" spans="1:20" hidden="1" x14ac:dyDescent="0.3">
      <c r="A1806" t="s">
        <v>2551</v>
      </c>
      <c r="B1806" t="s">
        <v>28</v>
      </c>
      <c r="C1806" t="s">
        <v>29</v>
      </c>
      <c r="D1806" t="s">
        <v>67</v>
      </c>
      <c r="E1806">
        <v>2019</v>
      </c>
      <c r="F1806" t="s">
        <v>31</v>
      </c>
      <c r="G1806" t="s">
        <v>31</v>
      </c>
      <c r="H1806" t="s">
        <v>2645</v>
      </c>
      <c r="I1806" t="s">
        <v>34</v>
      </c>
      <c r="J1806" t="s">
        <v>5164</v>
      </c>
      <c r="K1806" t="s">
        <v>31</v>
      </c>
      <c r="L1806" t="s">
        <v>68</v>
      </c>
      <c r="M1806" t="s">
        <v>27</v>
      </c>
      <c r="N1806" t="s">
        <v>27</v>
      </c>
      <c r="O1806" t="s">
        <v>27</v>
      </c>
      <c r="P1806" t="s">
        <v>31</v>
      </c>
      <c r="Q1806" t="s">
        <v>31</v>
      </c>
      <c r="R1806" t="s">
        <v>31</v>
      </c>
      <c r="S1806" t="s">
        <v>31</v>
      </c>
      <c r="T1806" t="s">
        <v>31</v>
      </c>
    </row>
    <row r="1807" spans="1:20" hidden="1" x14ac:dyDescent="0.3">
      <c r="A1807" t="s">
        <v>2552</v>
      </c>
      <c r="B1807" t="s">
        <v>51</v>
      </c>
      <c r="C1807" t="s">
        <v>37</v>
      </c>
      <c r="D1807" t="s">
        <v>52</v>
      </c>
      <c r="E1807">
        <v>2019</v>
      </c>
      <c r="F1807" t="s">
        <v>31</v>
      </c>
      <c r="G1807" t="s">
        <v>31</v>
      </c>
      <c r="H1807" t="s">
        <v>2656</v>
      </c>
      <c r="I1807" t="s">
        <v>119</v>
      </c>
      <c r="J1807" t="s">
        <v>5165</v>
      </c>
      <c r="K1807" t="s">
        <v>2649</v>
      </c>
      <c r="L1807" t="s">
        <v>54</v>
      </c>
      <c r="M1807" t="s">
        <v>27</v>
      </c>
      <c r="N1807" t="s">
        <v>27</v>
      </c>
      <c r="O1807" t="s">
        <v>33</v>
      </c>
      <c r="P1807" t="s">
        <v>31</v>
      </c>
      <c r="Q1807" t="s">
        <v>31</v>
      </c>
      <c r="R1807" t="s">
        <v>31</v>
      </c>
      <c r="S1807" t="s">
        <v>31</v>
      </c>
      <c r="T1807" t="s">
        <v>31</v>
      </c>
    </row>
    <row r="1808" spans="1:20" hidden="1" x14ac:dyDescent="0.3">
      <c r="A1808" t="s">
        <v>2553</v>
      </c>
      <c r="B1808" t="s">
        <v>28</v>
      </c>
      <c r="C1808" t="s">
        <v>29</v>
      </c>
      <c r="D1808" t="s">
        <v>97</v>
      </c>
      <c r="E1808">
        <v>2019</v>
      </c>
      <c r="F1808">
        <v>1300000</v>
      </c>
      <c r="G1808" t="s">
        <v>5166</v>
      </c>
      <c r="H1808" t="s">
        <v>2645</v>
      </c>
      <c r="I1808" t="s">
        <v>34</v>
      </c>
      <c r="J1808" t="s">
        <v>5167</v>
      </c>
      <c r="K1808" t="s">
        <v>31</v>
      </c>
      <c r="L1808" t="s">
        <v>65</v>
      </c>
      <c r="M1808" t="s">
        <v>27</v>
      </c>
      <c r="N1808" t="s">
        <v>27</v>
      </c>
      <c r="O1808" t="s">
        <v>27</v>
      </c>
      <c r="P1808" t="s">
        <v>31</v>
      </c>
      <c r="Q1808">
        <v>160</v>
      </c>
      <c r="R1808" t="s">
        <v>31</v>
      </c>
      <c r="S1808" t="s">
        <v>31</v>
      </c>
      <c r="T1808" t="s">
        <v>31</v>
      </c>
    </row>
    <row r="1809" spans="1:20" hidden="1" x14ac:dyDescent="0.3">
      <c r="A1809" t="s">
        <v>2554</v>
      </c>
      <c r="B1809" t="s">
        <v>91</v>
      </c>
      <c r="C1809" t="s">
        <v>92</v>
      </c>
      <c r="D1809" t="s">
        <v>93</v>
      </c>
      <c r="E1809">
        <v>2019</v>
      </c>
      <c r="F1809" t="s">
        <v>31</v>
      </c>
      <c r="G1809" t="s">
        <v>5168</v>
      </c>
      <c r="H1809" t="s">
        <v>2680</v>
      </c>
      <c r="I1809" t="s">
        <v>115</v>
      </c>
      <c r="J1809" t="s">
        <v>5169</v>
      </c>
      <c r="K1809" t="s">
        <v>31</v>
      </c>
      <c r="L1809" t="s">
        <v>54</v>
      </c>
      <c r="M1809" t="s">
        <v>27</v>
      </c>
      <c r="N1809" t="s">
        <v>27</v>
      </c>
      <c r="O1809" t="s">
        <v>27</v>
      </c>
      <c r="P1809" t="s">
        <v>31</v>
      </c>
      <c r="Q1809">
        <v>6.6</v>
      </c>
      <c r="R1809">
        <v>13.243</v>
      </c>
      <c r="S1809">
        <v>-89.272000000000006</v>
      </c>
      <c r="T1809" t="s">
        <v>31</v>
      </c>
    </row>
    <row r="1810" spans="1:20" hidden="1" x14ac:dyDescent="0.3">
      <c r="A1810" t="s">
        <v>2555</v>
      </c>
      <c r="B1810" t="s">
        <v>91</v>
      </c>
      <c r="C1810" t="s">
        <v>92</v>
      </c>
      <c r="D1810" t="s">
        <v>93</v>
      </c>
      <c r="E1810">
        <v>2019</v>
      </c>
      <c r="F1810" t="s">
        <v>31</v>
      </c>
      <c r="G1810" t="s">
        <v>5116</v>
      </c>
      <c r="H1810" t="s">
        <v>2678</v>
      </c>
      <c r="I1810" t="s">
        <v>53</v>
      </c>
      <c r="J1810" t="s">
        <v>5170</v>
      </c>
      <c r="K1810" t="s">
        <v>31</v>
      </c>
      <c r="L1810" t="s">
        <v>31</v>
      </c>
      <c r="M1810" t="s">
        <v>27</v>
      </c>
      <c r="N1810" t="s">
        <v>27</v>
      </c>
      <c r="O1810" t="s">
        <v>33</v>
      </c>
      <c r="P1810" t="s">
        <v>31</v>
      </c>
      <c r="Q1810">
        <v>8</v>
      </c>
      <c r="R1810">
        <v>-5.8120000000000003</v>
      </c>
      <c r="S1810">
        <v>-75.27</v>
      </c>
      <c r="T1810" t="s">
        <v>31</v>
      </c>
    </row>
    <row r="1811" spans="1:20" hidden="1" x14ac:dyDescent="0.3">
      <c r="A1811" t="s">
        <v>2556</v>
      </c>
      <c r="B1811" t="s">
        <v>28</v>
      </c>
      <c r="C1811" t="s">
        <v>29</v>
      </c>
      <c r="D1811" t="s">
        <v>97</v>
      </c>
      <c r="E1811">
        <v>2019</v>
      </c>
      <c r="F1811" t="s">
        <v>31</v>
      </c>
      <c r="G1811" t="s">
        <v>31</v>
      </c>
      <c r="H1811" t="s">
        <v>2645</v>
      </c>
      <c r="I1811" t="s">
        <v>34</v>
      </c>
      <c r="J1811" t="s">
        <v>5171</v>
      </c>
      <c r="K1811" t="s">
        <v>31</v>
      </c>
      <c r="L1811" t="s">
        <v>65</v>
      </c>
      <c r="M1811" t="s">
        <v>27</v>
      </c>
      <c r="N1811" t="s">
        <v>27</v>
      </c>
      <c r="O1811" t="s">
        <v>27</v>
      </c>
      <c r="P1811" t="s">
        <v>31</v>
      </c>
      <c r="Q1811">
        <v>150</v>
      </c>
      <c r="R1811" t="s">
        <v>31</v>
      </c>
      <c r="S1811" t="s">
        <v>31</v>
      </c>
      <c r="T1811" t="s">
        <v>31</v>
      </c>
    </row>
    <row r="1812" spans="1:20" hidden="1" x14ac:dyDescent="0.3">
      <c r="A1812" t="s">
        <v>2557</v>
      </c>
      <c r="B1812" t="s">
        <v>51</v>
      </c>
      <c r="C1812" t="s">
        <v>37</v>
      </c>
      <c r="D1812" t="s">
        <v>52</v>
      </c>
      <c r="E1812">
        <v>2019</v>
      </c>
      <c r="F1812" t="s">
        <v>31</v>
      </c>
      <c r="G1812" t="s">
        <v>31</v>
      </c>
      <c r="H1812" t="s">
        <v>2730</v>
      </c>
      <c r="I1812" t="s">
        <v>57</v>
      </c>
      <c r="J1812" t="s">
        <v>5172</v>
      </c>
      <c r="K1812" t="s">
        <v>2649</v>
      </c>
      <c r="L1812" t="s">
        <v>31</v>
      </c>
      <c r="M1812" t="s">
        <v>27</v>
      </c>
      <c r="N1812" t="s">
        <v>27</v>
      </c>
      <c r="O1812" t="s">
        <v>27</v>
      </c>
      <c r="P1812" t="s">
        <v>31</v>
      </c>
      <c r="Q1812" t="s">
        <v>31</v>
      </c>
      <c r="R1812" t="s">
        <v>31</v>
      </c>
      <c r="S1812" t="s">
        <v>31</v>
      </c>
      <c r="T1812" t="s">
        <v>31</v>
      </c>
    </row>
    <row r="1813" spans="1:20" hidden="1" x14ac:dyDescent="0.3">
      <c r="A1813" t="s">
        <v>2558</v>
      </c>
      <c r="B1813" t="s">
        <v>51</v>
      </c>
      <c r="C1813" t="s">
        <v>2655</v>
      </c>
      <c r="D1813" t="s">
        <v>134</v>
      </c>
      <c r="E1813">
        <v>2019</v>
      </c>
      <c r="F1813" t="s">
        <v>31</v>
      </c>
      <c r="G1813" t="s">
        <v>31</v>
      </c>
      <c r="H1813" t="s">
        <v>2666</v>
      </c>
      <c r="I1813" t="s">
        <v>109</v>
      </c>
      <c r="J1813" t="s">
        <v>5173</v>
      </c>
      <c r="K1813" t="s">
        <v>2649</v>
      </c>
      <c r="L1813" t="s">
        <v>37</v>
      </c>
      <c r="M1813" t="s">
        <v>27</v>
      </c>
      <c r="N1813" t="s">
        <v>27</v>
      </c>
      <c r="O1813" t="s">
        <v>27</v>
      </c>
      <c r="P1813" t="s">
        <v>31</v>
      </c>
      <c r="Q1813" t="s">
        <v>31</v>
      </c>
      <c r="R1813" t="s">
        <v>31</v>
      </c>
      <c r="S1813" t="s">
        <v>31</v>
      </c>
      <c r="T1813" t="s">
        <v>31</v>
      </c>
    </row>
    <row r="1814" spans="1:20" hidden="1" x14ac:dyDescent="0.3">
      <c r="A1814" t="s">
        <v>2559</v>
      </c>
      <c r="B1814" t="s">
        <v>43</v>
      </c>
      <c r="C1814" t="s">
        <v>2665</v>
      </c>
      <c r="D1814" t="s">
        <v>114</v>
      </c>
      <c r="E1814">
        <v>2019</v>
      </c>
      <c r="F1814" t="s">
        <v>31</v>
      </c>
      <c r="G1814" t="s">
        <v>31</v>
      </c>
      <c r="H1814" t="s">
        <v>2753</v>
      </c>
      <c r="I1814" t="s">
        <v>49</v>
      </c>
      <c r="J1814" t="s">
        <v>5174</v>
      </c>
      <c r="K1814" t="s">
        <v>31</v>
      </c>
      <c r="L1814" t="s">
        <v>31</v>
      </c>
      <c r="M1814" t="s">
        <v>27</v>
      </c>
      <c r="N1814" t="s">
        <v>27</v>
      </c>
      <c r="O1814" t="s">
        <v>33</v>
      </c>
      <c r="P1814" t="s">
        <v>31</v>
      </c>
      <c r="Q1814" t="s">
        <v>31</v>
      </c>
      <c r="R1814" t="s">
        <v>31</v>
      </c>
      <c r="S1814" t="s">
        <v>31</v>
      </c>
      <c r="T1814" t="s">
        <v>31</v>
      </c>
    </row>
    <row r="1815" spans="1:20" hidden="1" x14ac:dyDescent="0.3">
      <c r="A1815" t="s">
        <v>2560</v>
      </c>
      <c r="B1815" t="s">
        <v>43</v>
      </c>
      <c r="C1815" t="s">
        <v>2665</v>
      </c>
      <c r="D1815" t="s">
        <v>114</v>
      </c>
      <c r="E1815">
        <v>2019</v>
      </c>
      <c r="F1815" t="s">
        <v>31</v>
      </c>
      <c r="G1815" t="s">
        <v>31</v>
      </c>
      <c r="H1815" t="s">
        <v>2719</v>
      </c>
      <c r="I1815" t="s">
        <v>90</v>
      </c>
      <c r="J1815" t="s">
        <v>5175</v>
      </c>
      <c r="K1815" t="s">
        <v>31</v>
      </c>
      <c r="L1815" t="s">
        <v>31</v>
      </c>
      <c r="M1815" t="s">
        <v>27</v>
      </c>
      <c r="N1815" t="s">
        <v>27</v>
      </c>
      <c r="O1815" t="s">
        <v>27</v>
      </c>
      <c r="P1815" t="s">
        <v>31</v>
      </c>
      <c r="Q1815" t="s">
        <v>31</v>
      </c>
      <c r="R1815" t="s">
        <v>31</v>
      </c>
      <c r="S1815" t="s">
        <v>31</v>
      </c>
      <c r="T1815" t="s">
        <v>31</v>
      </c>
    </row>
    <row r="1816" spans="1:20" hidden="1" x14ac:dyDescent="0.3">
      <c r="A1816" t="s">
        <v>2561</v>
      </c>
      <c r="B1816" t="s">
        <v>51</v>
      </c>
      <c r="C1816" t="s">
        <v>37</v>
      </c>
      <c r="D1816" t="s">
        <v>52</v>
      </c>
      <c r="E1816">
        <v>2019</v>
      </c>
      <c r="F1816" t="s">
        <v>31</v>
      </c>
      <c r="G1816" t="s">
        <v>31</v>
      </c>
      <c r="H1816" t="s">
        <v>2656</v>
      </c>
      <c r="I1816" t="s">
        <v>119</v>
      </c>
      <c r="J1816" t="s">
        <v>5176</v>
      </c>
      <c r="K1816" t="s">
        <v>31</v>
      </c>
      <c r="L1816" t="s">
        <v>54</v>
      </c>
      <c r="M1816" t="s">
        <v>27</v>
      </c>
      <c r="N1816" t="s">
        <v>27</v>
      </c>
      <c r="O1816" t="s">
        <v>27</v>
      </c>
      <c r="P1816" t="s">
        <v>31</v>
      </c>
      <c r="Q1816" t="s">
        <v>31</v>
      </c>
      <c r="R1816" t="s">
        <v>31</v>
      </c>
      <c r="S1816" t="s">
        <v>31</v>
      </c>
      <c r="T1816" t="s">
        <v>31</v>
      </c>
    </row>
    <row r="1817" spans="1:20" hidden="1" x14ac:dyDescent="0.3">
      <c r="A1817" t="s">
        <v>2562</v>
      </c>
      <c r="B1817" t="s">
        <v>28</v>
      </c>
      <c r="C1817" t="s">
        <v>29</v>
      </c>
      <c r="D1817" t="s">
        <v>30</v>
      </c>
      <c r="E1817">
        <v>2019</v>
      </c>
      <c r="F1817">
        <v>1600000</v>
      </c>
      <c r="G1817" t="s">
        <v>5074</v>
      </c>
      <c r="H1817" t="s">
        <v>2645</v>
      </c>
      <c r="I1817" t="s">
        <v>34</v>
      </c>
      <c r="J1817" t="s">
        <v>5177</v>
      </c>
      <c r="K1817" t="s">
        <v>31</v>
      </c>
      <c r="L1817" t="s">
        <v>37</v>
      </c>
      <c r="M1817" t="s">
        <v>27</v>
      </c>
      <c r="N1817" t="s">
        <v>27</v>
      </c>
      <c r="O1817" t="s">
        <v>27</v>
      </c>
      <c r="P1817" t="s">
        <v>31</v>
      </c>
      <c r="Q1817">
        <v>150</v>
      </c>
      <c r="R1817" t="s">
        <v>31</v>
      </c>
      <c r="S1817" t="s">
        <v>31</v>
      </c>
      <c r="T1817" t="s">
        <v>31</v>
      </c>
    </row>
    <row r="1818" spans="1:20" hidden="1" x14ac:dyDescent="0.3">
      <c r="A1818" t="s">
        <v>2563</v>
      </c>
      <c r="B1818" t="s">
        <v>28</v>
      </c>
      <c r="C1818" t="s">
        <v>29</v>
      </c>
      <c r="D1818" t="s">
        <v>30</v>
      </c>
      <c r="E1818">
        <v>2019</v>
      </c>
      <c r="F1818">
        <v>3500000</v>
      </c>
      <c r="G1818" t="s">
        <v>5178</v>
      </c>
      <c r="H1818" t="s">
        <v>2645</v>
      </c>
      <c r="I1818" t="s">
        <v>34</v>
      </c>
      <c r="J1818" t="s">
        <v>3470</v>
      </c>
      <c r="K1818" t="s">
        <v>31</v>
      </c>
      <c r="L1818" t="s">
        <v>37</v>
      </c>
      <c r="M1818" t="s">
        <v>27</v>
      </c>
      <c r="N1818" t="s">
        <v>27</v>
      </c>
      <c r="O1818" t="s">
        <v>27</v>
      </c>
      <c r="P1818" t="s">
        <v>31</v>
      </c>
      <c r="Q1818">
        <v>65</v>
      </c>
      <c r="R1818" t="s">
        <v>31</v>
      </c>
      <c r="S1818" t="s">
        <v>31</v>
      </c>
      <c r="T1818" t="s">
        <v>31</v>
      </c>
    </row>
    <row r="1819" spans="1:20" hidden="1" x14ac:dyDescent="0.3">
      <c r="A1819" t="s">
        <v>2564</v>
      </c>
      <c r="B1819" t="s">
        <v>28</v>
      </c>
      <c r="C1819" t="s">
        <v>29</v>
      </c>
      <c r="D1819" t="s">
        <v>30</v>
      </c>
      <c r="E1819">
        <v>2019</v>
      </c>
      <c r="F1819" t="s">
        <v>31</v>
      </c>
      <c r="G1819" t="s">
        <v>31</v>
      </c>
      <c r="H1819" t="s">
        <v>2672</v>
      </c>
      <c r="I1819" t="s">
        <v>73</v>
      </c>
      <c r="J1819" t="s">
        <v>5179</v>
      </c>
      <c r="K1819" t="s">
        <v>31</v>
      </c>
      <c r="L1819" t="s">
        <v>37</v>
      </c>
      <c r="M1819" t="s">
        <v>27</v>
      </c>
      <c r="N1819" t="s">
        <v>27</v>
      </c>
      <c r="O1819" t="s">
        <v>27</v>
      </c>
      <c r="P1819" t="s">
        <v>31</v>
      </c>
      <c r="Q1819">
        <v>130</v>
      </c>
      <c r="R1819" t="s">
        <v>31</v>
      </c>
      <c r="S1819" t="s">
        <v>31</v>
      </c>
      <c r="T1819" t="s">
        <v>31</v>
      </c>
    </row>
    <row r="1820" spans="1:20" hidden="1" x14ac:dyDescent="0.3">
      <c r="A1820" t="s">
        <v>2565</v>
      </c>
      <c r="B1820" t="s">
        <v>39</v>
      </c>
      <c r="C1820" t="s">
        <v>40</v>
      </c>
      <c r="D1820" t="s">
        <v>41</v>
      </c>
      <c r="E1820">
        <v>2019</v>
      </c>
      <c r="F1820" t="s">
        <v>31</v>
      </c>
      <c r="G1820" t="s">
        <v>31</v>
      </c>
      <c r="H1820" t="s">
        <v>2769</v>
      </c>
      <c r="I1820" t="s">
        <v>117</v>
      </c>
      <c r="J1820" t="s">
        <v>5180</v>
      </c>
      <c r="K1820" t="s">
        <v>5181</v>
      </c>
      <c r="L1820" t="s">
        <v>31</v>
      </c>
      <c r="M1820" t="s">
        <v>33</v>
      </c>
      <c r="N1820" t="s">
        <v>27</v>
      </c>
      <c r="O1820" t="s">
        <v>27</v>
      </c>
      <c r="P1820" t="s">
        <v>31</v>
      </c>
      <c r="Q1820" t="s">
        <v>31</v>
      </c>
      <c r="R1820" t="s">
        <v>31</v>
      </c>
      <c r="S1820" t="s">
        <v>31</v>
      </c>
      <c r="T1820" t="s">
        <v>31</v>
      </c>
    </row>
    <row r="1821" spans="1:20" hidden="1" x14ac:dyDescent="0.3">
      <c r="A1821" t="s">
        <v>2566</v>
      </c>
      <c r="B1821" t="s">
        <v>43</v>
      </c>
      <c r="C1821" t="s">
        <v>2665</v>
      </c>
      <c r="D1821" t="s">
        <v>114</v>
      </c>
      <c r="E1821">
        <v>2019</v>
      </c>
      <c r="F1821" t="s">
        <v>31</v>
      </c>
      <c r="G1821" t="s">
        <v>5182</v>
      </c>
      <c r="H1821" t="s">
        <v>2647</v>
      </c>
      <c r="I1821" t="s">
        <v>47</v>
      </c>
      <c r="J1821" t="s">
        <v>5183</v>
      </c>
      <c r="K1821" t="s">
        <v>31</v>
      </c>
      <c r="L1821" t="s">
        <v>31</v>
      </c>
      <c r="M1821" t="s">
        <v>27</v>
      </c>
      <c r="N1821" t="s">
        <v>27</v>
      </c>
      <c r="O1821" t="s">
        <v>27</v>
      </c>
      <c r="P1821" t="s">
        <v>31</v>
      </c>
      <c r="Q1821" t="s">
        <v>31</v>
      </c>
      <c r="R1821" t="s">
        <v>31</v>
      </c>
      <c r="S1821" t="s">
        <v>31</v>
      </c>
      <c r="T1821" t="s">
        <v>31</v>
      </c>
    </row>
    <row r="1822" spans="1:20" hidden="1" x14ac:dyDescent="0.3">
      <c r="A1822" t="s">
        <v>2567</v>
      </c>
      <c r="B1822" t="s">
        <v>43</v>
      </c>
      <c r="C1822" t="s">
        <v>2665</v>
      </c>
      <c r="D1822" t="s">
        <v>114</v>
      </c>
      <c r="E1822">
        <v>2019</v>
      </c>
      <c r="F1822" t="s">
        <v>31</v>
      </c>
      <c r="G1822" t="s">
        <v>5184</v>
      </c>
      <c r="H1822" t="s">
        <v>2888</v>
      </c>
      <c r="I1822" t="s">
        <v>75</v>
      </c>
      <c r="J1822" t="s">
        <v>5185</v>
      </c>
      <c r="K1822" t="s">
        <v>31</v>
      </c>
      <c r="L1822" t="s">
        <v>31</v>
      </c>
      <c r="M1822" t="s">
        <v>27</v>
      </c>
      <c r="N1822" t="s">
        <v>27</v>
      </c>
      <c r="O1822" t="s">
        <v>33</v>
      </c>
      <c r="P1822" t="s">
        <v>31</v>
      </c>
      <c r="Q1822" t="s">
        <v>31</v>
      </c>
      <c r="R1822" t="s">
        <v>31</v>
      </c>
      <c r="S1822" t="s">
        <v>31</v>
      </c>
      <c r="T1822" t="s">
        <v>31</v>
      </c>
    </row>
    <row r="1823" spans="1:20" hidden="1" x14ac:dyDescent="0.3">
      <c r="A1823" t="s">
        <v>2568</v>
      </c>
      <c r="B1823" t="s">
        <v>91</v>
      </c>
      <c r="C1823" t="s">
        <v>92</v>
      </c>
      <c r="D1823" t="s">
        <v>93</v>
      </c>
      <c r="E1823">
        <v>2019</v>
      </c>
      <c r="F1823" t="s">
        <v>31</v>
      </c>
      <c r="G1823" t="s">
        <v>5186</v>
      </c>
      <c r="H1823" t="s">
        <v>2666</v>
      </c>
      <c r="I1823" t="s">
        <v>109</v>
      </c>
      <c r="J1823" t="s">
        <v>5187</v>
      </c>
      <c r="K1823" t="s">
        <v>31</v>
      </c>
      <c r="L1823" t="s">
        <v>31</v>
      </c>
      <c r="M1823" t="s">
        <v>27</v>
      </c>
      <c r="N1823" t="s">
        <v>27</v>
      </c>
      <c r="O1823" t="s">
        <v>27</v>
      </c>
      <c r="P1823" t="s">
        <v>31</v>
      </c>
      <c r="Q1823">
        <v>7.5</v>
      </c>
      <c r="R1823">
        <v>-2.1989999999999998</v>
      </c>
      <c r="S1823">
        <v>-77.022999999999996</v>
      </c>
      <c r="T1823" t="s">
        <v>31</v>
      </c>
    </row>
    <row r="1824" spans="1:20" hidden="1" x14ac:dyDescent="0.3">
      <c r="A1824" t="s">
        <v>55</v>
      </c>
      <c r="B1824" t="s">
        <v>51</v>
      </c>
      <c r="C1824" t="s">
        <v>37</v>
      </c>
      <c r="D1824" t="s">
        <v>56</v>
      </c>
      <c r="E1824">
        <v>2020</v>
      </c>
      <c r="F1824" t="s">
        <v>31</v>
      </c>
      <c r="G1824" t="s">
        <v>5188</v>
      </c>
      <c r="H1824" t="s">
        <v>2730</v>
      </c>
      <c r="I1824" t="s">
        <v>57</v>
      </c>
      <c r="J1824" t="s">
        <v>5189</v>
      </c>
      <c r="K1824" t="s">
        <v>2649</v>
      </c>
      <c r="L1824" t="s">
        <v>29</v>
      </c>
      <c r="M1824" t="s">
        <v>27</v>
      </c>
      <c r="N1824" t="s">
        <v>27</v>
      </c>
      <c r="O1824" t="s">
        <v>27</v>
      </c>
      <c r="P1824" t="s">
        <v>31</v>
      </c>
      <c r="Q1824">
        <v>112272.14</v>
      </c>
      <c r="R1824">
        <v>-33.103000000000002</v>
      </c>
      <c r="S1824">
        <v>-56.045999999999999</v>
      </c>
      <c r="T1824" t="s">
        <v>31</v>
      </c>
    </row>
    <row r="1825" spans="1:20" hidden="1" x14ac:dyDescent="0.3">
      <c r="A1825" t="s">
        <v>61</v>
      </c>
      <c r="B1825" t="s">
        <v>28</v>
      </c>
      <c r="C1825" t="s">
        <v>29</v>
      </c>
      <c r="D1825" t="s">
        <v>30</v>
      </c>
      <c r="E1825">
        <v>2020</v>
      </c>
      <c r="F1825">
        <v>59800</v>
      </c>
      <c r="G1825" t="s">
        <v>5190</v>
      </c>
      <c r="H1825" t="s">
        <v>2847</v>
      </c>
      <c r="I1825" t="s">
        <v>62</v>
      </c>
      <c r="J1825" t="s">
        <v>5191</v>
      </c>
      <c r="K1825" t="s">
        <v>31</v>
      </c>
      <c r="L1825" t="s">
        <v>31</v>
      </c>
      <c r="M1825" t="s">
        <v>27</v>
      </c>
      <c r="N1825" t="s">
        <v>27</v>
      </c>
      <c r="O1825" t="s">
        <v>27</v>
      </c>
      <c r="P1825" t="s">
        <v>31</v>
      </c>
      <c r="Q1825" t="s">
        <v>31</v>
      </c>
      <c r="R1825" t="s">
        <v>31</v>
      </c>
      <c r="S1825" t="s">
        <v>31</v>
      </c>
      <c r="T1825" t="s">
        <v>31</v>
      </c>
    </row>
    <row r="1826" spans="1:20" hidden="1" x14ac:dyDescent="0.3">
      <c r="A1826" t="s">
        <v>72</v>
      </c>
      <c r="B1826" t="s">
        <v>51</v>
      </c>
      <c r="C1826" t="s">
        <v>37</v>
      </c>
      <c r="D1826" t="s">
        <v>52</v>
      </c>
      <c r="E1826">
        <v>2020</v>
      </c>
      <c r="F1826" t="s">
        <v>31</v>
      </c>
      <c r="G1826" t="s">
        <v>31</v>
      </c>
      <c r="H1826" t="s">
        <v>2672</v>
      </c>
      <c r="I1826" t="s">
        <v>73</v>
      </c>
      <c r="J1826" t="s">
        <v>5192</v>
      </c>
      <c r="K1826" t="s">
        <v>31</v>
      </c>
      <c r="L1826" t="s">
        <v>54</v>
      </c>
      <c r="M1826" t="s">
        <v>27</v>
      </c>
      <c r="N1826" t="s">
        <v>27</v>
      </c>
      <c r="O1826" t="s">
        <v>27</v>
      </c>
      <c r="P1826" t="s">
        <v>31</v>
      </c>
      <c r="Q1826" t="s">
        <v>31</v>
      </c>
      <c r="R1826" t="s">
        <v>31</v>
      </c>
      <c r="S1826" t="s">
        <v>31</v>
      </c>
      <c r="T1826" t="s">
        <v>31</v>
      </c>
    </row>
    <row r="1827" spans="1:20" hidden="1" x14ac:dyDescent="0.3">
      <c r="A1827" t="s">
        <v>74</v>
      </c>
      <c r="B1827" t="s">
        <v>28</v>
      </c>
      <c r="C1827" t="s">
        <v>29</v>
      </c>
      <c r="D1827" t="s">
        <v>30</v>
      </c>
      <c r="E1827">
        <v>2020</v>
      </c>
      <c r="F1827" t="s">
        <v>31</v>
      </c>
      <c r="G1827" t="s">
        <v>5193</v>
      </c>
      <c r="H1827" t="s">
        <v>2888</v>
      </c>
      <c r="I1827" t="s">
        <v>75</v>
      </c>
      <c r="J1827" t="s">
        <v>31</v>
      </c>
      <c r="K1827" t="s">
        <v>31</v>
      </c>
      <c r="L1827" t="s">
        <v>31</v>
      </c>
      <c r="M1827" t="s">
        <v>27</v>
      </c>
      <c r="N1827" t="s">
        <v>27</v>
      </c>
      <c r="O1827" t="s">
        <v>27</v>
      </c>
      <c r="P1827" t="s">
        <v>31</v>
      </c>
      <c r="Q1827" t="s">
        <v>31</v>
      </c>
      <c r="R1827" t="s">
        <v>31</v>
      </c>
      <c r="S1827" t="s">
        <v>31</v>
      </c>
      <c r="T1827" t="s">
        <v>31</v>
      </c>
    </row>
    <row r="1828" spans="1:20" hidden="1" x14ac:dyDescent="0.3">
      <c r="A1828" t="s">
        <v>78</v>
      </c>
      <c r="B1828" t="s">
        <v>28</v>
      </c>
      <c r="C1828" t="s">
        <v>29</v>
      </c>
      <c r="D1828" t="s">
        <v>30</v>
      </c>
      <c r="E1828">
        <v>2020</v>
      </c>
      <c r="F1828" t="s">
        <v>31</v>
      </c>
      <c r="G1828" t="s">
        <v>5194</v>
      </c>
      <c r="H1828" t="s">
        <v>2672</v>
      </c>
      <c r="I1828" t="s">
        <v>73</v>
      </c>
      <c r="J1828" t="s">
        <v>5195</v>
      </c>
      <c r="K1828" t="s">
        <v>31</v>
      </c>
      <c r="L1828" t="s">
        <v>31</v>
      </c>
      <c r="M1828" t="s">
        <v>27</v>
      </c>
      <c r="N1828" t="s">
        <v>27</v>
      </c>
      <c r="O1828" t="s">
        <v>27</v>
      </c>
      <c r="P1828" t="s">
        <v>31</v>
      </c>
      <c r="Q1828" t="s">
        <v>31</v>
      </c>
      <c r="R1828" t="s">
        <v>31</v>
      </c>
      <c r="S1828" t="s">
        <v>31</v>
      </c>
      <c r="T1828" t="s">
        <v>31</v>
      </c>
    </row>
    <row r="1829" spans="1:20" hidden="1" x14ac:dyDescent="0.3">
      <c r="A1829" t="s">
        <v>80</v>
      </c>
      <c r="B1829" t="s">
        <v>28</v>
      </c>
      <c r="C1829" t="s">
        <v>29</v>
      </c>
      <c r="D1829" t="s">
        <v>30</v>
      </c>
      <c r="E1829">
        <v>2020</v>
      </c>
      <c r="F1829">
        <v>178000</v>
      </c>
      <c r="G1829" t="s">
        <v>5194</v>
      </c>
      <c r="H1829" t="s">
        <v>2675</v>
      </c>
      <c r="I1829" t="s">
        <v>81</v>
      </c>
      <c r="J1829" t="s">
        <v>5196</v>
      </c>
      <c r="K1829" t="s">
        <v>31</v>
      </c>
      <c r="L1829" t="s">
        <v>82</v>
      </c>
      <c r="M1829" t="s">
        <v>33</v>
      </c>
      <c r="N1829" t="s">
        <v>27</v>
      </c>
      <c r="O1829" t="s">
        <v>27</v>
      </c>
      <c r="P1829" t="s">
        <v>31</v>
      </c>
      <c r="Q1829">
        <v>240</v>
      </c>
      <c r="R1829" t="s">
        <v>31</v>
      </c>
      <c r="S1829" t="s">
        <v>31</v>
      </c>
      <c r="T1829" t="s">
        <v>31</v>
      </c>
    </row>
    <row r="1830" spans="1:20" hidden="1" x14ac:dyDescent="0.3">
      <c r="A1830" t="s">
        <v>84</v>
      </c>
      <c r="B1830" t="s">
        <v>28</v>
      </c>
      <c r="C1830" t="s">
        <v>29</v>
      </c>
      <c r="D1830" t="s">
        <v>30</v>
      </c>
      <c r="E1830">
        <v>2020</v>
      </c>
      <c r="F1830">
        <v>1500000</v>
      </c>
      <c r="G1830" t="s">
        <v>5194</v>
      </c>
      <c r="H1830" t="s">
        <v>2645</v>
      </c>
      <c r="I1830" t="s">
        <v>34</v>
      </c>
      <c r="J1830" t="s">
        <v>5197</v>
      </c>
      <c r="K1830" t="s">
        <v>31</v>
      </c>
      <c r="L1830" t="s">
        <v>85</v>
      </c>
      <c r="M1830" t="s">
        <v>27</v>
      </c>
      <c r="N1830" t="s">
        <v>27</v>
      </c>
      <c r="O1830" t="s">
        <v>27</v>
      </c>
      <c r="P1830" t="s">
        <v>31</v>
      </c>
      <c r="Q1830">
        <v>100</v>
      </c>
      <c r="R1830" t="s">
        <v>31</v>
      </c>
      <c r="S1830" t="s">
        <v>31</v>
      </c>
      <c r="T1830" t="s">
        <v>31</v>
      </c>
    </row>
    <row r="1831" spans="1:20" hidden="1" x14ac:dyDescent="0.3">
      <c r="A1831" t="s">
        <v>86</v>
      </c>
      <c r="B1831" t="s">
        <v>28</v>
      </c>
      <c r="C1831" t="s">
        <v>29</v>
      </c>
      <c r="D1831" t="s">
        <v>30</v>
      </c>
      <c r="E1831">
        <v>2020</v>
      </c>
      <c r="F1831">
        <v>3500000</v>
      </c>
      <c r="G1831" t="s">
        <v>31</v>
      </c>
      <c r="H1831" t="s">
        <v>2645</v>
      </c>
      <c r="I1831" t="s">
        <v>34</v>
      </c>
      <c r="J1831" t="s">
        <v>5198</v>
      </c>
      <c r="K1831" t="s">
        <v>31</v>
      </c>
      <c r="L1831" t="s">
        <v>87</v>
      </c>
      <c r="M1831" t="s">
        <v>27</v>
      </c>
      <c r="N1831" t="s">
        <v>27</v>
      </c>
      <c r="O1831" t="s">
        <v>27</v>
      </c>
      <c r="P1831" t="s">
        <v>31</v>
      </c>
      <c r="Q1831">
        <v>175</v>
      </c>
      <c r="R1831" t="s">
        <v>31</v>
      </c>
      <c r="S1831" t="s">
        <v>31</v>
      </c>
      <c r="T1831" t="s">
        <v>31</v>
      </c>
    </row>
    <row r="1832" spans="1:20" hidden="1" x14ac:dyDescent="0.3">
      <c r="A1832" t="s">
        <v>88</v>
      </c>
      <c r="B1832" t="s">
        <v>28</v>
      </c>
      <c r="C1832" t="s">
        <v>29</v>
      </c>
      <c r="D1832" t="s">
        <v>30</v>
      </c>
      <c r="E1832">
        <v>2020</v>
      </c>
      <c r="F1832">
        <v>100000</v>
      </c>
      <c r="G1832" t="s">
        <v>5199</v>
      </c>
      <c r="H1832" t="s">
        <v>2647</v>
      </c>
      <c r="I1832" t="s">
        <v>47</v>
      </c>
      <c r="J1832" t="s">
        <v>5200</v>
      </c>
      <c r="K1832" t="s">
        <v>31</v>
      </c>
      <c r="L1832" t="s">
        <v>82</v>
      </c>
      <c r="M1832" t="s">
        <v>27</v>
      </c>
      <c r="N1832" t="s">
        <v>27</v>
      </c>
      <c r="O1832" t="s">
        <v>27</v>
      </c>
      <c r="P1832" t="s">
        <v>31</v>
      </c>
      <c r="Q1832" t="s">
        <v>31</v>
      </c>
      <c r="R1832" t="s">
        <v>31</v>
      </c>
      <c r="S1832" t="s">
        <v>31</v>
      </c>
      <c r="T1832" t="s">
        <v>31</v>
      </c>
    </row>
    <row r="1833" spans="1:20" hidden="1" x14ac:dyDescent="0.3">
      <c r="A1833" t="s">
        <v>89</v>
      </c>
      <c r="B1833" t="s">
        <v>28</v>
      </c>
      <c r="C1833" t="s">
        <v>29</v>
      </c>
      <c r="D1833" t="s">
        <v>30</v>
      </c>
      <c r="E1833">
        <v>2020</v>
      </c>
      <c r="F1833" t="s">
        <v>31</v>
      </c>
      <c r="G1833" t="s">
        <v>5199</v>
      </c>
      <c r="H1833" t="s">
        <v>2719</v>
      </c>
      <c r="I1833" t="s">
        <v>90</v>
      </c>
      <c r="J1833" t="s">
        <v>5201</v>
      </c>
      <c r="K1833" t="s">
        <v>31</v>
      </c>
      <c r="L1833" t="s">
        <v>31</v>
      </c>
      <c r="M1833" t="s">
        <v>27</v>
      </c>
      <c r="N1833" t="s">
        <v>33</v>
      </c>
      <c r="O1833" t="s">
        <v>27</v>
      </c>
      <c r="P1833" t="s">
        <v>31</v>
      </c>
      <c r="Q1833" t="s">
        <v>31</v>
      </c>
      <c r="R1833" t="s">
        <v>31</v>
      </c>
      <c r="S1833" t="s">
        <v>31</v>
      </c>
      <c r="T1833" t="s">
        <v>31</v>
      </c>
    </row>
    <row r="1834" spans="1:20" hidden="1" x14ac:dyDescent="0.3">
      <c r="A1834" t="s">
        <v>98</v>
      </c>
      <c r="B1834" t="s">
        <v>28</v>
      </c>
      <c r="C1834" t="s">
        <v>29</v>
      </c>
      <c r="D1834" t="s">
        <v>99</v>
      </c>
      <c r="E1834">
        <v>2020</v>
      </c>
      <c r="F1834">
        <v>350000</v>
      </c>
      <c r="G1834" t="s">
        <v>31</v>
      </c>
      <c r="H1834" t="s">
        <v>2645</v>
      </c>
      <c r="I1834" t="s">
        <v>34</v>
      </c>
      <c r="J1834" t="s">
        <v>5202</v>
      </c>
      <c r="K1834" t="s">
        <v>31</v>
      </c>
      <c r="L1834" t="s">
        <v>100</v>
      </c>
      <c r="M1834" t="s">
        <v>27</v>
      </c>
      <c r="N1834" t="s">
        <v>27</v>
      </c>
      <c r="O1834" t="s">
        <v>27</v>
      </c>
      <c r="P1834" t="s">
        <v>31</v>
      </c>
      <c r="Q1834">
        <v>110</v>
      </c>
      <c r="R1834" t="s">
        <v>31</v>
      </c>
      <c r="S1834" t="s">
        <v>31</v>
      </c>
      <c r="T1834" t="s">
        <v>31</v>
      </c>
    </row>
    <row r="1835" spans="1:20" hidden="1" x14ac:dyDescent="0.3">
      <c r="A1835" t="s">
        <v>106</v>
      </c>
      <c r="B1835" t="s">
        <v>28</v>
      </c>
      <c r="C1835" t="s">
        <v>29</v>
      </c>
      <c r="D1835" t="s">
        <v>64</v>
      </c>
      <c r="E1835">
        <v>2020</v>
      </c>
      <c r="F1835">
        <v>2900000</v>
      </c>
      <c r="G1835" t="s">
        <v>5203</v>
      </c>
      <c r="H1835" t="s">
        <v>2645</v>
      </c>
      <c r="I1835" t="s">
        <v>34</v>
      </c>
      <c r="J1835" t="s">
        <v>5204</v>
      </c>
      <c r="K1835" t="s">
        <v>31</v>
      </c>
      <c r="L1835" t="s">
        <v>31</v>
      </c>
      <c r="M1835" t="s">
        <v>27</v>
      </c>
      <c r="N1835" t="s">
        <v>27</v>
      </c>
      <c r="O1835" t="s">
        <v>27</v>
      </c>
      <c r="P1835" t="s">
        <v>31</v>
      </c>
      <c r="Q1835" t="s">
        <v>31</v>
      </c>
      <c r="R1835" t="s">
        <v>31</v>
      </c>
      <c r="S1835" t="s">
        <v>31</v>
      </c>
      <c r="T1835" t="s">
        <v>31</v>
      </c>
    </row>
    <row r="1836" spans="1:20" hidden="1" x14ac:dyDescent="0.3">
      <c r="A1836" t="s">
        <v>107</v>
      </c>
      <c r="B1836" t="s">
        <v>28</v>
      </c>
      <c r="C1836" t="s">
        <v>29</v>
      </c>
      <c r="D1836" t="s">
        <v>65</v>
      </c>
      <c r="E1836">
        <v>2020</v>
      </c>
      <c r="F1836">
        <v>1400000</v>
      </c>
      <c r="G1836" t="s">
        <v>31</v>
      </c>
      <c r="H1836" t="s">
        <v>2645</v>
      </c>
      <c r="I1836" t="s">
        <v>34</v>
      </c>
      <c r="J1836" t="s">
        <v>5205</v>
      </c>
      <c r="K1836" t="s">
        <v>31</v>
      </c>
      <c r="L1836" t="s">
        <v>31</v>
      </c>
      <c r="M1836" t="s">
        <v>27</v>
      </c>
      <c r="N1836" t="s">
        <v>27</v>
      </c>
      <c r="O1836" t="s">
        <v>27</v>
      </c>
      <c r="P1836" t="s">
        <v>31</v>
      </c>
      <c r="Q1836" t="s">
        <v>31</v>
      </c>
      <c r="R1836" t="s">
        <v>31</v>
      </c>
      <c r="S1836" t="s">
        <v>31</v>
      </c>
      <c r="T1836" t="s">
        <v>31</v>
      </c>
    </row>
    <row r="1837" spans="1:20" hidden="1" x14ac:dyDescent="0.3">
      <c r="A1837" t="s">
        <v>429</v>
      </c>
      <c r="B1837" t="s">
        <v>28</v>
      </c>
      <c r="C1837" t="s">
        <v>29</v>
      </c>
      <c r="D1837" t="s">
        <v>97</v>
      </c>
      <c r="E1837">
        <v>2020</v>
      </c>
      <c r="F1837">
        <v>2500000</v>
      </c>
      <c r="G1837" t="s">
        <v>5206</v>
      </c>
      <c r="H1837" t="s">
        <v>2645</v>
      </c>
      <c r="I1837" t="s">
        <v>34</v>
      </c>
      <c r="J1837" t="s">
        <v>5207</v>
      </c>
      <c r="K1837" t="s">
        <v>31</v>
      </c>
      <c r="L1837" t="s">
        <v>31</v>
      </c>
      <c r="M1837" t="s">
        <v>27</v>
      </c>
      <c r="N1837" t="s">
        <v>27</v>
      </c>
      <c r="O1837" t="s">
        <v>33</v>
      </c>
      <c r="P1837" t="s">
        <v>31</v>
      </c>
      <c r="Q1837" t="s">
        <v>31</v>
      </c>
      <c r="R1837" t="s">
        <v>31</v>
      </c>
      <c r="S1837" t="s">
        <v>31</v>
      </c>
      <c r="T1837" t="s">
        <v>31</v>
      </c>
    </row>
    <row r="1838" spans="1:20" hidden="1" x14ac:dyDescent="0.3">
      <c r="A1838" t="s">
        <v>430</v>
      </c>
      <c r="B1838" t="s">
        <v>28</v>
      </c>
      <c r="C1838" t="s">
        <v>29</v>
      </c>
      <c r="D1838" t="s">
        <v>97</v>
      </c>
      <c r="E1838">
        <v>2020</v>
      </c>
      <c r="F1838">
        <v>2900000</v>
      </c>
      <c r="G1838" t="s">
        <v>5208</v>
      </c>
      <c r="H1838" t="s">
        <v>2645</v>
      </c>
      <c r="I1838" t="s">
        <v>34</v>
      </c>
      <c r="J1838" t="s">
        <v>5209</v>
      </c>
      <c r="K1838" t="s">
        <v>31</v>
      </c>
      <c r="L1838" t="s">
        <v>65</v>
      </c>
      <c r="M1838" t="s">
        <v>27</v>
      </c>
      <c r="N1838" t="s">
        <v>27</v>
      </c>
      <c r="O1838" t="s">
        <v>27</v>
      </c>
      <c r="P1838" t="s">
        <v>31</v>
      </c>
      <c r="Q1838" t="s">
        <v>31</v>
      </c>
      <c r="R1838" t="s">
        <v>31</v>
      </c>
      <c r="S1838" t="s">
        <v>31</v>
      </c>
      <c r="T1838" t="s">
        <v>31</v>
      </c>
    </row>
    <row r="1839" spans="1:20" hidden="1" x14ac:dyDescent="0.3">
      <c r="A1839" t="s">
        <v>431</v>
      </c>
      <c r="B1839" t="s">
        <v>51</v>
      </c>
      <c r="C1839" t="s">
        <v>37</v>
      </c>
      <c r="D1839" t="s">
        <v>52</v>
      </c>
      <c r="E1839">
        <v>2020</v>
      </c>
      <c r="F1839" t="s">
        <v>31</v>
      </c>
      <c r="G1839" t="s">
        <v>31</v>
      </c>
      <c r="H1839" t="s">
        <v>2669</v>
      </c>
      <c r="I1839" t="s">
        <v>111</v>
      </c>
      <c r="J1839" t="s">
        <v>5210</v>
      </c>
      <c r="K1839" t="s">
        <v>2649</v>
      </c>
      <c r="L1839" t="s">
        <v>54</v>
      </c>
      <c r="M1839" t="s">
        <v>27</v>
      </c>
      <c r="N1839" t="s">
        <v>27</v>
      </c>
      <c r="O1839" t="s">
        <v>33</v>
      </c>
      <c r="P1839" t="s">
        <v>31</v>
      </c>
      <c r="Q1839" t="s">
        <v>31</v>
      </c>
      <c r="R1839" t="s">
        <v>31</v>
      </c>
      <c r="S1839" t="s">
        <v>31</v>
      </c>
      <c r="T1839" t="s">
        <v>5211</v>
      </c>
    </row>
    <row r="1840" spans="1:20" hidden="1" x14ac:dyDescent="0.3">
      <c r="A1840" t="s">
        <v>432</v>
      </c>
      <c r="B1840" t="s">
        <v>28</v>
      </c>
      <c r="C1840" t="s">
        <v>29</v>
      </c>
      <c r="D1840" t="s">
        <v>30</v>
      </c>
      <c r="E1840">
        <v>2020</v>
      </c>
      <c r="F1840" t="s">
        <v>31</v>
      </c>
      <c r="G1840" t="s">
        <v>5212</v>
      </c>
      <c r="H1840" t="s">
        <v>2753</v>
      </c>
      <c r="I1840" t="s">
        <v>49</v>
      </c>
      <c r="J1840" t="s">
        <v>5213</v>
      </c>
      <c r="K1840" t="s">
        <v>31</v>
      </c>
      <c r="L1840" t="s">
        <v>54</v>
      </c>
      <c r="M1840" t="s">
        <v>27</v>
      </c>
      <c r="N1840" t="s">
        <v>27</v>
      </c>
      <c r="O1840" t="s">
        <v>27</v>
      </c>
      <c r="P1840" t="s">
        <v>31</v>
      </c>
      <c r="Q1840" t="s">
        <v>31</v>
      </c>
      <c r="R1840" t="s">
        <v>31</v>
      </c>
      <c r="S1840" t="s">
        <v>31</v>
      </c>
      <c r="T1840" t="s">
        <v>31</v>
      </c>
    </row>
    <row r="1841" spans="1:20" hidden="1" x14ac:dyDescent="0.3">
      <c r="A1841" t="s">
        <v>433</v>
      </c>
      <c r="B1841" t="s">
        <v>28</v>
      </c>
      <c r="C1841" t="s">
        <v>29</v>
      </c>
      <c r="D1841" t="s">
        <v>30</v>
      </c>
      <c r="E1841">
        <v>2020</v>
      </c>
      <c r="F1841">
        <v>325000</v>
      </c>
      <c r="G1841" t="s">
        <v>31</v>
      </c>
      <c r="H1841" t="s">
        <v>2645</v>
      </c>
      <c r="I1841" t="s">
        <v>34</v>
      </c>
      <c r="J1841" t="s">
        <v>5214</v>
      </c>
      <c r="K1841" t="s">
        <v>31</v>
      </c>
      <c r="L1841" t="s">
        <v>31</v>
      </c>
      <c r="M1841" t="s">
        <v>27</v>
      </c>
      <c r="N1841" t="s">
        <v>27</v>
      </c>
      <c r="O1841" t="s">
        <v>33</v>
      </c>
      <c r="P1841" t="s">
        <v>31</v>
      </c>
      <c r="Q1841">
        <v>85</v>
      </c>
      <c r="R1841" t="s">
        <v>31</v>
      </c>
      <c r="S1841" t="s">
        <v>31</v>
      </c>
      <c r="T1841" t="s">
        <v>31</v>
      </c>
    </row>
    <row r="1842" spans="1:20" hidden="1" x14ac:dyDescent="0.3">
      <c r="A1842" t="s">
        <v>434</v>
      </c>
      <c r="B1842" t="s">
        <v>28</v>
      </c>
      <c r="C1842" t="s">
        <v>29</v>
      </c>
      <c r="D1842" t="s">
        <v>64</v>
      </c>
      <c r="E1842">
        <v>2020</v>
      </c>
      <c r="F1842">
        <v>1200000</v>
      </c>
      <c r="G1842" t="s">
        <v>5215</v>
      </c>
      <c r="H1842" t="s">
        <v>2645</v>
      </c>
      <c r="I1842" t="s">
        <v>34</v>
      </c>
      <c r="J1842" t="s">
        <v>5216</v>
      </c>
      <c r="K1842" t="s">
        <v>31</v>
      </c>
      <c r="L1842" t="s">
        <v>37</v>
      </c>
      <c r="M1842" t="s">
        <v>27</v>
      </c>
      <c r="N1842" t="s">
        <v>27</v>
      </c>
      <c r="O1842" t="s">
        <v>27</v>
      </c>
      <c r="P1842" t="s">
        <v>31</v>
      </c>
      <c r="Q1842" t="s">
        <v>31</v>
      </c>
      <c r="R1842" t="s">
        <v>31</v>
      </c>
      <c r="S1842" t="s">
        <v>31</v>
      </c>
      <c r="T1842" t="s">
        <v>31</v>
      </c>
    </row>
    <row r="1843" spans="1:20" hidden="1" x14ac:dyDescent="0.3">
      <c r="A1843" t="s">
        <v>1263</v>
      </c>
      <c r="B1843" t="s">
        <v>51</v>
      </c>
      <c r="C1843" t="s">
        <v>37</v>
      </c>
      <c r="D1843" t="s">
        <v>56</v>
      </c>
      <c r="E1843">
        <v>2020</v>
      </c>
      <c r="F1843" t="s">
        <v>31</v>
      </c>
      <c r="G1843" t="s">
        <v>31</v>
      </c>
      <c r="H1843" t="s">
        <v>2678</v>
      </c>
      <c r="I1843" t="s">
        <v>53</v>
      </c>
      <c r="J1843" t="s">
        <v>5217</v>
      </c>
      <c r="K1843" t="s">
        <v>2649</v>
      </c>
      <c r="L1843" t="s">
        <v>54</v>
      </c>
      <c r="M1843" t="s">
        <v>27</v>
      </c>
      <c r="N1843" t="s">
        <v>27</v>
      </c>
      <c r="O1843" t="s">
        <v>27</v>
      </c>
      <c r="P1843" t="s">
        <v>31</v>
      </c>
      <c r="Q1843" t="s">
        <v>31</v>
      </c>
      <c r="R1843" t="s">
        <v>31</v>
      </c>
      <c r="S1843" t="s">
        <v>31</v>
      </c>
      <c r="T1843" t="s">
        <v>31</v>
      </c>
    </row>
    <row r="1844" spans="1:20" hidden="1" x14ac:dyDescent="0.3">
      <c r="A1844" t="s">
        <v>1265</v>
      </c>
      <c r="B1844" t="s">
        <v>91</v>
      </c>
      <c r="C1844" t="s">
        <v>92</v>
      </c>
      <c r="D1844" t="s">
        <v>93</v>
      </c>
      <c r="E1844">
        <v>2020</v>
      </c>
      <c r="F1844">
        <v>800000</v>
      </c>
      <c r="G1844" t="s">
        <v>5218</v>
      </c>
      <c r="H1844" t="s">
        <v>2847</v>
      </c>
      <c r="I1844" t="s">
        <v>62</v>
      </c>
      <c r="J1844" t="s">
        <v>5219</v>
      </c>
      <c r="K1844" t="s">
        <v>31</v>
      </c>
      <c r="L1844" t="s">
        <v>173</v>
      </c>
      <c r="M1844" t="s">
        <v>27</v>
      </c>
      <c r="N1844" t="s">
        <v>27</v>
      </c>
      <c r="O1844" t="s">
        <v>27</v>
      </c>
      <c r="P1844" t="s">
        <v>31</v>
      </c>
      <c r="Q1844">
        <v>6.4</v>
      </c>
      <c r="R1844">
        <v>17.934999999999999</v>
      </c>
      <c r="S1844">
        <v>-66.882999999999996</v>
      </c>
      <c r="T1844" t="s">
        <v>31</v>
      </c>
    </row>
    <row r="1845" spans="1:20" hidden="1" x14ac:dyDescent="0.3">
      <c r="A1845" t="s">
        <v>1266</v>
      </c>
      <c r="B1845" t="s">
        <v>51</v>
      </c>
      <c r="C1845" t="s">
        <v>2655</v>
      </c>
      <c r="D1845" t="s">
        <v>150</v>
      </c>
      <c r="E1845">
        <v>2020</v>
      </c>
      <c r="F1845" t="s">
        <v>31</v>
      </c>
      <c r="G1845" t="s">
        <v>31</v>
      </c>
      <c r="H1845" t="s">
        <v>2678</v>
      </c>
      <c r="I1845" t="s">
        <v>53</v>
      </c>
      <c r="J1845" t="s">
        <v>5220</v>
      </c>
      <c r="K1845" t="s">
        <v>31</v>
      </c>
      <c r="L1845" t="s">
        <v>37</v>
      </c>
      <c r="M1845" t="s">
        <v>27</v>
      </c>
      <c r="N1845" t="s">
        <v>27</v>
      </c>
      <c r="O1845" t="s">
        <v>27</v>
      </c>
      <c r="P1845" t="s">
        <v>31</v>
      </c>
      <c r="Q1845" t="s">
        <v>31</v>
      </c>
      <c r="R1845" t="s">
        <v>31</v>
      </c>
      <c r="S1845" t="s">
        <v>31</v>
      </c>
      <c r="T1845" t="s">
        <v>31</v>
      </c>
    </row>
    <row r="1846" spans="1:20" hidden="1" x14ac:dyDescent="0.3">
      <c r="A1846" t="s">
        <v>1267</v>
      </c>
      <c r="B1846" t="s">
        <v>51</v>
      </c>
      <c r="C1846" t="s">
        <v>37</v>
      </c>
      <c r="D1846" t="s">
        <v>52</v>
      </c>
      <c r="E1846">
        <v>2020</v>
      </c>
      <c r="F1846" t="s">
        <v>31</v>
      </c>
      <c r="G1846" t="s">
        <v>31</v>
      </c>
      <c r="H1846" t="s">
        <v>2656</v>
      </c>
      <c r="I1846" t="s">
        <v>119</v>
      </c>
      <c r="J1846" t="s">
        <v>5221</v>
      </c>
      <c r="K1846" t="s">
        <v>2649</v>
      </c>
      <c r="L1846" t="s">
        <v>54</v>
      </c>
      <c r="M1846" t="s">
        <v>27</v>
      </c>
      <c r="N1846" t="s">
        <v>27</v>
      </c>
      <c r="O1846" t="s">
        <v>27</v>
      </c>
      <c r="P1846" t="s">
        <v>31</v>
      </c>
      <c r="Q1846" t="s">
        <v>31</v>
      </c>
      <c r="R1846" t="s">
        <v>31</v>
      </c>
      <c r="S1846" t="s">
        <v>31</v>
      </c>
      <c r="T1846" t="s">
        <v>31</v>
      </c>
    </row>
    <row r="1847" spans="1:20" hidden="1" x14ac:dyDescent="0.3">
      <c r="A1847" t="s">
        <v>1268</v>
      </c>
      <c r="B1847" t="s">
        <v>43</v>
      </c>
      <c r="C1847" t="s">
        <v>2665</v>
      </c>
      <c r="D1847" t="s">
        <v>114</v>
      </c>
      <c r="E1847">
        <v>2020</v>
      </c>
      <c r="F1847" t="s">
        <v>31</v>
      </c>
      <c r="G1847" t="s">
        <v>31</v>
      </c>
      <c r="H1847" t="s">
        <v>2769</v>
      </c>
      <c r="I1847" t="s">
        <v>117</v>
      </c>
      <c r="J1847" t="s">
        <v>5222</v>
      </c>
      <c r="K1847" t="s">
        <v>31</v>
      </c>
      <c r="L1847" t="s">
        <v>31</v>
      </c>
      <c r="M1847" t="s">
        <v>27</v>
      </c>
      <c r="N1847" t="s">
        <v>27</v>
      </c>
      <c r="O1847" t="s">
        <v>33</v>
      </c>
      <c r="P1847" t="s">
        <v>31</v>
      </c>
      <c r="Q1847" t="s">
        <v>31</v>
      </c>
      <c r="R1847" t="s">
        <v>31</v>
      </c>
      <c r="S1847" t="s">
        <v>31</v>
      </c>
      <c r="T1847" t="s">
        <v>31</v>
      </c>
    </row>
    <row r="1848" spans="1:20" hidden="1" x14ac:dyDescent="0.3">
      <c r="A1848" t="s">
        <v>1269</v>
      </c>
      <c r="B1848" t="s">
        <v>51</v>
      </c>
      <c r="C1848" t="s">
        <v>37</v>
      </c>
      <c r="D1848" t="s">
        <v>52</v>
      </c>
      <c r="E1848">
        <v>2020</v>
      </c>
      <c r="F1848">
        <v>10000</v>
      </c>
      <c r="G1848" t="s">
        <v>31</v>
      </c>
      <c r="H1848" t="s">
        <v>2658</v>
      </c>
      <c r="I1848" t="s">
        <v>130</v>
      </c>
      <c r="J1848" t="s">
        <v>5223</v>
      </c>
      <c r="K1848" t="s">
        <v>5224</v>
      </c>
      <c r="L1848" t="s">
        <v>31</v>
      </c>
      <c r="M1848" t="s">
        <v>27</v>
      </c>
      <c r="N1848" t="s">
        <v>27</v>
      </c>
      <c r="O1848" t="s">
        <v>27</v>
      </c>
      <c r="P1848" t="s">
        <v>31</v>
      </c>
      <c r="Q1848" t="s">
        <v>31</v>
      </c>
      <c r="R1848" t="s">
        <v>31</v>
      </c>
      <c r="S1848" t="s">
        <v>31</v>
      </c>
      <c r="T1848" t="s">
        <v>5225</v>
      </c>
    </row>
    <row r="1849" spans="1:20" hidden="1" x14ac:dyDescent="0.3">
      <c r="A1849" t="s">
        <v>1270</v>
      </c>
      <c r="B1849" t="s">
        <v>51</v>
      </c>
      <c r="C1849" t="s">
        <v>37</v>
      </c>
      <c r="D1849" t="s">
        <v>56</v>
      </c>
      <c r="E1849">
        <v>2020</v>
      </c>
      <c r="F1849">
        <v>10000</v>
      </c>
      <c r="G1849" t="s">
        <v>31</v>
      </c>
      <c r="H1849" t="s">
        <v>2678</v>
      </c>
      <c r="I1849" t="s">
        <v>53</v>
      </c>
      <c r="J1849" t="s">
        <v>5226</v>
      </c>
      <c r="K1849" t="s">
        <v>5227</v>
      </c>
      <c r="L1849" t="s">
        <v>54</v>
      </c>
      <c r="M1849" t="s">
        <v>27</v>
      </c>
      <c r="N1849" t="s">
        <v>27</v>
      </c>
      <c r="O1849" t="s">
        <v>27</v>
      </c>
      <c r="P1849" t="s">
        <v>31</v>
      </c>
      <c r="Q1849" t="s">
        <v>31</v>
      </c>
      <c r="R1849" t="s">
        <v>31</v>
      </c>
      <c r="S1849" t="s">
        <v>31</v>
      </c>
      <c r="T1849" t="s">
        <v>31</v>
      </c>
    </row>
    <row r="1850" spans="1:20" hidden="1" x14ac:dyDescent="0.3">
      <c r="A1850" t="s">
        <v>1271</v>
      </c>
      <c r="B1850" t="s">
        <v>28</v>
      </c>
      <c r="C1850" t="s">
        <v>29</v>
      </c>
      <c r="D1850" t="s">
        <v>97</v>
      </c>
      <c r="E1850">
        <v>2020</v>
      </c>
      <c r="F1850">
        <v>3500000</v>
      </c>
      <c r="G1850" t="s">
        <v>5228</v>
      </c>
      <c r="H1850" t="s">
        <v>2645</v>
      </c>
      <c r="I1850" t="s">
        <v>34</v>
      </c>
      <c r="J1850" t="s">
        <v>5229</v>
      </c>
      <c r="K1850" t="s">
        <v>31</v>
      </c>
      <c r="L1850" t="s">
        <v>37</v>
      </c>
      <c r="M1850" t="s">
        <v>27</v>
      </c>
      <c r="N1850" t="s">
        <v>27</v>
      </c>
      <c r="O1850" t="s">
        <v>27</v>
      </c>
      <c r="P1850" t="s">
        <v>31</v>
      </c>
      <c r="Q1850">
        <v>160</v>
      </c>
      <c r="R1850" t="s">
        <v>31</v>
      </c>
      <c r="S1850" t="s">
        <v>31</v>
      </c>
      <c r="T1850" t="s">
        <v>31</v>
      </c>
    </row>
    <row r="1851" spans="1:20" hidden="1" x14ac:dyDescent="0.3">
      <c r="A1851" t="s">
        <v>1272</v>
      </c>
      <c r="B1851" t="s">
        <v>51</v>
      </c>
      <c r="C1851" t="s">
        <v>37</v>
      </c>
      <c r="D1851" t="s">
        <v>52</v>
      </c>
      <c r="E1851">
        <v>2020</v>
      </c>
      <c r="F1851" t="s">
        <v>31</v>
      </c>
      <c r="G1851" t="s">
        <v>31</v>
      </c>
      <c r="H1851" t="s">
        <v>2726</v>
      </c>
      <c r="I1851" t="s">
        <v>1273</v>
      </c>
      <c r="J1851" t="s">
        <v>5230</v>
      </c>
      <c r="K1851" t="s">
        <v>2649</v>
      </c>
      <c r="L1851" t="s">
        <v>31</v>
      </c>
      <c r="M1851" t="s">
        <v>27</v>
      </c>
      <c r="N1851" t="s">
        <v>27</v>
      </c>
      <c r="O1851" t="s">
        <v>27</v>
      </c>
      <c r="P1851" t="s">
        <v>31</v>
      </c>
      <c r="Q1851" t="s">
        <v>31</v>
      </c>
      <c r="R1851" t="s">
        <v>31</v>
      </c>
      <c r="S1851" t="s">
        <v>31</v>
      </c>
      <c r="T1851" t="s">
        <v>5231</v>
      </c>
    </row>
    <row r="1852" spans="1:20" hidden="1" x14ac:dyDescent="0.3">
      <c r="A1852" t="s">
        <v>1274</v>
      </c>
      <c r="B1852" t="s">
        <v>91</v>
      </c>
      <c r="C1852" t="s">
        <v>92</v>
      </c>
      <c r="D1852" t="s">
        <v>93</v>
      </c>
      <c r="E1852">
        <v>2020</v>
      </c>
      <c r="F1852">
        <v>150000</v>
      </c>
      <c r="G1852" t="s">
        <v>31</v>
      </c>
      <c r="H1852" t="s">
        <v>2847</v>
      </c>
      <c r="I1852" t="s">
        <v>62</v>
      </c>
      <c r="J1852" t="s">
        <v>5232</v>
      </c>
      <c r="K1852" t="s">
        <v>31</v>
      </c>
      <c r="L1852" t="s">
        <v>54</v>
      </c>
      <c r="M1852" t="s">
        <v>27</v>
      </c>
      <c r="N1852" t="s">
        <v>27</v>
      </c>
      <c r="O1852" t="s">
        <v>27</v>
      </c>
      <c r="P1852" t="s">
        <v>31</v>
      </c>
      <c r="Q1852">
        <v>5.4</v>
      </c>
      <c r="R1852">
        <v>17.937000000000001</v>
      </c>
      <c r="S1852">
        <v>-66.727000000000004</v>
      </c>
      <c r="T1852" t="s">
        <v>31</v>
      </c>
    </row>
    <row r="1853" spans="1:20" hidden="1" x14ac:dyDescent="0.3">
      <c r="A1853" t="s">
        <v>1275</v>
      </c>
      <c r="B1853" t="s">
        <v>51</v>
      </c>
      <c r="C1853" t="s">
        <v>37</v>
      </c>
      <c r="D1853" t="s">
        <v>52</v>
      </c>
      <c r="E1853">
        <v>2020</v>
      </c>
      <c r="F1853" t="s">
        <v>31</v>
      </c>
      <c r="G1853" t="s">
        <v>31</v>
      </c>
      <c r="H1853" t="s">
        <v>2719</v>
      </c>
      <c r="I1853" t="s">
        <v>90</v>
      </c>
      <c r="J1853" t="s">
        <v>5233</v>
      </c>
      <c r="K1853" t="s">
        <v>2649</v>
      </c>
      <c r="L1853" t="s">
        <v>155</v>
      </c>
      <c r="M1853" t="s">
        <v>27</v>
      </c>
      <c r="N1853" t="s">
        <v>27</v>
      </c>
      <c r="O1853" t="s">
        <v>27</v>
      </c>
      <c r="P1853" t="s">
        <v>31</v>
      </c>
      <c r="Q1853" t="s">
        <v>31</v>
      </c>
      <c r="R1853" t="s">
        <v>31</v>
      </c>
      <c r="S1853" t="s">
        <v>31</v>
      </c>
      <c r="T1853" t="s">
        <v>31</v>
      </c>
    </row>
    <row r="1854" spans="1:20" hidden="1" x14ac:dyDescent="0.3">
      <c r="A1854" t="s">
        <v>1276</v>
      </c>
      <c r="B1854" t="s">
        <v>28</v>
      </c>
      <c r="C1854" t="s">
        <v>29</v>
      </c>
      <c r="D1854" t="s">
        <v>189</v>
      </c>
      <c r="E1854">
        <v>2020</v>
      </c>
      <c r="F1854" t="s">
        <v>31</v>
      </c>
      <c r="G1854" t="s">
        <v>5234</v>
      </c>
      <c r="H1854" t="s">
        <v>2716</v>
      </c>
      <c r="I1854" t="s">
        <v>242</v>
      </c>
      <c r="J1854" t="s">
        <v>5235</v>
      </c>
      <c r="K1854" t="s">
        <v>31</v>
      </c>
      <c r="L1854" t="s">
        <v>37</v>
      </c>
      <c r="M1854" t="s">
        <v>27</v>
      </c>
      <c r="N1854" t="s">
        <v>27</v>
      </c>
      <c r="O1854" t="s">
        <v>27</v>
      </c>
      <c r="P1854" t="s">
        <v>31</v>
      </c>
      <c r="Q1854">
        <v>120</v>
      </c>
      <c r="R1854" t="s">
        <v>31</v>
      </c>
      <c r="S1854" t="s">
        <v>31</v>
      </c>
      <c r="T1854" t="s">
        <v>31</v>
      </c>
    </row>
    <row r="1855" spans="1:20" hidden="1" x14ac:dyDescent="0.3">
      <c r="A1855" t="s">
        <v>1277</v>
      </c>
      <c r="B1855" t="s">
        <v>28</v>
      </c>
      <c r="C1855" t="s">
        <v>29</v>
      </c>
      <c r="D1855" t="s">
        <v>30</v>
      </c>
      <c r="E1855">
        <v>2020</v>
      </c>
      <c r="F1855" t="s">
        <v>31</v>
      </c>
      <c r="G1855" t="s">
        <v>31</v>
      </c>
      <c r="H1855" t="s">
        <v>2672</v>
      </c>
      <c r="I1855" t="s">
        <v>73</v>
      </c>
      <c r="J1855" t="s">
        <v>5236</v>
      </c>
      <c r="K1855" t="s">
        <v>31</v>
      </c>
      <c r="L1855" t="s">
        <v>54</v>
      </c>
      <c r="M1855" t="s">
        <v>27</v>
      </c>
      <c r="N1855" t="s">
        <v>27</v>
      </c>
      <c r="O1855" t="s">
        <v>27</v>
      </c>
      <c r="P1855" t="s">
        <v>31</v>
      </c>
      <c r="Q1855">
        <v>75</v>
      </c>
      <c r="R1855" t="s">
        <v>31</v>
      </c>
      <c r="S1855" t="s">
        <v>31</v>
      </c>
      <c r="T1855" t="s">
        <v>31</v>
      </c>
    </row>
    <row r="1856" spans="1:20" hidden="1" x14ac:dyDescent="0.3">
      <c r="A1856" t="s">
        <v>1278</v>
      </c>
      <c r="B1856" t="s">
        <v>28</v>
      </c>
      <c r="C1856" t="s">
        <v>29</v>
      </c>
      <c r="D1856" t="s">
        <v>189</v>
      </c>
      <c r="E1856">
        <v>2020</v>
      </c>
      <c r="F1856">
        <v>100000</v>
      </c>
      <c r="G1856" t="s">
        <v>31</v>
      </c>
      <c r="H1856" t="s">
        <v>2656</v>
      </c>
      <c r="I1856" t="s">
        <v>119</v>
      </c>
      <c r="J1856" t="s">
        <v>5237</v>
      </c>
      <c r="K1856" t="s">
        <v>31</v>
      </c>
      <c r="L1856" t="s">
        <v>82</v>
      </c>
      <c r="M1856" t="s">
        <v>27</v>
      </c>
      <c r="N1856" t="s">
        <v>27</v>
      </c>
      <c r="O1856" t="s">
        <v>33</v>
      </c>
      <c r="P1856" t="s">
        <v>31</v>
      </c>
      <c r="Q1856">
        <v>100</v>
      </c>
      <c r="R1856" t="s">
        <v>31</v>
      </c>
      <c r="S1856" t="s">
        <v>31</v>
      </c>
      <c r="T1856" t="s">
        <v>31</v>
      </c>
    </row>
    <row r="1857" spans="1:20" hidden="1" x14ac:dyDescent="0.3">
      <c r="A1857" t="s">
        <v>1279</v>
      </c>
      <c r="B1857" t="s">
        <v>28</v>
      </c>
      <c r="C1857" t="s">
        <v>29</v>
      </c>
      <c r="D1857" t="s">
        <v>64</v>
      </c>
      <c r="E1857">
        <v>2020</v>
      </c>
      <c r="F1857" t="s">
        <v>31</v>
      </c>
      <c r="G1857" t="s">
        <v>31</v>
      </c>
      <c r="H1857" t="s">
        <v>2730</v>
      </c>
      <c r="I1857" t="s">
        <v>57</v>
      </c>
      <c r="J1857" t="s">
        <v>5238</v>
      </c>
      <c r="K1857" t="s">
        <v>31</v>
      </c>
      <c r="L1857" t="s">
        <v>37</v>
      </c>
      <c r="M1857" t="s">
        <v>27</v>
      </c>
      <c r="N1857" t="s">
        <v>27</v>
      </c>
      <c r="O1857" t="s">
        <v>27</v>
      </c>
      <c r="P1857" t="s">
        <v>31</v>
      </c>
      <c r="Q1857" t="s">
        <v>31</v>
      </c>
      <c r="R1857" t="s">
        <v>31</v>
      </c>
      <c r="S1857" t="s">
        <v>31</v>
      </c>
      <c r="T1857" t="s">
        <v>31</v>
      </c>
    </row>
    <row r="1858" spans="1:20" hidden="1" x14ac:dyDescent="0.3">
      <c r="A1858" t="s">
        <v>1280</v>
      </c>
      <c r="B1858" t="s">
        <v>39</v>
      </c>
      <c r="C1858" t="s">
        <v>40</v>
      </c>
      <c r="D1858" t="s">
        <v>41</v>
      </c>
      <c r="E1858">
        <v>2020</v>
      </c>
      <c r="F1858">
        <v>11000000</v>
      </c>
      <c r="G1858" t="s">
        <v>31</v>
      </c>
      <c r="H1858" t="s">
        <v>2645</v>
      </c>
      <c r="I1858" t="s">
        <v>34</v>
      </c>
      <c r="J1858" t="s">
        <v>5239</v>
      </c>
      <c r="K1858" t="s">
        <v>31</v>
      </c>
      <c r="L1858" t="s">
        <v>31</v>
      </c>
      <c r="M1858" t="s">
        <v>27</v>
      </c>
      <c r="N1858" t="s">
        <v>27</v>
      </c>
      <c r="O1858" t="s">
        <v>27</v>
      </c>
      <c r="P1858" t="s">
        <v>31</v>
      </c>
      <c r="Q1858" t="s">
        <v>31</v>
      </c>
      <c r="R1858" t="s">
        <v>31</v>
      </c>
      <c r="S1858" t="s">
        <v>31</v>
      </c>
      <c r="T1858" t="s">
        <v>31</v>
      </c>
    </row>
    <row r="1859" spans="1:20" hidden="1" x14ac:dyDescent="0.3">
      <c r="A1859" t="s">
        <v>1281</v>
      </c>
      <c r="B1859" t="s">
        <v>51</v>
      </c>
      <c r="C1859" t="s">
        <v>2655</v>
      </c>
      <c r="D1859" t="s">
        <v>150</v>
      </c>
      <c r="E1859">
        <v>2020</v>
      </c>
      <c r="F1859" t="s">
        <v>31</v>
      </c>
      <c r="G1859" t="s">
        <v>5240</v>
      </c>
      <c r="H1859" t="s">
        <v>2680</v>
      </c>
      <c r="I1859" t="s">
        <v>115</v>
      </c>
      <c r="J1859" t="s">
        <v>5241</v>
      </c>
      <c r="K1859" t="s">
        <v>2649</v>
      </c>
      <c r="L1859" t="s">
        <v>31</v>
      </c>
      <c r="M1859" t="s">
        <v>27</v>
      </c>
      <c r="N1859" t="s">
        <v>27</v>
      </c>
      <c r="O1859" t="s">
        <v>27</v>
      </c>
      <c r="P1859" t="s">
        <v>31</v>
      </c>
      <c r="Q1859" t="s">
        <v>31</v>
      </c>
      <c r="R1859" t="s">
        <v>31</v>
      </c>
      <c r="S1859" t="s">
        <v>31</v>
      </c>
      <c r="T1859" t="s">
        <v>31</v>
      </c>
    </row>
    <row r="1860" spans="1:20" hidden="1" x14ac:dyDescent="0.3">
      <c r="A1860" t="s">
        <v>1282</v>
      </c>
      <c r="B1860" t="s">
        <v>51</v>
      </c>
      <c r="C1860" t="s">
        <v>37</v>
      </c>
      <c r="D1860" t="s">
        <v>52</v>
      </c>
      <c r="E1860">
        <v>2020</v>
      </c>
      <c r="F1860">
        <v>30000</v>
      </c>
      <c r="G1860" t="s">
        <v>31</v>
      </c>
      <c r="H1860" t="s">
        <v>2709</v>
      </c>
      <c r="I1860" t="s">
        <v>70</v>
      </c>
      <c r="J1860" t="s">
        <v>5242</v>
      </c>
      <c r="K1860" t="s">
        <v>5243</v>
      </c>
      <c r="L1860" t="s">
        <v>31</v>
      </c>
      <c r="M1860" t="s">
        <v>27</v>
      </c>
      <c r="N1860" t="s">
        <v>27</v>
      </c>
      <c r="O1860" t="s">
        <v>27</v>
      </c>
      <c r="P1860" t="s">
        <v>31</v>
      </c>
      <c r="Q1860" t="s">
        <v>31</v>
      </c>
      <c r="R1860" t="s">
        <v>31</v>
      </c>
      <c r="S1860" t="s">
        <v>31</v>
      </c>
      <c r="T1860" t="s">
        <v>31</v>
      </c>
    </row>
    <row r="1861" spans="1:20" hidden="1" x14ac:dyDescent="0.3">
      <c r="A1861" t="s">
        <v>1283</v>
      </c>
      <c r="B1861" t="s">
        <v>28</v>
      </c>
      <c r="C1861" t="s">
        <v>29</v>
      </c>
      <c r="D1861" t="s">
        <v>30</v>
      </c>
      <c r="E1861">
        <v>2020</v>
      </c>
      <c r="F1861" t="s">
        <v>31</v>
      </c>
      <c r="G1861" t="s">
        <v>5194</v>
      </c>
      <c r="H1861" t="s">
        <v>2695</v>
      </c>
      <c r="I1861" t="s">
        <v>161</v>
      </c>
      <c r="J1861" t="s">
        <v>5244</v>
      </c>
      <c r="K1861" t="s">
        <v>31</v>
      </c>
      <c r="L1861" t="s">
        <v>31</v>
      </c>
      <c r="M1861" t="s">
        <v>27</v>
      </c>
      <c r="N1861" t="s">
        <v>27</v>
      </c>
      <c r="O1861" t="s">
        <v>33</v>
      </c>
      <c r="P1861" t="s">
        <v>31</v>
      </c>
      <c r="Q1861" t="s">
        <v>31</v>
      </c>
      <c r="R1861" t="s">
        <v>31</v>
      </c>
      <c r="S1861" t="s">
        <v>31</v>
      </c>
      <c r="T1861" t="s">
        <v>31</v>
      </c>
    </row>
    <row r="1862" spans="1:20" hidden="1" x14ac:dyDescent="0.3">
      <c r="A1862" t="s">
        <v>1284</v>
      </c>
      <c r="B1862" t="s">
        <v>28</v>
      </c>
      <c r="C1862" t="s">
        <v>29</v>
      </c>
      <c r="D1862" t="s">
        <v>30</v>
      </c>
      <c r="E1862">
        <v>2020</v>
      </c>
      <c r="F1862">
        <v>386000</v>
      </c>
      <c r="G1862" t="s">
        <v>5194</v>
      </c>
      <c r="H1862" t="s">
        <v>2719</v>
      </c>
      <c r="I1862" t="s">
        <v>90</v>
      </c>
      <c r="J1862" t="s">
        <v>5245</v>
      </c>
      <c r="K1862" t="s">
        <v>31</v>
      </c>
      <c r="L1862" t="s">
        <v>82</v>
      </c>
      <c r="M1862" t="s">
        <v>27</v>
      </c>
      <c r="N1862" t="s">
        <v>27</v>
      </c>
      <c r="O1862" t="s">
        <v>33</v>
      </c>
      <c r="P1862" t="s">
        <v>31</v>
      </c>
      <c r="Q1862" t="s">
        <v>31</v>
      </c>
      <c r="R1862" t="s">
        <v>31</v>
      </c>
      <c r="S1862" t="s">
        <v>31</v>
      </c>
      <c r="T1862" t="s">
        <v>31</v>
      </c>
    </row>
    <row r="1863" spans="1:20" hidden="1" x14ac:dyDescent="0.3">
      <c r="A1863" t="s">
        <v>1285</v>
      </c>
      <c r="B1863" t="s">
        <v>28</v>
      </c>
      <c r="C1863" t="s">
        <v>29</v>
      </c>
      <c r="D1863" t="s">
        <v>30</v>
      </c>
      <c r="E1863">
        <v>2020</v>
      </c>
      <c r="F1863" t="s">
        <v>31</v>
      </c>
      <c r="G1863" t="s">
        <v>5194</v>
      </c>
      <c r="H1863" t="s">
        <v>2753</v>
      </c>
      <c r="I1863" t="s">
        <v>49</v>
      </c>
      <c r="J1863" t="s">
        <v>5246</v>
      </c>
      <c r="K1863" t="s">
        <v>31</v>
      </c>
      <c r="L1863" t="s">
        <v>31</v>
      </c>
      <c r="M1863" t="s">
        <v>33</v>
      </c>
      <c r="N1863" t="s">
        <v>33</v>
      </c>
      <c r="O1863" t="s">
        <v>27</v>
      </c>
      <c r="P1863" t="s">
        <v>31</v>
      </c>
      <c r="Q1863" t="s">
        <v>31</v>
      </c>
      <c r="R1863" t="s">
        <v>31</v>
      </c>
      <c r="S1863" t="s">
        <v>31</v>
      </c>
      <c r="T1863" t="s">
        <v>31</v>
      </c>
    </row>
    <row r="1864" spans="1:20" hidden="1" x14ac:dyDescent="0.3">
      <c r="A1864" t="s">
        <v>1286</v>
      </c>
      <c r="B1864" t="s">
        <v>43</v>
      </c>
      <c r="C1864" t="s">
        <v>2665</v>
      </c>
      <c r="D1864" t="s">
        <v>114</v>
      </c>
      <c r="E1864">
        <v>2020</v>
      </c>
      <c r="F1864" t="s">
        <v>31</v>
      </c>
      <c r="G1864" t="s">
        <v>5247</v>
      </c>
      <c r="H1864" t="s">
        <v>2903</v>
      </c>
      <c r="I1864" t="s">
        <v>148</v>
      </c>
      <c r="J1864" t="s">
        <v>5248</v>
      </c>
      <c r="K1864" t="s">
        <v>31</v>
      </c>
      <c r="L1864" t="s">
        <v>31</v>
      </c>
      <c r="M1864" t="s">
        <v>27</v>
      </c>
      <c r="N1864" t="s">
        <v>27</v>
      </c>
      <c r="O1864" t="s">
        <v>27</v>
      </c>
      <c r="P1864" t="s">
        <v>31</v>
      </c>
      <c r="Q1864" t="s">
        <v>31</v>
      </c>
      <c r="R1864" t="s">
        <v>31</v>
      </c>
      <c r="S1864" t="s">
        <v>31</v>
      </c>
      <c r="T1864" t="s">
        <v>31</v>
      </c>
    </row>
    <row r="1865" spans="1:20" hidden="1" x14ac:dyDescent="0.3">
      <c r="A1865" t="s">
        <v>1287</v>
      </c>
      <c r="B1865" t="s">
        <v>28</v>
      </c>
      <c r="C1865" t="s">
        <v>29</v>
      </c>
      <c r="D1865" t="s">
        <v>30</v>
      </c>
      <c r="E1865">
        <v>2020</v>
      </c>
      <c r="F1865" t="s">
        <v>31</v>
      </c>
      <c r="G1865" t="s">
        <v>5199</v>
      </c>
      <c r="H1865" t="s">
        <v>2680</v>
      </c>
      <c r="I1865" t="s">
        <v>115</v>
      </c>
      <c r="J1865" t="s">
        <v>31</v>
      </c>
      <c r="K1865" t="s">
        <v>31</v>
      </c>
      <c r="L1865" t="s">
        <v>31</v>
      </c>
      <c r="M1865" t="s">
        <v>27</v>
      </c>
      <c r="N1865" t="s">
        <v>27</v>
      </c>
      <c r="O1865" t="s">
        <v>27</v>
      </c>
      <c r="P1865" t="s">
        <v>31</v>
      </c>
      <c r="Q1865" t="s">
        <v>31</v>
      </c>
      <c r="R1865" t="s">
        <v>31</v>
      </c>
      <c r="S1865" t="s">
        <v>31</v>
      </c>
      <c r="T1865" t="s">
        <v>31</v>
      </c>
    </row>
    <row r="1866" spans="1:20" hidden="1" x14ac:dyDescent="0.3">
      <c r="A1866" t="s">
        <v>1288</v>
      </c>
      <c r="B1866" t="s">
        <v>51</v>
      </c>
      <c r="C1866" t="s">
        <v>37</v>
      </c>
      <c r="D1866" t="s">
        <v>52</v>
      </c>
      <c r="E1866">
        <v>2020</v>
      </c>
      <c r="F1866" t="s">
        <v>31</v>
      </c>
      <c r="G1866" t="s">
        <v>31</v>
      </c>
      <c r="H1866" t="s">
        <v>2672</v>
      </c>
      <c r="I1866" t="s">
        <v>73</v>
      </c>
      <c r="J1866" t="s">
        <v>5249</v>
      </c>
      <c r="K1866" t="s">
        <v>5250</v>
      </c>
      <c r="L1866" t="s">
        <v>54</v>
      </c>
      <c r="M1866" t="s">
        <v>27</v>
      </c>
      <c r="N1866" t="s">
        <v>27</v>
      </c>
      <c r="O1866" t="s">
        <v>27</v>
      </c>
      <c r="P1866" t="s">
        <v>31</v>
      </c>
      <c r="Q1866" t="s">
        <v>31</v>
      </c>
      <c r="R1866" t="s">
        <v>31</v>
      </c>
      <c r="S1866" t="s">
        <v>31</v>
      </c>
      <c r="T1866" t="s">
        <v>31</v>
      </c>
    </row>
    <row r="1867" spans="1:20" x14ac:dyDescent="0.3">
      <c r="A1867" t="s">
        <v>1881</v>
      </c>
      <c r="B1867" t="s">
        <v>51</v>
      </c>
      <c r="C1867" t="s">
        <v>37</v>
      </c>
      <c r="D1867" t="s">
        <v>52</v>
      </c>
      <c r="E1867">
        <v>2020</v>
      </c>
      <c r="F1867">
        <v>75000</v>
      </c>
      <c r="G1867" t="s">
        <v>31</v>
      </c>
      <c r="H1867" t="s">
        <v>2656</v>
      </c>
      <c r="I1867" t="s">
        <v>119</v>
      </c>
      <c r="J1867" t="s">
        <v>2620</v>
      </c>
      <c r="K1867" t="s">
        <v>2649</v>
      </c>
      <c r="L1867" t="s">
        <v>54</v>
      </c>
      <c r="M1867" t="s">
        <v>27</v>
      </c>
      <c r="N1867" t="s">
        <v>27</v>
      </c>
      <c r="O1867" t="s">
        <v>27</v>
      </c>
      <c r="P1867" t="s">
        <v>31</v>
      </c>
      <c r="Q1867" t="s">
        <v>31</v>
      </c>
      <c r="R1867" t="s">
        <v>31</v>
      </c>
      <c r="S1867" t="s">
        <v>31</v>
      </c>
      <c r="T1867" t="s">
        <v>31</v>
      </c>
    </row>
    <row r="1868" spans="1:20" hidden="1" x14ac:dyDescent="0.3">
      <c r="A1868" t="s">
        <v>1883</v>
      </c>
      <c r="B1868" t="s">
        <v>51</v>
      </c>
      <c r="C1868" t="s">
        <v>2655</v>
      </c>
      <c r="D1868" t="s">
        <v>134</v>
      </c>
      <c r="E1868">
        <v>2020</v>
      </c>
      <c r="F1868" t="s">
        <v>31</v>
      </c>
      <c r="G1868" t="s">
        <v>5251</v>
      </c>
      <c r="H1868" t="s">
        <v>2647</v>
      </c>
      <c r="I1868" t="s">
        <v>47</v>
      </c>
      <c r="J1868" t="s">
        <v>5252</v>
      </c>
      <c r="K1868" t="s">
        <v>31</v>
      </c>
      <c r="L1868" t="s">
        <v>37</v>
      </c>
      <c r="M1868" t="s">
        <v>27</v>
      </c>
      <c r="N1868" t="s">
        <v>27</v>
      </c>
      <c r="O1868" t="s">
        <v>27</v>
      </c>
      <c r="P1868" t="s">
        <v>31</v>
      </c>
      <c r="Q1868" t="s">
        <v>31</v>
      </c>
      <c r="R1868" t="s">
        <v>31</v>
      </c>
      <c r="S1868" t="s">
        <v>31</v>
      </c>
      <c r="T1868" t="s">
        <v>31</v>
      </c>
    </row>
    <row r="1869" spans="1:20" x14ac:dyDescent="0.3">
      <c r="A1869" t="s">
        <v>1884</v>
      </c>
      <c r="B1869" t="s">
        <v>51</v>
      </c>
      <c r="C1869" t="s">
        <v>37</v>
      </c>
      <c r="D1869" t="s">
        <v>52</v>
      </c>
      <c r="E1869">
        <v>2020</v>
      </c>
      <c r="F1869">
        <v>300000</v>
      </c>
      <c r="G1869" t="s">
        <v>31</v>
      </c>
      <c r="H1869" t="s">
        <v>2656</v>
      </c>
      <c r="I1869" t="s">
        <v>119</v>
      </c>
      <c r="J1869" t="s">
        <v>2621</v>
      </c>
      <c r="K1869" t="s">
        <v>2649</v>
      </c>
      <c r="L1869" t="s">
        <v>155</v>
      </c>
      <c r="M1869" t="s">
        <v>27</v>
      </c>
      <c r="N1869" t="s">
        <v>27</v>
      </c>
      <c r="O1869" t="s">
        <v>33</v>
      </c>
      <c r="P1869" t="s">
        <v>31</v>
      </c>
      <c r="Q1869">
        <v>115219.89</v>
      </c>
      <c r="R1869">
        <v>-19.398</v>
      </c>
      <c r="S1869">
        <v>-45.901000000000003</v>
      </c>
      <c r="T1869" t="s">
        <v>31</v>
      </c>
    </row>
    <row r="1870" spans="1:20" x14ac:dyDescent="0.3">
      <c r="A1870" t="s">
        <v>1885</v>
      </c>
      <c r="B1870" t="s">
        <v>51</v>
      </c>
      <c r="C1870" t="s">
        <v>37</v>
      </c>
      <c r="D1870" t="s">
        <v>52</v>
      </c>
      <c r="E1870">
        <v>2020</v>
      </c>
      <c r="F1870">
        <v>50000</v>
      </c>
      <c r="G1870" t="s">
        <v>31</v>
      </c>
      <c r="H1870" t="s">
        <v>2656</v>
      </c>
      <c r="I1870" t="s">
        <v>119</v>
      </c>
      <c r="J1870" t="s">
        <v>2622</v>
      </c>
      <c r="K1870" t="s">
        <v>2649</v>
      </c>
      <c r="L1870" t="s">
        <v>54</v>
      </c>
      <c r="M1870" t="s">
        <v>27</v>
      </c>
      <c r="N1870" t="s">
        <v>27</v>
      </c>
      <c r="O1870" t="s">
        <v>33</v>
      </c>
      <c r="P1870" t="s">
        <v>31</v>
      </c>
      <c r="Q1870" t="s">
        <v>31</v>
      </c>
      <c r="R1870" t="s">
        <v>31</v>
      </c>
      <c r="S1870" t="s">
        <v>31</v>
      </c>
      <c r="T1870" t="s">
        <v>31</v>
      </c>
    </row>
    <row r="1871" spans="1:20" hidden="1" x14ac:dyDescent="0.3">
      <c r="A1871" t="s">
        <v>1886</v>
      </c>
      <c r="B1871" t="s">
        <v>51</v>
      </c>
      <c r="C1871" t="s">
        <v>37</v>
      </c>
      <c r="D1871" t="s">
        <v>56</v>
      </c>
      <c r="E1871">
        <v>2020</v>
      </c>
      <c r="F1871" t="s">
        <v>31</v>
      </c>
      <c r="G1871" t="s">
        <v>31</v>
      </c>
      <c r="H1871" t="s">
        <v>2647</v>
      </c>
      <c r="I1871" t="s">
        <v>47</v>
      </c>
      <c r="J1871" t="s">
        <v>5253</v>
      </c>
      <c r="K1871" t="s">
        <v>31</v>
      </c>
      <c r="L1871" t="s">
        <v>54</v>
      </c>
      <c r="M1871" t="s">
        <v>27</v>
      </c>
      <c r="N1871" t="s">
        <v>27</v>
      </c>
      <c r="O1871" t="s">
        <v>27</v>
      </c>
      <c r="P1871" t="s">
        <v>31</v>
      </c>
      <c r="Q1871" t="s">
        <v>31</v>
      </c>
      <c r="R1871" t="s">
        <v>31</v>
      </c>
      <c r="S1871" t="s">
        <v>31</v>
      </c>
      <c r="T1871" t="s">
        <v>31</v>
      </c>
    </row>
    <row r="1872" spans="1:20" hidden="1" x14ac:dyDescent="0.3">
      <c r="A1872" t="s">
        <v>1887</v>
      </c>
      <c r="B1872" t="s">
        <v>51</v>
      </c>
      <c r="C1872" t="s">
        <v>37</v>
      </c>
      <c r="D1872" t="s">
        <v>52</v>
      </c>
      <c r="E1872">
        <v>2020</v>
      </c>
      <c r="F1872" t="s">
        <v>31</v>
      </c>
      <c r="G1872" t="s">
        <v>31</v>
      </c>
      <c r="H1872" t="s">
        <v>2666</v>
      </c>
      <c r="I1872" t="s">
        <v>109</v>
      </c>
      <c r="J1872" t="s">
        <v>5254</v>
      </c>
      <c r="K1872" t="s">
        <v>2649</v>
      </c>
      <c r="L1872" t="s">
        <v>31</v>
      </c>
      <c r="M1872" t="s">
        <v>27</v>
      </c>
      <c r="N1872" t="s">
        <v>27</v>
      </c>
      <c r="O1872" t="s">
        <v>27</v>
      </c>
      <c r="P1872" t="s">
        <v>31</v>
      </c>
      <c r="Q1872" t="s">
        <v>31</v>
      </c>
      <c r="R1872" t="s">
        <v>31</v>
      </c>
      <c r="S1872" t="s">
        <v>31</v>
      </c>
      <c r="T1872" t="s">
        <v>31</v>
      </c>
    </row>
    <row r="1873" spans="1:20" hidden="1" x14ac:dyDescent="0.3">
      <c r="A1873" t="s">
        <v>1888</v>
      </c>
      <c r="B1873" t="s">
        <v>51</v>
      </c>
      <c r="C1873" t="s">
        <v>37</v>
      </c>
      <c r="D1873" t="s">
        <v>52</v>
      </c>
      <c r="E1873">
        <v>2020</v>
      </c>
      <c r="F1873" t="s">
        <v>31</v>
      </c>
      <c r="G1873" t="s">
        <v>31</v>
      </c>
      <c r="H1873" t="s">
        <v>2753</v>
      </c>
      <c r="I1873" t="s">
        <v>49</v>
      </c>
      <c r="J1873" t="s">
        <v>5255</v>
      </c>
      <c r="K1873" t="s">
        <v>3063</v>
      </c>
      <c r="L1873" t="s">
        <v>29</v>
      </c>
      <c r="M1873" t="s">
        <v>27</v>
      </c>
      <c r="N1873" t="s">
        <v>27</v>
      </c>
      <c r="O1873" t="s">
        <v>27</v>
      </c>
      <c r="P1873" t="s">
        <v>31</v>
      </c>
      <c r="Q1873" t="s">
        <v>31</v>
      </c>
      <c r="R1873" t="s">
        <v>31</v>
      </c>
      <c r="S1873" t="s">
        <v>31</v>
      </c>
      <c r="T1873" t="s">
        <v>5256</v>
      </c>
    </row>
    <row r="1874" spans="1:20" hidden="1" x14ac:dyDescent="0.3">
      <c r="A1874" t="s">
        <v>1889</v>
      </c>
      <c r="B1874" t="s">
        <v>51</v>
      </c>
      <c r="C1874" t="s">
        <v>37</v>
      </c>
      <c r="D1874" t="s">
        <v>52</v>
      </c>
      <c r="E1874">
        <v>2020</v>
      </c>
      <c r="F1874">
        <v>10000</v>
      </c>
      <c r="G1874" t="s">
        <v>5257</v>
      </c>
      <c r="H1874" t="s">
        <v>2669</v>
      </c>
      <c r="I1874" t="s">
        <v>111</v>
      </c>
      <c r="J1874" t="s">
        <v>5258</v>
      </c>
      <c r="K1874" t="s">
        <v>5259</v>
      </c>
      <c r="L1874" t="s">
        <v>54</v>
      </c>
      <c r="M1874" t="s">
        <v>27</v>
      </c>
      <c r="N1874" t="s">
        <v>27</v>
      </c>
      <c r="O1874" t="s">
        <v>33</v>
      </c>
      <c r="P1874" t="s">
        <v>31</v>
      </c>
      <c r="Q1874" t="s">
        <v>31</v>
      </c>
      <c r="R1874" t="s">
        <v>31</v>
      </c>
      <c r="S1874" t="s">
        <v>31</v>
      </c>
      <c r="T1874" t="s">
        <v>31</v>
      </c>
    </row>
    <row r="1875" spans="1:20" hidden="1" x14ac:dyDescent="0.3">
      <c r="A1875" t="s">
        <v>1890</v>
      </c>
      <c r="B1875" t="s">
        <v>28</v>
      </c>
      <c r="C1875" t="s">
        <v>29</v>
      </c>
      <c r="D1875" t="s">
        <v>97</v>
      </c>
      <c r="E1875">
        <v>2020</v>
      </c>
      <c r="F1875">
        <v>1400000</v>
      </c>
      <c r="G1875" t="s">
        <v>31</v>
      </c>
      <c r="H1875" t="s">
        <v>2645</v>
      </c>
      <c r="I1875" t="s">
        <v>34</v>
      </c>
      <c r="J1875" t="s">
        <v>5260</v>
      </c>
      <c r="K1875" t="s">
        <v>31</v>
      </c>
      <c r="L1875" t="s">
        <v>37</v>
      </c>
      <c r="M1875" t="s">
        <v>27</v>
      </c>
      <c r="N1875" t="s">
        <v>27</v>
      </c>
      <c r="O1875" t="s">
        <v>27</v>
      </c>
      <c r="P1875" t="s">
        <v>31</v>
      </c>
      <c r="Q1875" t="s">
        <v>31</v>
      </c>
      <c r="R1875" t="s">
        <v>31</v>
      </c>
      <c r="S1875" t="s">
        <v>31</v>
      </c>
      <c r="T1875" t="s">
        <v>31</v>
      </c>
    </row>
    <row r="1876" spans="1:20" hidden="1" x14ac:dyDescent="0.3">
      <c r="A1876" t="s">
        <v>1891</v>
      </c>
      <c r="B1876" t="s">
        <v>51</v>
      </c>
      <c r="C1876" t="s">
        <v>37</v>
      </c>
      <c r="D1876" t="s">
        <v>121</v>
      </c>
      <c r="E1876">
        <v>2020</v>
      </c>
      <c r="F1876">
        <v>1300000</v>
      </c>
      <c r="G1876" t="s">
        <v>31</v>
      </c>
      <c r="H1876" t="s">
        <v>2739</v>
      </c>
      <c r="I1876" t="s">
        <v>77</v>
      </c>
      <c r="J1876" t="s">
        <v>5261</v>
      </c>
      <c r="K1876" t="s">
        <v>5262</v>
      </c>
      <c r="L1876" t="s">
        <v>31</v>
      </c>
      <c r="M1876" t="s">
        <v>27</v>
      </c>
      <c r="N1876" t="s">
        <v>27</v>
      </c>
      <c r="O1876" t="s">
        <v>27</v>
      </c>
      <c r="P1876" t="s">
        <v>31</v>
      </c>
      <c r="Q1876" t="s">
        <v>31</v>
      </c>
      <c r="R1876" t="s">
        <v>31</v>
      </c>
      <c r="S1876" t="s">
        <v>31</v>
      </c>
      <c r="T1876" t="s">
        <v>5263</v>
      </c>
    </row>
    <row r="1877" spans="1:20" hidden="1" x14ac:dyDescent="0.3">
      <c r="A1877" t="s">
        <v>1892</v>
      </c>
      <c r="B1877" t="s">
        <v>51</v>
      </c>
      <c r="C1877" t="s">
        <v>37</v>
      </c>
      <c r="D1877" t="s">
        <v>52</v>
      </c>
      <c r="E1877">
        <v>2020</v>
      </c>
      <c r="F1877">
        <v>2100000</v>
      </c>
      <c r="G1877" t="s">
        <v>31</v>
      </c>
      <c r="H1877" t="s">
        <v>2645</v>
      </c>
      <c r="I1877" t="s">
        <v>34</v>
      </c>
      <c r="J1877" t="s">
        <v>5264</v>
      </c>
      <c r="K1877" t="s">
        <v>2649</v>
      </c>
      <c r="L1877" t="s">
        <v>402</v>
      </c>
      <c r="M1877" t="s">
        <v>27</v>
      </c>
      <c r="N1877" t="s">
        <v>27</v>
      </c>
      <c r="O1877" t="s">
        <v>33</v>
      </c>
      <c r="P1877" t="s">
        <v>31</v>
      </c>
      <c r="Q1877" t="s">
        <v>31</v>
      </c>
      <c r="R1877" t="s">
        <v>31</v>
      </c>
      <c r="S1877" t="s">
        <v>31</v>
      </c>
      <c r="T1877" t="s">
        <v>31</v>
      </c>
    </row>
    <row r="1878" spans="1:20" hidden="1" x14ac:dyDescent="0.3">
      <c r="A1878" t="s">
        <v>1893</v>
      </c>
      <c r="B1878" t="s">
        <v>28</v>
      </c>
      <c r="C1878" t="s">
        <v>29</v>
      </c>
      <c r="D1878" t="s">
        <v>30</v>
      </c>
      <c r="E1878">
        <v>2020</v>
      </c>
      <c r="F1878" t="s">
        <v>31</v>
      </c>
      <c r="G1878" t="s">
        <v>5212</v>
      </c>
      <c r="H1878" t="s">
        <v>2719</v>
      </c>
      <c r="I1878" t="s">
        <v>90</v>
      </c>
      <c r="J1878" t="s">
        <v>5265</v>
      </c>
      <c r="K1878" t="s">
        <v>31</v>
      </c>
      <c r="L1878" t="s">
        <v>54</v>
      </c>
      <c r="M1878" t="s">
        <v>27</v>
      </c>
      <c r="N1878" t="s">
        <v>27</v>
      </c>
      <c r="O1878" t="s">
        <v>27</v>
      </c>
      <c r="P1878" t="s">
        <v>31</v>
      </c>
      <c r="Q1878" t="s">
        <v>31</v>
      </c>
      <c r="R1878" t="s">
        <v>31</v>
      </c>
      <c r="S1878" t="s">
        <v>31</v>
      </c>
      <c r="T1878" t="s">
        <v>31</v>
      </c>
    </row>
    <row r="1879" spans="1:20" hidden="1" x14ac:dyDescent="0.3">
      <c r="A1879" t="s">
        <v>1894</v>
      </c>
      <c r="B1879" t="s">
        <v>28</v>
      </c>
      <c r="C1879" t="s">
        <v>29</v>
      </c>
      <c r="D1879" t="s">
        <v>30</v>
      </c>
      <c r="E1879">
        <v>2020</v>
      </c>
      <c r="F1879">
        <v>220000</v>
      </c>
      <c r="G1879" t="s">
        <v>5212</v>
      </c>
      <c r="H1879" t="s">
        <v>2680</v>
      </c>
      <c r="I1879" t="s">
        <v>115</v>
      </c>
      <c r="J1879" t="s">
        <v>5266</v>
      </c>
      <c r="K1879" t="s">
        <v>31</v>
      </c>
      <c r="L1879" t="s">
        <v>82</v>
      </c>
      <c r="M1879" t="s">
        <v>27</v>
      </c>
      <c r="N1879" t="s">
        <v>33</v>
      </c>
      <c r="O1879" t="s">
        <v>33</v>
      </c>
      <c r="P1879" t="s">
        <v>31</v>
      </c>
      <c r="Q1879" t="s">
        <v>31</v>
      </c>
      <c r="R1879" t="s">
        <v>31</v>
      </c>
      <c r="S1879" t="s">
        <v>31</v>
      </c>
      <c r="T1879" t="s">
        <v>31</v>
      </c>
    </row>
    <row r="1880" spans="1:20" hidden="1" x14ac:dyDescent="0.3">
      <c r="A1880" t="s">
        <v>1895</v>
      </c>
      <c r="B1880" t="s">
        <v>28</v>
      </c>
      <c r="C1880" t="s">
        <v>29</v>
      </c>
      <c r="D1880" t="s">
        <v>30</v>
      </c>
      <c r="E1880">
        <v>2020</v>
      </c>
      <c r="F1880">
        <v>165000</v>
      </c>
      <c r="G1880" t="s">
        <v>5190</v>
      </c>
      <c r="H1880" t="s">
        <v>2888</v>
      </c>
      <c r="I1880" t="s">
        <v>75</v>
      </c>
      <c r="J1880" t="s">
        <v>5267</v>
      </c>
      <c r="K1880" t="s">
        <v>31</v>
      </c>
      <c r="L1880" t="s">
        <v>31</v>
      </c>
      <c r="M1880" t="s">
        <v>27</v>
      </c>
      <c r="N1880" t="s">
        <v>27</v>
      </c>
      <c r="O1880" t="s">
        <v>27</v>
      </c>
      <c r="P1880" t="s">
        <v>31</v>
      </c>
      <c r="Q1880" t="s">
        <v>31</v>
      </c>
      <c r="R1880" t="s">
        <v>31</v>
      </c>
      <c r="S1880" t="s">
        <v>31</v>
      </c>
      <c r="T1880" t="s">
        <v>31</v>
      </c>
    </row>
    <row r="1881" spans="1:20" hidden="1" x14ac:dyDescent="0.3">
      <c r="A1881" t="s">
        <v>1896</v>
      </c>
      <c r="B1881" t="s">
        <v>28</v>
      </c>
      <c r="C1881" t="s">
        <v>29</v>
      </c>
      <c r="D1881" t="s">
        <v>30</v>
      </c>
      <c r="E1881">
        <v>2020</v>
      </c>
      <c r="F1881">
        <v>135000</v>
      </c>
      <c r="G1881" t="s">
        <v>31</v>
      </c>
      <c r="H1881" t="s">
        <v>2672</v>
      </c>
      <c r="I1881" t="s">
        <v>73</v>
      </c>
      <c r="J1881" t="s">
        <v>5268</v>
      </c>
      <c r="K1881" t="s">
        <v>31</v>
      </c>
      <c r="L1881" t="s">
        <v>37</v>
      </c>
      <c r="M1881" t="s">
        <v>27</v>
      </c>
      <c r="N1881" t="s">
        <v>27</v>
      </c>
      <c r="O1881" t="s">
        <v>27</v>
      </c>
      <c r="P1881" t="s">
        <v>31</v>
      </c>
      <c r="Q1881" t="s">
        <v>31</v>
      </c>
      <c r="R1881" t="s">
        <v>31</v>
      </c>
      <c r="S1881" t="s">
        <v>31</v>
      </c>
      <c r="T1881" t="s">
        <v>31</v>
      </c>
    </row>
    <row r="1882" spans="1:20" hidden="1" x14ac:dyDescent="0.3">
      <c r="A1882" t="s">
        <v>1897</v>
      </c>
      <c r="B1882" t="s">
        <v>28</v>
      </c>
      <c r="C1882" t="s">
        <v>29</v>
      </c>
      <c r="D1882" t="s">
        <v>30</v>
      </c>
      <c r="E1882">
        <v>2020</v>
      </c>
      <c r="F1882">
        <v>1100000</v>
      </c>
      <c r="G1882" t="s">
        <v>31</v>
      </c>
      <c r="H1882" t="s">
        <v>2645</v>
      </c>
      <c r="I1882" t="s">
        <v>34</v>
      </c>
      <c r="J1882" t="s">
        <v>3470</v>
      </c>
      <c r="K1882" t="s">
        <v>31</v>
      </c>
      <c r="L1882" t="s">
        <v>37</v>
      </c>
      <c r="M1882" t="s">
        <v>27</v>
      </c>
      <c r="N1882" t="s">
        <v>27</v>
      </c>
      <c r="O1882" t="s">
        <v>27</v>
      </c>
      <c r="P1882" t="s">
        <v>31</v>
      </c>
      <c r="Q1882">
        <v>150</v>
      </c>
      <c r="R1882" t="s">
        <v>31</v>
      </c>
      <c r="S1882" t="s">
        <v>31</v>
      </c>
      <c r="T1882" t="s">
        <v>31</v>
      </c>
    </row>
    <row r="1883" spans="1:20" hidden="1" x14ac:dyDescent="0.3">
      <c r="A1883" t="s">
        <v>1898</v>
      </c>
      <c r="B1883" t="s">
        <v>28</v>
      </c>
      <c r="C1883" t="s">
        <v>29</v>
      </c>
      <c r="D1883" t="s">
        <v>30</v>
      </c>
      <c r="E1883">
        <v>2020</v>
      </c>
      <c r="F1883">
        <v>13000000</v>
      </c>
      <c r="G1883" t="s">
        <v>5193</v>
      </c>
      <c r="H1883" t="s">
        <v>2645</v>
      </c>
      <c r="I1883" t="s">
        <v>34</v>
      </c>
      <c r="J1883" t="s">
        <v>5269</v>
      </c>
      <c r="K1883" t="s">
        <v>31</v>
      </c>
      <c r="L1883" t="s">
        <v>1357</v>
      </c>
      <c r="M1883" t="s">
        <v>27</v>
      </c>
      <c r="N1883" t="s">
        <v>27</v>
      </c>
      <c r="O1883" t="s">
        <v>27</v>
      </c>
      <c r="P1883" t="s">
        <v>31</v>
      </c>
      <c r="Q1883">
        <v>240</v>
      </c>
      <c r="R1883" t="s">
        <v>31</v>
      </c>
      <c r="S1883" t="s">
        <v>31</v>
      </c>
      <c r="T1883" t="s">
        <v>31</v>
      </c>
    </row>
    <row r="1884" spans="1:20" hidden="1" x14ac:dyDescent="0.3">
      <c r="A1884" t="s">
        <v>1899</v>
      </c>
      <c r="B1884" t="s">
        <v>28</v>
      </c>
      <c r="C1884" t="s">
        <v>29</v>
      </c>
      <c r="D1884" t="s">
        <v>30</v>
      </c>
      <c r="E1884">
        <v>2020</v>
      </c>
      <c r="F1884">
        <v>2900000</v>
      </c>
      <c r="G1884" t="s">
        <v>5270</v>
      </c>
      <c r="H1884" t="s">
        <v>2645</v>
      </c>
      <c r="I1884" t="s">
        <v>34</v>
      </c>
      <c r="J1884" t="s">
        <v>5271</v>
      </c>
      <c r="K1884" t="s">
        <v>31</v>
      </c>
      <c r="L1884" t="s">
        <v>37</v>
      </c>
      <c r="M1884" t="s">
        <v>27</v>
      </c>
      <c r="N1884" t="s">
        <v>27</v>
      </c>
      <c r="O1884" t="s">
        <v>27</v>
      </c>
      <c r="P1884" t="s">
        <v>31</v>
      </c>
      <c r="Q1884">
        <v>195</v>
      </c>
      <c r="R1884" t="s">
        <v>31</v>
      </c>
      <c r="S1884" t="s">
        <v>31</v>
      </c>
      <c r="T1884" t="s">
        <v>31</v>
      </c>
    </row>
    <row r="1885" spans="1:20" hidden="1" x14ac:dyDescent="0.3">
      <c r="A1885" t="s">
        <v>1900</v>
      </c>
      <c r="B1885" t="s">
        <v>28</v>
      </c>
      <c r="C1885" t="s">
        <v>29</v>
      </c>
      <c r="D1885" t="s">
        <v>30</v>
      </c>
      <c r="E1885">
        <v>2020</v>
      </c>
      <c r="F1885">
        <v>6300000</v>
      </c>
      <c r="G1885" t="s">
        <v>31</v>
      </c>
      <c r="H1885" t="s">
        <v>2645</v>
      </c>
      <c r="I1885" t="s">
        <v>34</v>
      </c>
      <c r="J1885" t="s">
        <v>5272</v>
      </c>
      <c r="K1885" t="s">
        <v>31</v>
      </c>
      <c r="L1885" t="s">
        <v>37</v>
      </c>
      <c r="M1885" t="s">
        <v>27</v>
      </c>
      <c r="N1885" t="s">
        <v>27</v>
      </c>
      <c r="O1885" t="s">
        <v>33</v>
      </c>
      <c r="P1885" t="s">
        <v>31</v>
      </c>
      <c r="Q1885">
        <v>165</v>
      </c>
      <c r="R1885" t="s">
        <v>31</v>
      </c>
      <c r="S1885" t="s">
        <v>31</v>
      </c>
      <c r="T1885" t="s">
        <v>31</v>
      </c>
    </row>
    <row r="1886" spans="1:20" hidden="1" x14ac:dyDescent="0.3">
      <c r="A1886" t="s">
        <v>1901</v>
      </c>
      <c r="B1886" t="s">
        <v>28</v>
      </c>
      <c r="C1886" t="s">
        <v>29</v>
      </c>
      <c r="D1886" t="s">
        <v>30</v>
      </c>
      <c r="E1886">
        <v>2020</v>
      </c>
      <c r="F1886">
        <v>25000</v>
      </c>
      <c r="G1886" t="s">
        <v>5194</v>
      </c>
      <c r="H1886" t="s">
        <v>2647</v>
      </c>
      <c r="I1886" t="s">
        <v>47</v>
      </c>
      <c r="J1886" t="s">
        <v>5273</v>
      </c>
      <c r="K1886" t="s">
        <v>31</v>
      </c>
      <c r="L1886" t="s">
        <v>31</v>
      </c>
      <c r="M1886" t="s">
        <v>27</v>
      </c>
      <c r="N1886" t="s">
        <v>27</v>
      </c>
      <c r="O1886" t="s">
        <v>27</v>
      </c>
      <c r="P1886" t="s">
        <v>31</v>
      </c>
      <c r="Q1886" t="s">
        <v>31</v>
      </c>
      <c r="R1886" t="s">
        <v>31</v>
      </c>
      <c r="S1886" t="s">
        <v>31</v>
      </c>
      <c r="T1886" t="s">
        <v>31</v>
      </c>
    </row>
    <row r="1887" spans="1:20" hidden="1" x14ac:dyDescent="0.3">
      <c r="A1887" t="s">
        <v>1902</v>
      </c>
      <c r="B1887" t="s">
        <v>28</v>
      </c>
      <c r="C1887" t="s">
        <v>29</v>
      </c>
      <c r="D1887" t="s">
        <v>30</v>
      </c>
      <c r="E1887">
        <v>2020</v>
      </c>
      <c r="F1887">
        <v>11000</v>
      </c>
      <c r="G1887" t="s">
        <v>5194</v>
      </c>
      <c r="H1887" t="s">
        <v>2774</v>
      </c>
      <c r="I1887" t="s">
        <v>166</v>
      </c>
      <c r="J1887" t="s">
        <v>5274</v>
      </c>
      <c r="K1887" t="s">
        <v>31</v>
      </c>
      <c r="L1887" t="s">
        <v>31</v>
      </c>
      <c r="M1887" t="s">
        <v>27</v>
      </c>
      <c r="N1887" t="s">
        <v>27</v>
      </c>
      <c r="O1887" t="s">
        <v>27</v>
      </c>
      <c r="P1887" t="s">
        <v>31</v>
      </c>
      <c r="Q1887" t="s">
        <v>31</v>
      </c>
      <c r="R1887" t="s">
        <v>31</v>
      </c>
      <c r="S1887" t="s">
        <v>31</v>
      </c>
      <c r="T1887" t="s">
        <v>31</v>
      </c>
    </row>
    <row r="1888" spans="1:20" hidden="1" x14ac:dyDescent="0.3">
      <c r="A1888" t="s">
        <v>1903</v>
      </c>
      <c r="B1888" t="s">
        <v>51</v>
      </c>
      <c r="C1888" t="s">
        <v>37</v>
      </c>
      <c r="D1888" t="s">
        <v>52</v>
      </c>
      <c r="E1888">
        <v>2020</v>
      </c>
      <c r="F1888">
        <v>25000</v>
      </c>
      <c r="G1888" t="s">
        <v>31</v>
      </c>
      <c r="H1888" t="s">
        <v>2647</v>
      </c>
      <c r="I1888" t="s">
        <v>47</v>
      </c>
      <c r="J1888" t="s">
        <v>5275</v>
      </c>
      <c r="K1888" t="s">
        <v>2649</v>
      </c>
      <c r="L1888" t="s">
        <v>54</v>
      </c>
      <c r="M1888" t="s">
        <v>27</v>
      </c>
      <c r="N1888" t="s">
        <v>27</v>
      </c>
      <c r="O1888" t="s">
        <v>27</v>
      </c>
      <c r="P1888" t="s">
        <v>31</v>
      </c>
      <c r="Q1888" t="s">
        <v>31</v>
      </c>
      <c r="R1888" t="s">
        <v>31</v>
      </c>
      <c r="S1888" t="s">
        <v>31</v>
      </c>
      <c r="T1888" t="s">
        <v>31</v>
      </c>
    </row>
    <row r="1889" spans="1:20" hidden="1" x14ac:dyDescent="0.3">
      <c r="A1889" t="s">
        <v>1904</v>
      </c>
      <c r="B1889" t="s">
        <v>91</v>
      </c>
      <c r="C1889" t="s">
        <v>2712</v>
      </c>
      <c r="D1889" t="s">
        <v>105</v>
      </c>
      <c r="E1889">
        <v>2020</v>
      </c>
      <c r="F1889" t="s">
        <v>31</v>
      </c>
      <c r="G1889" t="s">
        <v>5276</v>
      </c>
      <c r="H1889" t="s">
        <v>2666</v>
      </c>
      <c r="I1889" t="s">
        <v>109</v>
      </c>
      <c r="J1889" t="s">
        <v>5277</v>
      </c>
      <c r="K1889" t="s">
        <v>31</v>
      </c>
      <c r="L1889" t="s">
        <v>31</v>
      </c>
      <c r="M1889" t="s">
        <v>27</v>
      </c>
      <c r="N1889" t="s">
        <v>27</v>
      </c>
      <c r="O1889" t="s">
        <v>27</v>
      </c>
      <c r="P1889" t="s">
        <v>31</v>
      </c>
      <c r="Q1889" t="s">
        <v>31</v>
      </c>
      <c r="R1889" t="s">
        <v>31</v>
      </c>
      <c r="S1889" t="s">
        <v>31</v>
      </c>
      <c r="T1889" t="s">
        <v>31</v>
      </c>
    </row>
    <row r="1890" spans="1:20" hidden="1" x14ac:dyDescent="0.3">
      <c r="A1890" t="s">
        <v>1905</v>
      </c>
      <c r="B1890" t="s">
        <v>28</v>
      </c>
      <c r="C1890" t="s">
        <v>29</v>
      </c>
      <c r="D1890" t="s">
        <v>30</v>
      </c>
      <c r="E1890">
        <v>2020</v>
      </c>
      <c r="F1890">
        <v>100000</v>
      </c>
      <c r="G1890" t="s">
        <v>31</v>
      </c>
      <c r="H1890" t="s">
        <v>2672</v>
      </c>
      <c r="I1890" t="s">
        <v>73</v>
      </c>
      <c r="J1890" t="s">
        <v>5278</v>
      </c>
      <c r="K1890" t="s">
        <v>31</v>
      </c>
      <c r="L1890" t="s">
        <v>31</v>
      </c>
      <c r="M1890" t="s">
        <v>27</v>
      </c>
      <c r="N1890" t="s">
        <v>27</v>
      </c>
      <c r="O1890" t="s">
        <v>27</v>
      </c>
      <c r="P1890" t="s">
        <v>31</v>
      </c>
      <c r="Q1890">
        <v>110</v>
      </c>
      <c r="R1890" t="s">
        <v>31</v>
      </c>
      <c r="S1890" t="s">
        <v>31</v>
      </c>
      <c r="T1890" t="s">
        <v>31</v>
      </c>
    </row>
    <row r="1891" spans="1:20" hidden="1" x14ac:dyDescent="0.3">
      <c r="A1891" t="s">
        <v>1906</v>
      </c>
      <c r="B1891" t="s">
        <v>28</v>
      </c>
      <c r="C1891" t="s">
        <v>29</v>
      </c>
      <c r="D1891" t="s">
        <v>30</v>
      </c>
      <c r="E1891">
        <v>2020</v>
      </c>
      <c r="F1891">
        <v>741000</v>
      </c>
      <c r="G1891" t="s">
        <v>5199</v>
      </c>
      <c r="H1891" t="s">
        <v>2675</v>
      </c>
      <c r="I1891" t="s">
        <v>81</v>
      </c>
      <c r="J1891" t="s">
        <v>5279</v>
      </c>
      <c r="K1891" t="s">
        <v>31</v>
      </c>
      <c r="L1891" t="s">
        <v>31</v>
      </c>
      <c r="M1891" t="s">
        <v>33</v>
      </c>
      <c r="N1891" t="s">
        <v>27</v>
      </c>
      <c r="O1891" t="s">
        <v>27</v>
      </c>
      <c r="P1891" t="s">
        <v>31</v>
      </c>
      <c r="Q1891" t="s">
        <v>31</v>
      </c>
      <c r="R1891" t="s">
        <v>31</v>
      </c>
      <c r="S1891" t="s">
        <v>31</v>
      </c>
      <c r="T1891" t="s">
        <v>31</v>
      </c>
    </row>
    <row r="1892" spans="1:20" hidden="1" x14ac:dyDescent="0.3">
      <c r="A1892" t="s">
        <v>1907</v>
      </c>
      <c r="B1892" t="s">
        <v>28</v>
      </c>
      <c r="C1892" t="s">
        <v>29</v>
      </c>
      <c r="D1892" t="s">
        <v>30</v>
      </c>
      <c r="E1892">
        <v>2020</v>
      </c>
      <c r="F1892" t="s">
        <v>31</v>
      </c>
      <c r="G1892" t="s">
        <v>5199</v>
      </c>
      <c r="H1892" t="s">
        <v>2774</v>
      </c>
      <c r="I1892" t="s">
        <v>166</v>
      </c>
      <c r="J1892" t="s">
        <v>5280</v>
      </c>
      <c r="K1892" t="s">
        <v>31</v>
      </c>
      <c r="L1892" t="s">
        <v>31</v>
      </c>
      <c r="M1892" t="s">
        <v>27</v>
      </c>
      <c r="N1892" t="s">
        <v>27</v>
      </c>
      <c r="O1892" t="s">
        <v>27</v>
      </c>
      <c r="P1892" t="s">
        <v>31</v>
      </c>
      <c r="Q1892" t="s">
        <v>31</v>
      </c>
      <c r="R1892" t="s">
        <v>31</v>
      </c>
      <c r="S1892" t="s">
        <v>31</v>
      </c>
      <c r="T1892" t="s">
        <v>31</v>
      </c>
    </row>
    <row r="1893" spans="1:20" x14ac:dyDescent="0.3">
      <c r="A1893" t="s">
        <v>1908</v>
      </c>
      <c r="B1893" t="s">
        <v>51</v>
      </c>
      <c r="C1893" t="s">
        <v>37</v>
      </c>
      <c r="D1893" t="s">
        <v>52</v>
      </c>
      <c r="E1893">
        <v>2020</v>
      </c>
      <c r="F1893">
        <v>75000</v>
      </c>
      <c r="G1893" t="s">
        <v>31</v>
      </c>
      <c r="H1893" t="s">
        <v>2656</v>
      </c>
      <c r="I1893" t="s">
        <v>119</v>
      </c>
      <c r="J1893" t="s">
        <v>2623</v>
      </c>
      <c r="K1893" t="s">
        <v>2649</v>
      </c>
      <c r="L1893" t="s">
        <v>54</v>
      </c>
      <c r="M1893" t="s">
        <v>27</v>
      </c>
      <c r="N1893" t="s">
        <v>27</v>
      </c>
      <c r="O1893" t="s">
        <v>27</v>
      </c>
      <c r="P1893" t="s">
        <v>31</v>
      </c>
      <c r="Q1893" t="s">
        <v>31</v>
      </c>
      <c r="R1893" t="s">
        <v>31</v>
      </c>
      <c r="S1893" t="s">
        <v>31</v>
      </c>
      <c r="T1893" t="s">
        <v>31</v>
      </c>
    </row>
    <row r="1894" spans="1:20" hidden="1" x14ac:dyDescent="0.3">
      <c r="A1894" t="s">
        <v>1909</v>
      </c>
      <c r="B1894" t="s">
        <v>28</v>
      </c>
      <c r="C1894" t="s">
        <v>29</v>
      </c>
      <c r="D1894" t="s">
        <v>222</v>
      </c>
      <c r="E1894">
        <v>2020</v>
      </c>
      <c r="F1894">
        <v>6800000</v>
      </c>
      <c r="G1894" t="s">
        <v>5281</v>
      </c>
      <c r="H1894" t="s">
        <v>2645</v>
      </c>
      <c r="I1894" t="s">
        <v>34</v>
      </c>
      <c r="J1894" t="s">
        <v>5282</v>
      </c>
      <c r="K1894" t="s">
        <v>31</v>
      </c>
      <c r="L1894" t="s">
        <v>31</v>
      </c>
      <c r="M1894" t="s">
        <v>27</v>
      </c>
      <c r="N1894" t="s">
        <v>27</v>
      </c>
      <c r="O1894" t="s">
        <v>27</v>
      </c>
      <c r="P1894" t="s">
        <v>31</v>
      </c>
      <c r="Q1894" t="s">
        <v>31</v>
      </c>
      <c r="R1894" t="s">
        <v>31</v>
      </c>
      <c r="S1894" t="s">
        <v>31</v>
      </c>
      <c r="T1894" t="s">
        <v>31</v>
      </c>
    </row>
    <row r="1895" spans="1:20" hidden="1" x14ac:dyDescent="0.3">
      <c r="A1895" t="s">
        <v>1972</v>
      </c>
      <c r="B1895" t="s">
        <v>28</v>
      </c>
      <c r="C1895" t="s">
        <v>29</v>
      </c>
      <c r="D1895" t="s">
        <v>189</v>
      </c>
      <c r="E1895">
        <v>2020</v>
      </c>
      <c r="F1895" t="s">
        <v>31</v>
      </c>
      <c r="G1895" t="s">
        <v>31</v>
      </c>
      <c r="H1895" t="s">
        <v>2658</v>
      </c>
      <c r="I1895" t="s">
        <v>130</v>
      </c>
      <c r="J1895" t="s">
        <v>5283</v>
      </c>
      <c r="K1895" t="s">
        <v>31</v>
      </c>
      <c r="L1895" t="s">
        <v>37</v>
      </c>
      <c r="M1895" t="s">
        <v>27</v>
      </c>
      <c r="N1895" t="s">
        <v>27</v>
      </c>
      <c r="O1895" t="s">
        <v>27</v>
      </c>
      <c r="P1895" t="s">
        <v>31</v>
      </c>
      <c r="Q1895" t="s">
        <v>31</v>
      </c>
      <c r="R1895" t="s">
        <v>31</v>
      </c>
      <c r="S1895" t="s">
        <v>31</v>
      </c>
      <c r="T1895" t="s">
        <v>31</v>
      </c>
    </row>
    <row r="1896" spans="1:20" hidden="1" x14ac:dyDescent="0.3">
      <c r="A1896" t="s">
        <v>1973</v>
      </c>
      <c r="B1896" t="s">
        <v>51</v>
      </c>
      <c r="C1896" t="s">
        <v>37</v>
      </c>
      <c r="D1896" t="s">
        <v>121</v>
      </c>
      <c r="E1896">
        <v>2020</v>
      </c>
      <c r="F1896">
        <v>175000</v>
      </c>
      <c r="G1896" t="s">
        <v>31</v>
      </c>
      <c r="H1896" t="s">
        <v>2645</v>
      </c>
      <c r="I1896" t="s">
        <v>34</v>
      </c>
      <c r="J1896" t="s">
        <v>5284</v>
      </c>
      <c r="K1896" t="s">
        <v>2649</v>
      </c>
      <c r="L1896" t="s">
        <v>31</v>
      </c>
      <c r="M1896" t="s">
        <v>27</v>
      </c>
      <c r="N1896" t="s">
        <v>27</v>
      </c>
      <c r="O1896" t="s">
        <v>33</v>
      </c>
      <c r="P1896" t="s">
        <v>31</v>
      </c>
      <c r="Q1896" t="s">
        <v>31</v>
      </c>
      <c r="R1896" t="s">
        <v>31</v>
      </c>
      <c r="S1896" t="s">
        <v>31</v>
      </c>
      <c r="T1896" t="s">
        <v>5285</v>
      </c>
    </row>
    <row r="1897" spans="1:20" hidden="1" x14ac:dyDescent="0.3">
      <c r="A1897" t="s">
        <v>1974</v>
      </c>
      <c r="B1897" t="s">
        <v>51</v>
      </c>
      <c r="C1897" t="s">
        <v>37</v>
      </c>
      <c r="D1897" t="s">
        <v>56</v>
      </c>
      <c r="E1897">
        <v>2020</v>
      </c>
      <c r="F1897" t="s">
        <v>31</v>
      </c>
      <c r="G1897" t="s">
        <v>5286</v>
      </c>
      <c r="H1897" t="s">
        <v>2678</v>
      </c>
      <c r="I1897" t="s">
        <v>53</v>
      </c>
      <c r="J1897" t="s">
        <v>5287</v>
      </c>
      <c r="K1897" t="s">
        <v>2649</v>
      </c>
      <c r="L1897" t="s">
        <v>54</v>
      </c>
      <c r="M1897" t="s">
        <v>27</v>
      </c>
      <c r="N1897" t="s">
        <v>27</v>
      </c>
      <c r="O1897" t="s">
        <v>27</v>
      </c>
      <c r="P1897" t="s">
        <v>31</v>
      </c>
      <c r="Q1897">
        <v>152175.01</v>
      </c>
      <c r="R1897">
        <v>-7.0110000000000001</v>
      </c>
      <c r="S1897">
        <v>-76.88</v>
      </c>
      <c r="T1897" t="s">
        <v>31</v>
      </c>
    </row>
    <row r="1898" spans="1:20" hidden="1" x14ac:dyDescent="0.3">
      <c r="A1898" t="s">
        <v>1975</v>
      </c>
      <c r="B1898" t="s">
        <v>28</v>
      </c>
      <c r="C1898" t="s">
        <v>29</v>
      </c>
      <c r="D1898" t="s">
        <v>64</v>
      </c>
      <c r="E1898">
        <v>2020</v>
      </c>
      <c r="F1898">
        <v>2100000</v>
      </c>
      <c r="G1898" t="s">
        <v>5288</v>
      </c>
      <c r="H1898" t="s">
        <v>2645</v>
      </c>
      <c r="I1898" t="s">
        <v>34</v>
      </c>
      <c r="J1898" t="s">
        <v>5289</v>
      </c>
      <c r="K1898" t="s">
        <v>31</v>
      </c>
      <c r="L1898" t="s">
        <v>65</v>
      </c>
      <c r="M1898" t="s">
        <v>27</v>
      </c>
      <c r="N1898" t="s">
        <v>27</v>
      </c>
      <c r="O1898" t="s">
        <v>27</v>
      </c>
      <c r="P1898" t="s">
        <v>31</v>
      </c>
      <c r="Q1898">
        <v>130</v>
      </c>
      <c r="R1898" t="s">
        <v>31</v>
      </c>
      <c r="S1898" t="s">
        <v>31</v>
      </c>
      <c r="T1898" t="s">
        <v>31</v>
      </c>
    </row>
    <row r="1899" spans="1:20" hidden="1" x14ac:dyDescent="0.3">
      <c r="A1899" t="s">
        <v>1976</v>
      </c>
      <c r="B1899" t="s">
        <v>51</v>
      </c>
      <c r="C1899" t="s">
        <v>37</v>
      </c>
      <c r="D1899" t="s">
        <v>52</v>
      </c>
      <c r="E1899">
        <v>2020</v>
      </c>
      <c r="F1899" t="s">
        <v>31</v>
      </c>
      <c r="G1899" t="s">
        <v>31</v>
      </c>
      <c r="H1899" t="s">
        <v>2719</v>
      </c>
      <c r="I1899" t="s">
        <v>90</v>
      </c>
      <c r="J1899" t="s">
        <v>5290</v>
      </c>
      <c r="K1899" t="s">
        <v>2649</v>
      </c>
      <c r="L1899" t="s">
        <v>54</v>
      </c>
      <c r="M1899" t="s">
        <v>27</v>
      </c>
      <c r="N1899" t="s">
        <v>27</v>
      </c>
      <c r="O1899" t="s">
        <v>27</v>
      </c>
      <c r="P1899" t="s">
        <v>31</v>
      </c>
      <c r="Q1899" t="s">
        <v>31</v>
      </c>
      <c r="R1899" t="s">
        <v>31</v>
      </c>
      <c r="S1899" t="s">
        <v>31</v>
      </c>
      <c r="T1899" t="s">
        <v>31</v>
      </c>
    </row>
    <row r="1900" spans="1:20" hidden="1" x14ac:dyDescent="0.3">
      <c r="A1900" t="s">
        <v>1977</v>
      </c>
      <c r="B1900" t="s">
        <v>28</v>
      </c>
      <c r="C1900" t="s">
        <v>29</v>
      </c>
      <c r="D1900" t="s">
        <v>64</v>
      </c>
      <c r="E1900">
        <v>2020</v>
      </c>
      <c r="F1900">
        <v>1200000</v>
      </c>
      <c r="G1900" t="s">
        <v>31</v>
      </c>
      <c r="H1900" t="s">
        <v>2739</v>
      </c>
      <c r="I1900" t="s">
        <v>77</v>
      </c>
      <c r="J1900" t="s">
        <v>5291</v>
      </c>
      <c r="K1900" t="s">
        <v>31</v>
      </c>
      <c r="L1900" t="s">
        <v>65</v>
      </c>
      <c r="M1900" t="s">
        <v>27</v>
      </c>
      <c r="N1900" t="s">
        <v>27</v>
      </c>
      <c r="O1900" t="s">
        <v>27</v>
      </c>
      <c r="P1900" t="s">
        <v>31</v>
      </c>
      <c r="Q1900" t="s">
        <v>31</v>
      </c>
      <c r="R1900" t="s">
        <v>31</v>
      </c>
      <c r="S1900" t="s">
        <v>31</v>
      </c>
      <c r="T1900" t="s">
        <v>31</v>
      </c>
    </row>
    <row r="1901" spans="1:20" hidden="1" x14ac:dyDescent="0.3">
      <c r="A1901" t="s">
        <v>1978</v>
      </c>
      <c r="B1901" t="s">
        <v>91</v>
      </c>
      <c r="C1901" t="s">
        <v>92</v>
      </c>
      <c r="D1901" t="s">
        <v>93</v>
      </c>
      <c r="E1901">
        <v>2020</v>
      </c>
      <c r="F1901">
        <v>75000</v>
      </c>
      <c r="G1901" t="s">
        <v>31</v>
      </c>
      <c r="H1901" t="s">
        <v>2672</v>
      </c>
      <c r="I1901" t="s">
        <v>73</v>
      </c>
      <c r="J1901" t="s">
        <v>5292</v>
      </c>
      <c r="K1901" t="s">
        <v>31</v>
      </c>
      <c r="L1901" t="s">
        <v>31</v>
      </c>
      <c r="M1901" t="s">
        <v>27</v>
      </c>
      <c r="N1901" t="s">
        <v>27</v>
      </c>
      <c r="O1901" t="s">
        <v>33</v>
      </c>
      <c r="P1901" t="s">
        <v>31</v>
      </c>
      <c r="Q1901">
        <v>7.4</v>
      </c>
      <c r="R1901">
        <v>15.916</v>
      </c>
      <c r="S1901">
        <v>-95.953000000000003</v>
      </c>
      <c r="T1901" t="s">
        <v>31</v>
      </c>
    </row>
    <row r="1902" spans="1:20" hidden="1" x14ac:dyDescent="0.3">
      <c r="A1902" t="s">
        <v>1979</v>
      </c>
      <c r="B1902" t="s">
        <v>28</v>
      </c>
      <c r="C1902" t="s">
        <v>29</v>
      </c>
      <c r="D1902" t="s">
        <v>30</v>
      </c>
      <c r="E1902">
        <v>2020</v>
      </c>
      <c r="F1902" t="s">
        <v>31</v>
      </c>
      <c r="G1902" t="s">
        <v>5190</v>
      </c>
      <c r="H1902" t="s">
        <v>2716</v>
      </c>
      <c r="I1902" t="s">
        <v>242</v>
      </c>
      <c r="J1902" t="s">
        <v>5293</v>
      </c>
      <c r="K1902" t="s">
        <v>31</v>
      </c>
      <c r="L1902" t="s">
        <v>31</v>
      </c>
      <c r="M1902" t="s">
        <v>27</v>
      </c>
      <c r="N1902" t="s">
        <v>27</v>
      </c>
      <c r="O1902" t="s">
        <v>27</v>
      </c>
      <c r="P1902" t="s">
        <v>31</v>
      </c>
      <c r="Q1902" t="s">
        <v>31</v>
      </c>
      <c r="R1902" t="s">
        <v>31</v>
      </c>
      <c r="S1902" t="s">
        <v>31</v>
      </c>
      <c r="T1902" t="s">
        <v>31</v>
      </c>
    </row>
    <row r="1903" spans="1:20" hidden="1" x14ac:dyDescent="0.3">
      <c r="A1903" t="s">
        <v>1980</v>
      </c>
      <c r="B1903" t="s">
        <v>28</v>
      </c>
      <c r="C1903" t="s">
        <v>29</v>
      </c>
      <c r="D1903" t="s">
        <v>30</v>
      </c>
      <c r="E1903">
        <v>2020</v>
      </c>
      <c r="F1903">
        <v>4800000</v>
      </c>
      <c r="G1903" t="s">
        <v>5190</v>
      </c>
      <c r="H1903" t="s">
        <v>2645</v>
      </c>
      <c r="I1903" t="s">
        <v>34</v>
      </c>
      <c r="J1903" t="s">
        <v>5294</v>
      </c>
      <c r="K1903" t="s">
        <v>31</v>
      </c>
      <c r="L1903" t="s">
        <v>31</v>
      </c>
      <c r="M1903" t="s">
        <v>27</v>
      </c>
      <c r="N1903" t="s">
        <v>27</v>
      </c>
      <c r="O1903" t="s">
        <v>27</v>
      </c>
      <c r="P1903" t="s">
        <v>31</v>
      </c>
      <c r="Q1903" t="s">
        <v>31</v>
      </c>
      <c r="R1903" t="s">
        <v>31</v>
      </c>
      <c r="S1903" t="s">
        <v>31</v>
      </c>
      <c r="T1903" t="s">
        <v>31</v>
      </c>
    </row>
    <row r="1904" spans="1:20" hidden="1" x14ac:dyDescent="0.3">
      <c r="A1904" t="s">
        <v>1981</v>
      </c>
      <c r="B1904" t="s">
        <v>51</v>
      </c>
      <c r="C1904" t="s">
        <v>37</v>
      </c>
      <c r="D1904" t="s">
        <v>52</v>
      </c>
      <c r="E1904">
        <v>2020</v>
      </c>
      <c r="F1904">
        <v>10000</v>
      </c>
      <c r="G1904" t="s">
        <v>31</v>
      </c>
      <c r="H1904" t="s">
        <v>2647</v>
      </c>
      <c r="I1904" t="s">
        <v>47</v>
      </c>
      <c r="J1904" t="s">
        <v>5295</v>
      </c>
      <c r="K1904" t="s">
        <v>2649</v>
      </c>
      <c r="L1904" t="s">
        <v>31</v>
      </c>
      <c r="M1904" t="s">
        <v>27</v>
      </c>
      <c r="N1904" t="s">
        <v>27</v>
      </c>
      <c r="O1904" t="s">
        <v>27</v>
      </c>
      <c r="P1904" t="s">
        <v>31</v>
      </c>
      <c r="Q1904" t="s">
        <v>31</v>
      </c>
      <c r="R1904" t="s">
        <v>31</v>
      </c>
      <c r="S1904" t="s">
        <v>31</v>
      </c>
      <c r="T1904" t="s">
        <v>31</v>
      </c>
    </row>
    <row r="1905" spans="1:20" hidden="1" x14ac:dyDescent="0.3">
      <c r="A1905" t="s">
        <v>1982</v>
      </c>
      <c r="B1905" t="s">
        <v>51</v>
      </c>
      <c r="C1905" t="s">
        <v>37</v>
      </c>
      <c r="D1905" t="s">
        <v>121</v>
      </c>
      <c r="E1905">
        <v>2020</v>
      </c>
      <c r="F1905" t="s">
        <v>31</v>
      </c>
      <c r="G1905" t="s">
        <v>31</v>
      </c>
      <c r="H1905" t="s">
        <v>2774</v>
      </c>
      <c r="I1905" t="s">
        <v>166</v>
      </c>
      <c r="J1905" t="s">
        <v>5296</v>
      </c>
      <c r="K1905" t="s">
        <v>31</v>
      </c>
      <c r="L1905" t="s">
        <v>31</v>
      </c>
      <c r="M1905" t="s">
        <v>27</v>
      </c>
      <c r="N1905" t="s">
        <v>27</v>
      </c>
      <c r="O1905" t="s">
        <v>27</v>
      </c>
      <c r="P1905" t="s">
        <v>31</v>
      </c>
      <c r="Q1905" t="s">
        <v>31</v>
      </c>
      <c r="R1905" t="s">
        <v>31</v>
      </c>
      <c r="S1905" t="s">
        <v>31</v>
      </c>
      <c r="T1905" t="s">
        <v>5297</v>
      </c>
    </row>
    <row r="1906" spans="1:20" hidden="1" x14ac:dyDescent="0.3">
      <c r="A1906" t="s">
        <v>1983</v>
      </c>
      <c r="B1906" t="s">
        <v>28</v>
      </c>
      <c r="C1906" t="s">
        <v>29</v>
      </c>
      <c r="D1906" t="s">
        <v>30</v>
      </c>
      <c r="E1906">
        <v>2020</v>
      </c>
      <c r="F1906" t="s">
        <v>31</v>
      </c>
      <c r="G1906" t="s">
        <v>5193</v>
      </c>
      <c r="H1906" t="s">
        <v>2749</v>
      </c>
      <c r="I1906" t="s">
        <v>45</v>
      </c>
      <c r="J1906" t="s">
        <v>31</v>
      </c>
      <c r="K1906" t="s">
        <v>31</v>
      </c>
      <c r="L1906" t="s">
        <v>31</v>
      </c>
      <c r="M1906" t="s">
        <v>27</v>
      </c>
      <c r="N1906" t="s">
        <v>27</v>
      </c>
      <c r="O1906" t="s">
        <v>27</v>
      </c>
      <c r="P1906" t="s">
        <v>31</v>
      </c>
      <c r="Q1906" t="s">
        <v>31</v>
      </c>
      <c r="R1906" t="s">
        <v>31</v>
      </c>
      <c r="S1906" t="s">
        <v>31</v>
      </c>
      <c r="T1906" t="s">
        <v>31</v>
      </c>
    </row>
    <row r="1907" spans="1:20" hidden="1" x14ac:dyDescent="0.3">
      <c r="A1907" t="s">
        <v>1984</v>
      </c>
      <c r="B1907" t="s">
        <v>28</v>
      </c>
      <c r="C1907" t="s">
        <v>29</v>
      </c>
      <c r="D1907" t="s">
        <v>30</v>
      </c>
      <c r="E1907">
        <v>2020</v>
      </c>
      <c r="F1907">
        <v>100000</v>
      </c>
      <c r="G1907" t="s">
        <v>31</v>
      </c>
      <c r="H1907" t="s">
        <v>2672</v>
      </c>
      <c r="I1907" t="s">
        <v>73</v>
      </c>
      <c r="J1907" t="s">
        <v>5298</v>
      </c>
      <c r="K1907" t="s">
        <v>31</v>
      </c>
      <c r="L1907" t="s">
        <v>31</v>
      </c>
      <c r="M1907" t="s">
        <v>27</v>
      </c>
      <c r="N1907" t="s">
        <v>27</v>
      </c>
      <c r="O1907" t="s">
        <v>27</v>
      </c>
      <c r="P1907" t="s">
        <v>31</v>
      </c>
      <c r="Q1907">
        <v>56</v>
      </c>
      <c r="R1907" t="s">
        <v>31</v>
      </c>
      <c r="S1907" t="s">
        <v>31</v>
      </c>
      <c r="T1907" t="s">
        <v>31</v>
      </c>
    </row>
    <row r="1908" spans="1:20" hidden="1" x14ac:dyDescent="0.3">
      <c r="A1908" t="s">
        <v>1985</v>
      </c>
      <c r="B1908" t="s">
        <v>39</v>
      </c>
      <c r="C1908" t="s">
        <v>40</v>
      </c>
      <c r="D1908" t="s">
        <v>41</v>
      </c>
      <c r="E1908">
        <v>2020</v>
      </c>
      <c r="F1908" t="s">
        <v>31</v>
      </c>
      <c r="G1908" t="s">
        <v>31</v>
      </c>
      <c r="H1908" t="s">
        <v>2669</v>
      </c>
      <c r="I1908" t="s">
        <v>111</v>
      </c>
      <c r="J1908" t="s">
        <v>5299</v>
      </c>
      <c r="K1908" t="s">
        <v>157</v>
      </c>
      <c r="L1908" t="s">
        <v>31</v>
      </c>
      <c r="M1908" t="s">
        <v>33</v>
      </c>
      <c r="N1908" t="s">
        <v>27</v>
      </c>
      <c r="O1908" t="s">
        <v>33</v>
      </c>
      <c r="P1908" t="s">
        <v>31</v>
      </c>
      <c r="Q1908" t="s">
        <v>31</v>
      </c>
      <c r="R1908" t="s">
        <v>31</v>
      </c>
      <c r="S1908" t="s">
        <v>31</v>
      </c>
      <c r="T1908" t="s">
        <v>31</v>
      </c>
    </row>
    <row r="1909" spans="1:20" hidden="1" x14ac:dyDescent="0.3">
      <c r="A1909" t="s">
        <v>1987</v>
      </c>
      <c r="B1909" t="s">
        <v>28</v>
      </c>
      <c r="C1909" t="s">
        <v>29</v>
      </c>
      <c r="D1909" t="s">
        <v>30</v>
      </c>
      <c r="E1909">
        <v>2020</v>
      </c>
      <c r="F1909" t="s">
        <v>31</v>
      </c>
      <c r="G1909" t="s">
        <v>5194</v>
      </c>
      <c r="H1909" t="s">
        <v>2706</v>
      </c>
      <c r="I1909" t="s">
        <v>32</v>
      </c>
      <c r="J1909" t="s">
        <v>5300</v>
      </c>
      <c r="K1909" t="s">
        <v>31</v>
      </c>
      <c r="L1909" t="s">
        <v>31</v>
      </c>
      <c r="M1909" t="s">
        <v>27</v>
      </c>
      <c r="N1909" t="s">
        <v>27</v>
      </c>
      <c r="O1909" t="s">
        <v>27</v>
      </c>
      <c r="P1909" t="s">
        <v>31</v>
      </c>
      <c r="Q1909" t="s">
        <v>31</v>
      </c>
      <c r="R1909" t="s">
        <v>31</v>
      </c>
      <c r="S1909" t="s">
        <v>31</v>
      </c>
      <c r="T1909" t="s">
        <v>31</v>
      </c>
    </row>
    <row r="1910" spans="1:20" hidden="1" x14ac:dyDescent="0.3">
      <c r="A1910" t="s">
        <v>1988</v>
      </c>
      <c r="B1910" t="s">
        <v>28</v>
      </c>
      <c r="C1910" t="s">
        <v>29</v>
      </c>
      <c r="D1910" t="s">
        <v>30</v>
      </c>
      <c r="E1910">
        <v>2020</v>
      </c>
      <c r="F1910" t="s">
        <v>31</v>
      </c>
      <c r="G1910" t="s">
        <v>5194</v>
      </c>
      <c r="H1910" t="s">
        <v>2680</v>
      </c>
      <c r="I1910" t="s">
        <v>115</v>
      </c>
      <c r="J1910" t="s">
        <v>5301</v>
      </c>
      <c r="K1910" t="s">
        <v>31</v>
      </c>
      <c r="L1910" t="s">
        <v>31</v>
      </c>
      <c r="M1910" t="s">
        <v>27</v>
      </c>
      <c r="N1910" t="s">
        <v>27</v>
      </c>
      <c r="O1910" t="s">
        <v>27</v>
      </c>
      <c r="P1910" t="s">
        <v>31</v>
      </c>
      <c r="Q1910" t="s">
        <v>31</v>
      </c>
      <c r="R1910" t="s">
        <v>31</v>
      </c>
      <c r="S1910" t="s">
        <v>31</v>
      </c>
      <c r="T1910" t="s">
        <v>31</v>
      </c>
    </row>
    <row r="1911" spans="1:20" hidden="1" x14ac:dyDescent="0.3">
      <c r="A1911" t="s">
        <v>1989</v>
      </c>
      <c r="B1911" t="s">
        <v>43</v>
      </c>
      <c r="C1911" t="s">
        <v>2665</v>
      </c>
      <c r="D1911" t="s">
        <v>114</v>
      </c>
      <c r="E1911">
        <v>2020</v>
      </c>
      <c r="F1911" t="s">
        <v>31</v>
      </c>
      <c r="G1911" t="s">
        <v>5302</v>
      </c>
      <c r="H1911" t="s">
        <v>3184</v>
      </c>
      <c r="I1911" t="s">
        <v>246</v>
      </c>
      <c r="J1911" t="s">
        <v>5303</v>
      </c>
      <c r="K1911" t="s">
        <v>31</v>
      </c>
      <c r="L1911" t="s">
        <v>31</v>
      </c>
      <c r="M1911" t="s">
        <v>27</v>
      </c>
      <c r="N1911" t="s">
        <v>27</v>
      </c>
      <c r="O1911" t="s">
        <v>33</v>
      </c>
      <c r="P1911" t="s">
        <v>31</v>
      </c>
      <c r="Q1911" t="s">
        <v>31</v>
      </c>
      <c r="R1911" t="s">
        <v>31</v>
      </c>
      <c r="S1911" t="s">
        <v>31</v>
      </c>
      <c r="T1911" t="s">
        <v>31</v>
      </c>
    </row>
    <row r="1912" spans="1:20" hidden="1" x14ac:dyDescent="0.3">
      <c r="A1912" t="s">
        <v>1990</v>
      </c>
      <c r="B1912" t="s">
        <v>28</v>
      </c>
      <c r="C1912" t="s">
        <v>29</v>
      </c>
      <c r="D1912" t="s">
        <v>30</v>
      </c>
      <c r="E1912">
        <v>2020</v>
      </c>
      <c r="F1912" t="s">
        <v>31</v>
      </c>
      <c r="G1912" t="s">
        <v>5199</v>
      </c>
      <c r="H1912" t="s">
        <v>2753</v>
      </c>
      <c r="I1912" t="s">
        <v>49</v>
      </c>
      <c r="J1912" t="s">
        <v>5304</v>
      </c>
      <c r="K1912" t="s">
        <v>31</v>
      </c>
      <c r="L1912" t="s">
        <v>31</v>
      </c>
      <c r="M1912" t="s">
        <v>33</v>
      </c>
      <c r="N1912" t="s">
        <v>33</v>
      </c>
      <c r="O1912" t="s">
        <v>27</v>
      </c>
      <c r="P1912" t="s">
        <v>31</v>
      </c>
      <c r="Q1912" t="s">
        <v>31</v>
      </c>
      <c r="R1912" t="s">
        <v>31</v>
      </c>
      <c r="S1912" t="s">
        <v>31</v>
      </c>
      <c r="T1912" t="s">
        <v>31</v>
      </c>
    </row>
    <row r="1913" spans="1:20" hidden="1" x14ac:dyDescent="0.3">
      <c r="A1913" t="s">
        <v>1991</v>
      </c>
      <c r="B1913" t="s">
        <v>28</v>
      </c>
      <c r="C1913" t="s">
        <v>29</v>
      </c>
      <c r="D1913" t="s">
        <v>64</v>
      </c>
      <c r="E1913">
        <v>2020</v>
      </c>
      <c r="F1913">
        <v>1600000</v>
      </c>
      <c r="G1913" t="s">
        <v>31</v>
      </c>
      <c r="H1913" t="s">
        <v>2645</v>
      </c>
      <c r="I1913" t="s">
        <v>34</v>
      </c>
      <c r="J1913" t="s">
        <v>5305</v>
      </c>
      <c r="K1913" t="s">
        <v>31</v>
      </c>
      <c r="L1913" t="s">
        <v>262</v>
      </c>
      <c r="M1913" t="s">
        <v>27</v>
      </c>
      <c r="N1913" t="s">
        <v>27</v>
      </c>
      <c r="O1913" t="s">
        <v>27</v>
      </c>
      <c r="P1913" t="s">
        <v>31</v>
      </c>
      <c r="Q1913" t="s">
        <v>31</v>
      </c>
      <c r="R1913" t="s">
        <v>31</v>
      </c>
      <c r="S1913" t="s">
        <v>31</v>
      </c>
      <c r="T1913" t="s">
        <v>31</v>
      </c>
    </row>
    <row r="1914" spans="1:20" hidden="1" x14ac:dyDescent="0.3">
      <c r="A1914" t="s">
        <v>1992</v>
      </c>
      <c r="B1914" t="s">
        <v>39</v>
      </c>
      <c r="C1914" t="s">
        <v>157</v>
      </c>
      <c r="D1914" t="s">
        <v>157</v>
      </c>
      <c r="E1914">
        <v>2020</v>
      </c>
      <c r="F1914">
        <v>3000000</v>
      </c>
      <c r="G1914" t="s">
        <v>31</v>
      </c>
      <c r="H1914" t="s">
        <v>2656</v>
      </c>
      <c r="I1914" t="s">
        <v>119</v>
      </c>
      <c r="J1914" t="s">
        <v>5306</v>
      </c>
      <c r="K1914" t="s">
        <v>31</v>
      </c>
      <c r="L1914" t="s">
        <v>31</v>
      </c>
      <c r="M1914" t="s">
        <v>27</v>
      </c>
      <c r="N1914" t="s">
        <v>27</v>
      </c>
      <c r="O1914" t="s">
        <v>27</v>
      </c>
      <c r="P1914" t="s">
        <v>31</v>
      </c>
      <c r="Q1914" t="s">
        <v>31</v>
      </c>
      <c r="R1914" t="s">
        <v>31</v>
      </c>
      <c r="S1914" t="s">
        <v>31</v>
      </c>
      <c r="T1914" t="s">
        <v>31</v>
      </c>
    </row>
    <row r="1915" spans="1:20" hidden="1" x14ac:dyDescent="0.3">
      <c r="A1915" t="s">
        <v>1993</v>
      </c>
      <c r="B1915" t="s">
        <v>39</v>
      </c>
      <c r="C1915" t="s">
        <v>157</v>
      </c>
      <c r="D1915" t="s">
        <v>157</v>
      </c>
      <c r="E1915">
        <v>2020</v>
      </c>
      <c r="F1915">
        <v>4500000</v>
      </c>
      <c r="G1915" t="s">
        <v>31</v>
      </c>
      <c r="H1915" t="s">
        <v>2645</v>
      </c>
      <c r="I1915" t="s">
        <v>34</v>
      </c>
      <c r="J1915" t="s">
        <v>5307</v>
      </c>
      <c r="K1915" t="s">
        <v>31</v>
      </c>
      <c r="L1915" t="s">
        <v>95</v>
      </c>
      <c r="M1915" t="s">
        <v>27</v>
      </c>
      <c r="N1915" t="s">
        <v>27</v>
      </c>
      <c r="O1915" t="s">
        <v>27</v>
      </c>
      <c r="P1915" t="s">
        <v>31</v>
      </c>
      <c r="Q1915" t="s">
        <v>31</v>
      </c>
      <c r="R1915" t="s">
        <v>31</v>
      </c>
      <c r="S1915" t="s">
        <v>31</v>
      </c>
      <c r="T1915" t="s">
        <v>31</v>
      </c>
    </row>
    <row r="1916" spans="1:20" hidden="1" x14ac:dyDescent="0.3">
      <c r="A1916" t="s">
        <v>94</v>
      </c>
      <c r="B1916" t="s">
        <v>28</v>
      </c>
      <c r="C1916" t="s">
        <v>2685</v>
      </c>
      <c r="D1916" t="s">
        <v>95</v>
      </c>
      <c r="E1916">
        <v>2021</v>
      </c>
      <c r="F1916" t="s">
        <v>31</v>
      </c>
      <c r="G1916" t="s">
        <v>31</v>
      </c>
      <c r="H1916" t="s">
        <v>2739</v>
      </c>
      <c r="I1916" t="s">
        <v>77</v>
      </c>
      <c r="J1916" t="s">
        <v>5035</v>
      </c>
      <c r="K1916" t="s">
        <v>31</v>
      </c>
      <c r="L1916" t="s">
        <v>40</v>
      </c>
      <c r="M1916" t="s">
        <v>27</v>
      </c>
      <c r="N1916" t="s">
        <v>27</v>
      </c>
      <c r="O1916" t="s">
        <v>27</v>
      </c>
      <c r="P1916" t="s">
        <v>31</v>
      </c>
      <c r="Q1916">
        <v>49.6</v>
      </c>
      <c r="R1916" t="s">
        <v>31</v>
      </c>
      <c r="S1916" t="s">
        <v>31</v>
      </c>
      <c r="T1916" t="s">
        <v>31</v>
      </c>
    </row>
    <row r="1917" spans="1:20" hidden="1" x14ac:dyDescent="0.3">
      <c r="A1917" t="s">
        <v>108</v>
      </c>
      <c r="B1917" t="s">
        <v>91</v>
      </c>
      <c r="C1917" t="s">
        <v>2712</v>
      </c>
      <c r="D1917" t="s">
        <v>105</v>
      </c>
      <c r="E1917">
        <v>2021</v>
      </c>
      <c r="F1917" t="s">
        <v>31</v>
      </c>
      <c r="G1917" t="s">
        <v>31</v>
      </c>
      <c r="H1917" t="s">
        <v>2666</v>
      </c>
      <c r="I1917" t="s">
        <v>109</v>
      </c>
      <c r="J1917" t="s">
        <v>5308</v>
      </c>
      <c r="K1917" t="s">
        <v>31</v>
      </c>
      <c r="L1917" t="s">
        <v>31</v>
      </c>
      <c r="M1917" t="s">
        <v>27</v>
      </c>
      <c r="N1917" t="s">
        <v>27</v>
      </c>
      <c r="O1917" t="s">
        <v>27</v>
      </c>
      <c r="P1917" t="s">
        <v>31</v>
      </c>
      <c r="Q1917" t="s">
        <v>31</v>
      </c>
      <c r="R1917" t="s">
        <v>31</v>
      </c>
      <c r="S1917" t="s">
        <v>31</v>
      </c>
      <c r="T1917" t="s">
        <v>31</v>
      </c>
    </row>
    <row r="1918" spans="1:20" hidden="1" x14ac:dyDescent="0.3">
      <c r="A1918" t="s">
        <v>110</v>
      </c>
      <c r="B1918" t="s">
        <v>51</v>
      </c>
      <c r="C1918" t="s">
        <v>37</v>
      </c>
      <c r="D1918" t="s">
        <v>52</v>
      </c>
      <c r="E1918">
        <v>2021</v>
      </c>
      <c r="F1918" t="s">
        <v>31</v>
      </c>
      <c r="G1918" t="s">
        <v>31</v>
      </c>
      <c r="H1918" t="s">
        <v>2669</v>
      </c>
      <c r="I1918" t="s">
        <v>111</v>
      </c>
      <c r="J1918" t="s">
        <v>5309</v>
      </c>
      <c r="K1918" t="s">
        <v>2649</v>
      </c>
      <c r="L1918" t="s">
        <v>31</v>
      </c>
      <c r="M1918" t="s">
        <v>27</v>
      </c>
      <c r="N1918" t="s">
        <v>27</v>
      </c>
      <c r="O1918" t="s">
        <v>27</v>
      </c>
      <c r="P1918" t="s">
        <v>31</v>
      </c>
      <c r="Q1918" t="s">
        <v>31</v>
      </c>
      <c r="R1918" t="s">
        <v>31</v>
      </c>
      <c r="S1918" t="s">
        <v>31</v>
      </c>
      <c r="T1918" t="s">
        <v>5310</v>
      </c>
    </row>
    <row r="1919" spans="1:20" hidden="1" x14ac:dyDescent="0.3">
      <c r="A1919" t="s">
        <v>116</v>
      </c>
      <c r="B1919" t="s">
        <v>51</v>
      </c>
      <c r="C1919" t="s">
        <v>37</v>
      </c>
      <c r="D1919" t="s">
        <v>52</v>
      </c>
      <c r="E1919">
        <v>2021</v>
      </c>
      <c r="F1919" t="s">
        <v>31</v>
      </c>
      <c r="G1919" t="s">
        <v>31</v>
      </c>
      <c r="H1919" t="s">
        <v>2769</v>
      </c>
      <c r="I1919" t="s">
        <v>117</v>
      </c>
      <c r="J1919" t="s">
        <v>5311</v>
      </c>
      <c r="K1919" t="s">
        <v>2649</v>
      </c>
      <c r="L1919" t="s">
        <v>31</v>
      </c>
      <c r="M1919" t="s">
        <v>27</v>
      </c>
      <c r="N1919" t="s">
        <v>27</v>
      </c>
      <c r="O1919" t="s">
        <v>27</v>
      </c>
      <c r="P1919" t="s">
        <v>31</v>
      </c>
      <c r="Q1919" t="s">
        <v>31</v>
      </c>
      <c r="R1919" t="s">
        <v>31</v>
      </c>
      <c r="S1919" t="s">
        <v>31</v>
      </c>
      <c r="T1919" t="s">
        <v>31</v>
      </c>
    </row>
    <row r="1920" spans="1:20" hidden="1" x14ac:dyDescent="0.3">
      <c r="A1920" t="s">
        <v>122</v>
      </c>
      <c r="B1920" t="s">
        <v>28</v>
      </c>
      <c r="C1920" t="s">
        <v>29</v>
      </c>
      <c r="D1920" t="s">
        <v>64</v>
      </c>
      <c r="E1920">
        <v>2021</v>
      </c>
      <c r="F1920">
        <v>1100000</v>
      </c>
      <c r="G1920" t="s">
        <v>5312</v>
      </c>
      <c r="H1920" t="s">
        <v>2645</v>
      </c>
      <c r="I1920" t="s">
        <v>34</v>
      </c>
      <c r="J1920" t="s">
        <v>5313</v>
      </c>
      <c r="K1920" t="s">
        <v>31</v>
      </c>
      <c r="L1920" t="s">
        <v>82</v>
      </c>
      <c r="M1920" t="s">
        <v>27</v>
      </c>
      <c r="N1920" t="s">
        <v>27</v>
      </c>
      <c r="O1920" t="s">
        <v>27</v>
      </c>
      <c r="P1920" t="s">
        <v>31</v>
      </c>
      <c r="Q1920" t="s">
        <v>31</v>
      </c>
      <c r="R1920" t="s">
        <v>31</v>
      </c>
      <c r="S1920" t="s">
        <v>31</v>
      </c>
      <c r="T1920" t="s">
        <v>31</v>
      </c>
    </row>
    <row r="1921" spans="1:20" hidden="1" x14ac:dyDescent="0.3">
      <c r="A1921" t="s">
        <v>123</v>
      </c>
      <c r="B1921" t="s">
        <v>28</v>
      </c>
      <c r="C1921" t="s">
        <v>29</v>
      </c>
      <c r="D1921" t="s">
        <v>67</v>
      </c>
      <c r="E1921">
        <v>2021</v>
      </c>
      <c r="F1921">
        <v>30000000</v>
      </c>
      <c r="G1921" t="s">
        <v>31</v>
      </c>
      <c r="H1921" t="s">
        <v>2645</v>
      </c>
      <c r="I1921" t="s">
        <v>34</v>
      </c>
      <c r="J1921" t="s">
        <v>5314</v>
      </c>
      <c r="K1921" t="s">
        <v>5315</v>
      </c>
      <c r="L1921" t="s">
        <v>68</v>
      </c>
      <c r="M1921" t="s">
        <v>27</v>
      </c>
      <c r="N1921" t="s">
        <v>27</v>
      </c>
      <c r="O1921" t="s">
        <v>27</v>
      </c>
      <c r="P1921" t="s">
        <v>31</v>
      </c>
      <c r="Q1921" t="s">
        <v>31</v>
      </c>
      <c r="R1921" t="s">
        <v>31</v>
      </c>
      <c r="S1921" t="s">
        <v>31</v>
      </c>
      <c r="T1921" t="s">
        <v>31</v>
      </c>
    </row>
    <row r="1922" spans="1:20" hidden="1" x14ac:dyDescent="0.3">
      <c r="A1922" t="s">
        <v>124</v>
      </c>
      <c r="B1922" t="s">
        <v>51</v>
      </c>
      <c r="C1922" t="s">
        <v>37</v>
      </c>
      <c r="D1922" t="s">
        <v>121</v>
      </c>
      <c r="E1922">
        <v>2021</v>
      </c>
      <c r="F1922" t="s">
        <v>31</v>
      </c>
      <c r="G1922" t="s">
        <v>31</v>
      </c>
      <c r="H1922" t="s">
        <v>2678</v>
      </c>
      <c r="I1922" t="s">
        <v>53</v>
      </c>
      <c r="J1922" t="s">
        <v>5316</v>
      </c>
      <c r="K1922" t="s">
        <v>2649</v>
      </c>
      <c r="L1922" t="s">
        <v>54</v>
      </c>
      <c r="M1922" t="s">
        <v>27</v>
      </c>
      <c r="N1922" t="s">
        <v>27</v>
      </c>
      <c r="O1922" t="s">
        <v>33</v>
      </c>
      <c r="P1922" t="s">
        <v>31</v>
      </c>
      <c r="Q1922" t="s">
        <v>31</v>
      </c>
      <c r="R1922" t="s">
        <v>31</v>
      </c>
      <c r="S1922" t="s">
        <v>31</v>
      </c>
      <c r="T1922" t="s">
        <v>31</v>
      </c>
    </row>
    <row r="1923" spans="1:20" hidden="1" x14ac:dyDescent="0.3">
      <c r="A1923" t="s">
        <v>126</v>
      </c>
      <c r="B1923" t="s">
        <v>28</v>
      </c>
      <c r="C1923" t="s">
        <v>29</v>
      </c>
      <c r="D1923" t="s">
        <v>97</v>
      </c>
      <c r="E1923">
        <v>2021</v>
      </c>
      <c r="F1923">
        <v>1700000</v>
      </c>
      <c r="G1923" t="s">
        <v>5317</v>
      </c>
      <c r="H1923" t="s">
        <v>2645</v>
      </c>
      <c r="I1923" t="s">
        <v>34</v>
      </c>
      <c r="J1923" t="s">
        <v>5318</v>
      </c>
      <c r="K1923" t="s">
        <v>31</v>
      </c>
      <c r="L1923" t="s">
        <v>37</v>
      </c>
      <c r="M1923" t="s">
        <v>27</v>
      </c>
      <c r="N1923" t="s">
        <v>27</v>
      </c>
      <c r="O1923" t="s">
        <v>33</v>
      </c>
      <c r="P1923" t="s">
        <v>31</v>
      </c>
      <c r="Q1923" t="s">
        <v>31</v>
      </c>
      <c r="R1923" t="s">
        <v>31</v>
      </c>
      <c r="S1923" t="s">
        <v>31</v>
      </c>
      <c r="T1923" t="s">
        <v>31</v>
      </c>
    </row>
    <row r="1924" spans="1:20" hidden="1" x14ac:dyDescent="0.3">
      <c r="A1924" t="s">
        <v>127</v>
      </c>
      <c r="B1924" t="s">
        <v>51</v>
      </c>
      <c r="C1924" t="s">
        <v>37</v>
      </c>
      <c r="D1924" t="s">
        <v>52</v>
      </c>
      <c r="E1924">
        <v>2021</v>
      </c>
      <c r="F1924">
        <v>1300000</v>
      </c>
      <c r="G1924" t="s">
        <v>31</v>
      </c>
      <c r="H1924" t="s">
        <v>2645</v>
      </c>
      <c r="I1924" t="s">
        <v>34</v>
      </c>
      <c r="J1924" t="s">
        <v>5319</v>
      </c>
      <c r="K1924" t="s">
        <v>2649</v>
      </c>
      <c r="L1924" t="s">
        <v>31</v>
      </c>
      <c r="M1924" t="s">
        <v>27</v>
      </c>
      <c r="N1924" t="s">
        <v>27</v>
      </c>
      <c r="O1924" t="s">
        <v>27</v>
      </c>
      <c r="P1924" t="s">
        <v>31</v>
      </c>
      <c r="Q1924" t="s">
        <v>31</v>
      </c>
      <c r="R1924" t="s">
        <v>31</v>
      </c>
      <c r="S1924" t="s">
        <v>31</v>
      </c>
      <c r="T1924" t="s">
        <v>31</v>
      </c>
    </row>
    <row r="1925" spans="1:20" hidden="1" x14ac:dyDescent="0.3">
      <c r="A1925" t="s">
        <v>132</v>
      </c>
      <c r="B1925" t="s">
        <v>51</v>
      </c>
      <c r="C1925" t="s">
        <v>37</v>
      </c>
      <c r="D1925" t="s">
        <v>52</v>
      </c>
      <c r="E1925">
        <v>2021</v>
      </c>
      <c r="F1925" t="s">
        <v>31</v>
      </c>
      <c r="G1925" t="s">
        <v>31</v>
      </c>
      <c r="H1925" t="s">
        <v>2719</v>
      </c>
      <c r="I1925" t="s">
        <v>90</v>
      </c>
      <c r="J1925" t="s">
        <v>5320</v>
      </c>
      <c r="K1925" t="s">
        <v>2649</v>
      </c>
      <c r="L1925" t="s">
        <v>54</v>
      </c>
      <c r="M1925" t="s">
        <v>27</v>
      </c>
      <c r="N1925" t="s">
        <v>27</v>
      </c>
      <c r="O1925" t="s">
        <v>27</v>
      </c>
      <c r="P1925" t="s">
        <v>31</v>
      </c>
      <c r="Q1925" t="s">
        <v>31</v>
      </c>
      <c r="R1925" t="s">
        <v>31</v>
      </c>
      <c r="S1925" t="s">
        <v>31</v>
      </c>
      <c r="T1925" t="s">
        <v>5321</v>
      </c>
    </row>
    <row r="1926" spans="1:20" hidden="1" x14ac:dyDescent="0.3">
      <c r="A1926" t="s">
        <v>135</v>
      </c>
      <c r="B1926" t="s">
        <v>28</v>
      </c>
      <c r="C1926" t="s">
        <v>29</v>
      </c>
      <c r="D1926" t="s">
        <v>64</v>
      </c>
      <c r="E1926">
        <v>2021</v>
      </c>
      <c r="F1926">
        <v>1300000</v>
      </c>
      <c r="G1926" t="s">
        <v>31</v>
      </c>
      <c r="H1926" t="s">
        <v>2645</v>
      </c>
      <c r="I1926" t="s">
        <v>34</v>
      </c>
      <c r="J1926" t="s">
        <v>5322</v>
      </c>
      <c r="K1926" t="s">
        <v>31</v>
      </c>
      <c r="L1926" t="s">
        <v>37</v>
      </c>
      <c r="M1926" t="s">
        <v>27</v>
      </c>
      <c r="N1926" t="s">
        <v>27</v>
      </c>
      <c r="O1926" t="s">
        <v>27</v>
      </c>
      <c r="P1926" t="s">
        <v>31</v>
      </c>
      <c r="Q1926" t="s">
        <v>31</v>
      </c>
      <c r="R1926" t="s">
        <v>31</v>
      </c>
      <c r="S1926" t="s">
        <v>31</v>
      </c>
      <c r="T1926" t="s">
        <v>31</v>
      </c>
    </row>
    <row r="1927" spans="1:20" hidden="1" x14ac:dyDescent="0.3">
      <c r="A1927" t="s">
        <v>136</v>
      </c>
      <c r="B1927" t="s">
        <v>51</v>
      </c>
      <c r="C1927" t="s">
        <v>37</v>
      </c>
      <c r="D1927" t="s">
        <v>52</v>
      </c>
      <c r="E1927">
        <v>2021</v>
      </c>
      <c r="F1927" t="s">
        <v>31</v>
      </c>
      <c r="G1927" t="s">
        <v>31</v>
      </c>
      <c r="H1927" t="s">
        <v>2656</v>
      </c>
      <c r="I1927" t="s">
        <v>119</v>
      </c>
      <c r="J1927" t="s">
        <v>5323</v>
      </c>
      <c r="K1927" t="s">
        <v>3993</v>
      </c>
      <c r="L1927" t="s">
        <v>31</v>
      </c>
      <c r="M1927" t="s">
        <v>27</v>
      </c>
      <c r="N1927" t="s">
        <v>27</v>
      </c>
      <c r="O1927" t="s">
        <v>27</v>
      </c>
      <c r="P1927" t="s">
        <v>31</v>
      </c>
      <c r="Q1927" t="s">
        <v>31</v>
      </c>
      <c r="R1927" t="s">
        <v>31</v>
      </c>
      <c r="S1927" t="s">
        <v>31</v>
      </c>
      <c r="T1927" t="s">
        <v>5324</v>
      </c>
    </row>
    <row r="1928" spans="1:20" hidden="1" x14ac:dyDescent="0.3">
      <c r="A1928" t="s">
        <v>137</v>
      </c>
      <c r="B1928" t="s">
        <v>28</v>
      </c>
      <c r="C1928" t="s">
        <v>29</v>
      </c>
      <c r="D1928" t="s">
        <v>30</v>
      </c>
      <c r="E1928">
        <v>2021</v>
      </c>
      <c r="F1928">
        <v>50000</v>
      </c>
      <c r="G1928" t="s">
        <v>31</v>
      </c>
      <c r="H1928" t="s">
        <v>2672</v>
      </c>
      <c r="I1928" t="s">
        <v>73</v>
      </c>
      <c r="J1928" t="s">
        <v>5325</v>
      </c>
      <c r="K1928" t="s">
        <v>31</v>
      </c>
      <c r="L1928" t="s">
        <v>138</v>
      </c>
      <c r="M1928" t="s">
        <v>27</v>
      </c>
      <c r="N1928" t="s">
        <v>27</v>
      </c>
      <c r="O1928" t="s">
        <v>27</v>
      </c>
      <c r="P1928" t="s">
        <v>31</v>
      </c>
      <c r="Q1928" t="s">
        <v>31</v>
      </c>
      <c r="R1928" t="s">
        <v>31</v>
      </c>
      <c r="S1928" t="s">
        <v>31</v>
      </c>
      <c r="T1928" t="s">
        <v>31</v>
      </c>
    </row>
    <row r="1929" spans="1:20" hidden="1" x14ac:dyDescent="0.3">
      <c r="A1929" t="s">
        <v>139</v>
      </c>
      <c r="B1929" t="s">
        <v>51</v>
      </c>
      <c r="C1929" t="s">
        <v>37</v>
      </c>
      <c r="D1929" t="s">
        <v>56</v>
      </c>
      <c r="E1929">
        <v>2021</v>
      </c>
      <c r="F1929">
        <v>950000</v>
      </c>
      <c r="G1929" t="s">
        <v>31</v>
      </c>
      <c r="H1929" t="s">
        <v>2645</v>
      </c>
      <c r="I1929" t="s">
        <v>34</v>
      </c>
      <c r="J1929" t="s">
        <v>5326</v>
      </c>
      <c r="K1929" t="s">
        <v>2649</v>
      </c>
      <c r="L1929" t="s">
        <v>31</v>
      </c>
      <c r="M1929" t="s">
        <v>27</v>
      </c>
      <c r="N1929" t="s">
        <v>27</v>
      </c>
      <c r="O1929" t="s">
        <v>27</v>
      </c>
      <c r="P1929" t="s">
        <v>31</v>
      </c>
      <c r="Q1929" t="s">
        <v>31</v>
      </c>
      <c r="R1929" t="s">
        <v>31</v>
      </c>
      <c r="S1929" t="s">
        <v>31</v>
      </c>
      <c r="T1929" t="s">
        <v>31</v>
      </c>
    </row>
    <row r="1930" spans="1:20" hidden="1" x14ac:dyDescent="0.3">
      <c r="A1930" t="s">
        <v>140</v>
      </c>
      <c r="B1930" t="s">
        <v>28</v>
      </c>
      <c r="C1930" t="s">
        <v>29</v>
      </c>
      <c r="D1930" t="s">
        <v>97</v>
      </c>
      <c r="E1930">
        <v>2021</v>
      </c>
      <c r="F1930">
        <v>25000</v>
      </c>
      <c r="G1930" t="s">
        <v>31</v>
      </c>
      <c r="H1930" t="s">
        <v>2739</v>
      </c>
      <c r="I1930" t="s">
        <v>77</v>
      </c>
      <c r="J1930" t="s">
        <v>5327</v>
      </c>
      <c r="K1930" t="s">
        <v>31</v>
      </c>
      <c r="L1930" t="s">
        <v>31</v>
      </c>
      <c r="M1930" t="s">
        <v>27</v>
      </c>
      <c r="N1930" t="s">
        <v>27</v>
      </c>
      <c r="O1930" t="s">
        <v>27</v>
      </c>
      <c r="P1930" t="s">
        <v>31</v>
      </c>
      <c r="Q1930" t="s">
        <v>31</v>
      </c>
      <c r="R1930" t="s">
        <v>31</v>
      </c>
      <c r="S1930" t="s">
        <v>31</v>
      </c>
      <c r="T1930" t="s">
        <v>31</v>
      </c>
    </row>
    <row r="1931" spans="1:20" hidden="1" x14ac:dyDescent="0.3">
      <c r="A1931" t="s">
        <v>141</v>
      </c>
      <c r="B1931" t="s">
        <v>39</v>
      </c>
      <c r="C1931" t="s">
        <v>40</v>
      </c>
      <c r="D1931" t="s">
        <v>142</v>
      </c>
      <c r="E1931">
        <v>2021</v>
      </c>
      <c r="F1931">
        <v>10000</v>
      </c>
      <c r="G1931" t="s">
        <v>31</v>
      </c>
      <c r="H1931" t="s">
        <v>2645</v>
      </c>
      <c r="I1931" t="s">
        <v>34</v>
      </c>
      <c r="J1931" t="s">
        <v>5328</v>
      </c>
      <c r="K1931" t="s">
        <v>31</v>
      </c>
      <c r="L1931" t="s">
        <v>31</v>
      </c>
      <c r="M1931" t="s">
        <v>27</v>
      </c>
      <c r="N1931" t="s">
        <v>27</v>
      </c>
      <c r="O1931" t="s">
        <v>27</v>
      </c>
      <c r="P1931" t="s">
        <v>31</v>
      </c>
      <c r="Q1931" t="s">
        <v>31</v>
      </c>
      <c r="R1931" t="s">
        <v>31</v>
      </c>
      <c r="S1931" t="s">
        <v>31</v>
      </c>
      <c r="T1931" t="s">
        <v>31</v>
      </c>
    </row>
    <row r="1932" spans="1:20" hidden="1" x14ac:dyDescent="0.3">
      <c r="A1932" t="s">
        <v>143</v>
      </c>
      <c r="B1932" t="s">
        <v>28</v>
      </c>
      <c r="C1932" t="s">
        <v>29</v>
      </c>
      <c r="D1932" t="s">
        <v>30</v>
      </c>
      <c r="E1932">
        <v>2021</v>
      </c>
      <c r="F1932" t="s">
        <v>31</v>
      </c>
      <c r="G1932" t="s">
        <v>5329</v>
      </c>
      <c r="H1932" t="s">
        <v>2959</v>
      </c>
      <c r="I1932" t="s">
        <v>144</v>
      </c>
      <c r="J1932" t="s">
        <v>5330</v>
      </c>
      <c r="K1932" t="s">
        <v>31</v>
      </c>
      <c r="L1932" t="s">
        <v>31</v>
      </c>
      <c r="M1932" t="s">
        <v>27</v>
      </c>
      <c r="N1932" t="s">
        <v>27</v>
      </c>
      <c r="O1932" t="s">
        <v>27</v>
      </c>
      <c r="P1932" t="s">
        <v>31</v>
      </c>
      <c r="Q1932" t="s">
        <v>31</v>
      </c>
      <c r="R1932" t="s">
        <v>31</v>
      </c>
      <c r="S1932" t="s">
        <v>31</v>
      </c>
      <c r="T1932" t="s">
        <v>31</v>
      </c>
    </row>
    <row r="1933" spans="1:20" hidden="1" x14ac:dyDescent="0.3">
      <c r="A1933" t="s">
        <v>145</v>
      </c>
      <c r="B1933" t="s">
        <v>28</v>
      </c>
      <c r="C1933" t="s">
        <v>29</v>
      </c>
      <c r="D1933" t="s">
        <v>30</v>
      </c>
      <c r="E1933">
        <v>2021</v>
      </c>
      <c r="F1933" t="s">
        <v>31</v>
      </c>
      <c r="G1933" t="s">
        <v>5329</v>
      </c>
      <c r="H1933" t="s">
        <v>2888</v>
      </c>
      <c r="I1933" t="s">
        <v>75</v>
      </c>
      <c r="J1933" t="s">
        <v>5331</v>
      </c>
      <c r="K1933" t="s">
        <v>31</v>
      </c>
      <c r="L1933" t="s">
        <v>31</v>
      </c>
      <c r="M1933" t="s">
        <v>27</v>
      </c>
      <c r="N1933" t="s">
        <v>27</v>
      </c>
      <c r="O1933" t="s">
        <v>27</v>
      </c>
      <c r="P1933" t="s">
        <v>31</v>
      </c>
      <c r="Q1933" t="s">
        <v>31</v>
      </c>
      <c r="R1933" t="s">
        <v>31</v>
      </c>
      <c r="S1933" t="s">
        <v>31</v>
      </c>
      <c r="T1933" t="s">
        <v>31</v>
      </c>
    </row>
    <row r="1934" spans="1:20" hidden="1" x14ac:dyDescent="0.3">
      <c r="A1934" t="s">
        <v>146</v>
      </c>
      <c r="B1934" t="s">
        <v>28</v>
      </c>
      <c r="C1934" t="s">
        <v>29</v>
      </c>
      <c r="D1934" t="s">
        <v>30</v>
      </c>
      <c r="E1934">
        <v>2021</v>
      </c>
      <c r="F1934" t="s">
        <v>31</v>
      </c>
      <c r="G1934" t="s">
        <v>5329</v>
      </c>
      <c r="H1934" t="s">
        <v>2749</v>
      </c>
      <c r="I1934" t="s">
        <v>45</v>
      </c>
      <c r="J1934" t="s">
        <v>5332</v>
      </c>
      <c r="K1934" t="s">
        <v>31</v>
      </c>
      <c r="L1934" t="s">
        <v>31</v>
      </c>
      <c r="M1934" t="s">
        <v>27</v>
      </c>
      <c r="N1934" t="s">
        <v>27</v>
      </c>
      <c r="O1934" t="s">
        <v>27</v>
      </c>
      <c r="P1934" t="s">
        <v>31</v>
      </c>
      <c r="Q1934" t="s">
        <v>31</v>
      </c>
      <c r="R1934" t="s">
        <v>31</v>
      </c>
      <c r="S1934" t="s">
        <v>31</v>
      </c>
      <c r="T1934" t="s">
        <v>31</v>
      </c>
    </row>
    <row r="1935" spans="1:20" hidden="1" x14ac:dyDescent="0.3">
      <c r="A1935" t="s">
        <v>147</v>
      </c>
      <c r="B1935" t="s">
        <v>28</v>
      </c>
      <c r="C1935" t="s">
        <v>29</v>
      </c>
      <c r="D1935" t="s">
        <v>30</v>
      </c>
      <c r="E1935">
        <v>2021</v>
      </c>
      <c r="F1935" t="s">
        <v>31</v>
      </c>
      <c r="G1935" t="s">
        <v>5329</v>
      </c>
      <c r="H1935" t="s">
        <v>2903</v>
      </c>
      <c r="I1935" t="s">
        <v>148</v>
      </c>
      <c r="J1935" t="s">
        <v>5333</v>
      </c>
      <c r="K1935" t="s">
        <v>31</v>
      </c>
      <c r="L1935" t="s">
        <v>31</v>
      </c>
      <c r="M1935" t="s">
        <v>27</v>
      </c>
      <c r="N1935" t="s">
        <v>27</v>
      </c>
      <c r="O1935" t="s">
        <v>27</v>
      </c>
      <c r="P1935" t="s">
        <v>31</v>
      </c>
      <c r="Q1935" t="s">
        <v>31</v>
      </c>
      <c r="R1935" t="s">
        <v>31</v>
      </c>
      <c r="S1935" t="s">
        <v>31</v>
      </c>
      <c r="T1935" t="s">
        <v>31</v>
      </c>
    </row>
    <row r="1936" spans="1:20" hidden="1" x14ac:dyDescent="0.3">
      <c r="A1936" t="s">
        <v>153</v>
      </c>
      <c r="B1936" t="s">
        <v>51</v>
      </c>
      <c r="C1936" t="s">
        <v>37</v>
      </c>
      <c r="D1936" t="s">
        <v>52</v>
      </c>
      <c r="E1936">
        <v>2021</v>
      </c>
      <c r="F1936" t="s">
        <v>31</v>
      </c>
      <c r="G1936" t="s">
        <v>31</v>
      </c>
      <c r="H1936" t="s">
        <v>2701</v>
      </c>
      <c r="I1936" t="s">
        <v>60</v>
      </c>
      <c r="J1936" t="s">
        <v>5334</v>
      </c>
      <c r="K1936" t="s">
        <v>2649</v>
      </c>
      <c r="L1936" t="s">
        <v>54</v>
      </c>
      <c r="M1936" t="s">
        <v>27</v>
      </c>
      <c r="N1936" t="s">
        <v>27</v>
      </c>
      <c r="O1936" t="s">
        <v>27</v>
      </c>
      <c r="P1936" t="s">
        <v>31</v>
      </c>
      <c r="Q1936" t="s">
        <v>31</v>
      </c>
      <c r="R1936" t="s">
        <v>31</v>
      </c>
      <c r="S1936" t="s">
        <v>31</v>
      </c>
      <c r="T1936" t="s">
        <v>31</v>
      </c>
    </row>
    <row r="1937" spans="1:20" hidden="1" x14ac:dyDescent="0.3">
      <c r="A1937" t="s">
        <v>163</v>
      </c>
      <c r="B1937" t="s">
        <v>51</v>
      </c>
      <c r="C1937" t="s">
        <v>37</v>
      </c>
      <c r="D1937" t="s">
        <v>52</v>
      </c>
      <c r="E1937">
        <v>2021</v>
      </c>
      <c r="F1937">
        <v>50000</v>
      </c>
      <c r="G1937" t="s">
        <v>31</v>
      </c>
      <c r="H1937" t="s">
        <v>2645</v>
      </c>
      <c r="I1937" t="s">
        <v>34</v>
      </c>
      <c r="J1937" t="s">
        <v>5335</v>
      </c>
      <c r="K1937" t="s">
        <v>2649</v>
      </c>
      <c r="L1937" t="s">
        <v>54</v>
      </c>
      <c r="M1937" t="s">
        <v>27</v>
      </c>
      <c r="N1937" t="s">
        <v>27</v>
      </c>
      <c r="O1937" t="s">
        <v>33</v>
      </c>
      <c r="P1937" t="s">
        <v>31</v>
      </c>
      <c r="Q1937" t="s">
        <v>31</v>
      </c>
      <c r="R1937" t="s">
        <v>31</v>
      </c>
      <c r="S1937" t="s">
        <v>31</v>
      </c>
      <c r="T1937" t="s">
        <v>31</v>
      </c>
    </row>
    <row r="1938" spans="1:20" hidden="1" x14ac:dyDescent="0.3">
      <c r="A1938" t="s">
        <v>165</v>
      </c>
      <c r="B1938" t="s">
        <v>51</v>
      </c>
      <c r="C1938" t="s">
        <v>37</v>
      </c>
      <c r="D1938" t="s">
        <v>52</v>
      </c>
      <c r="E1938">
        <v>2021</v>
      </c>
      <c r="F1938" t="s">
        <v>31</v>
      </c>
      <c r="G1938" t="s">
        <v>5336</v>
      </c>
      <c r="H1938" t="s">
        <v>2774</v>
      </c>
      <c r="I1938" t="s">
        <v>166</v>
      </c>
      <c r="J1938" t="s">
        <v>5337</v>
      </c>
      <c r="K1938" t="s">
        <v>2649</v>
      </c>
      <c r="L1938" t="s">
        <v>54</v>
      </c>
      <c r="M1938" t="s">
        <v>27</v>
      </c>
      <c r="N1938" t="s">
        <v>27</v>
      </c>
      <c r="O1938" t="s">
        <v>27</v>
      </c>
      <c r="P1938" t="s">
        <v>31</v>
      </c>
      <c r="Q1938" t="s">
        <v>31</v>
      </c>
      <c r="R1938" t="s">
        <v>31</v>
      </c>
      <c r="S1938" t="s">
        <v>31</v>
      </c>
      <c r="T1938" t="s">
        <v>31</v>
      </c>
    </row>
    <row r="1939" spans="1:20" hidden="1" x14ac:dyDescent="0.3">
      <c r="A1939" t="s">
        <v>167</v>
      </c>
      <c r="B1939" t="s">
        <v>28</v>
      </c>
      <c r="C1939" t="s">
        <v>29</v>
      </c>
      <c r="D1939" t="s">
        <v>30</v>
      </c>
      <c r="E1939">
        <v>2021</v>
      </c>
      <c r="F1939" t="s">
        <v>31</v>
      </c>
      <c r="G1939" t="s">
        <v>31</v>
      </c>
      <c r="H1939" t="s">
        <v>2888</v>
      </c>
      <c r="I1939" t="s">
        <v>75</v>
      </c>
      <c r="J1939" t="s">
        <v>31</v>
      </c>
      <c r="K1939" t="s">
        <v>31</v>
      </c>
      <c r="L1939" t="s">
        <v>31</v>
      </c>
      <c r="M1939" t="s">
        <v>27</v>
      </c>
      <c r="N1939" t="s">
        <v>27</v>
      </c>
      <c r="O1939" t="s">
        <v>27</v>
      </c>
      <c r="P1939" t="s">
        <v>31</v>
      </c>
      <c r="Q1939" t="s">
        <v>31</v>
      </c>
      <c r="R1939" t="s">
        <v>31</v>
      </c>
      <c r="S1939" t="s">
        <v>31</v>
      </c>
      <c r="T1939" t="s">
        <v>31</v>
      </c>
    </row>
    <row r="1940" spans="1:20" hidden="1" x14ac:dyDescent="0.3">
      <c r="A1940" t="s">
        <v>168</v>
      </c>
      <c r="B1940" t="s">
        <v>28</v>
      </c>
      <c r="C1940" t="s">
        <v>29</v>
      </c>
      <c r="D1940" t="s">
        <v>30</v>
      </c>
      <c r="E1940">
        <v>2021</v>
      </c>
      <c r="F1940">
        <v>550000</v>
      </c>
      <c r="G1940" t="s">
        <v>31</v>
      </c>
      <c r="H1940" t="s">
        <v>2645</v>
      </c>
      <c r="I1940" t="s">
        <v>34</v>
      </c>
      <c r="J1940" t="s">
        <v>5338</v>
      </c>
      <c r="K1940" t="s">
        <v>31</v>
      </c>
      <c r="L1940" t="s">
        <v>37</v>
      </c>
      <c r="M1940" t="s">
        <v>27</v>
      </c>
      <c r="N1940" t="s">
        <v>27</v>
      </c>
      <c r="O1940" t="s">
        <v>33</v>
      </c>
      <c r="P1940" t="s">
        <v>31</v>
      </c>
      <c r="Q1940">
        <v>120</v>
      </c>
      <c r="R1940" t="s">
        <v>31</v>
      </c>
      <c r="S1940" t="s">
        <v>31</v>
      </c>
      <c r="T1940" t="s">
        <v>31</v>
      </c>
    </row>
    <row r="1941" spans="1:20" hidden="1" x14ac:dyDescent="0.3">
      <c r="A1941" t="s">
        <v>169</v>
      </c>
      <c r="B1941" t="s">
        <v>28</v>
      </c>
      <c r="C1941" t="s">
        <v>29</v>
      </c>
      <c r="D1941" t="s">
        <v>30</v>
      </c>
      <c r="E1941">
        <v>2021</v>
      </c>
      <c r="F1941">
        <v>1300000</v>
      </c>
      <c r="G1941" t="s">
        <v>31</v>
      </c>
      <c r="H1941" t="s">
        <v>2645</v>
      </c>
      <c r="I1941" t="s">
        <v>34</v>
      </c>
      <c r="J1941" t="s">
        <v>5339</v>
      </c>
      <c r="K1941" t="s">
        <v>5340</v>
      </c>
      <c r="L1941" t="s">
        <v>37</v>
      </c>
      <c r="M1941" t="s">
        <v>27</v>
      </c>
      <c r="N1941" t="s">
        <v>27</v>
      </c>
      <c r="O1941" t="s">
        <v>33</v>
      </c>
      <c r="P1941" t="s">
        <v>31</v>
      </c>
      <c r="Q1941" t="s">
        <v>31</v>
      </c>
      <c r="R1941" t="s">
        <v>31</v>
      </c>
      <c r="S1941" t="s">
        <v>31</v>
      </c>
      <c r="T1941" t="s">
        <v>5341</v>
      </c>
    </row>
    <row r="1942" spans="1:20" hidden="1" x14ac:dyDescent="0.3">
      <c r="A1942" t="s">
        <v>171</v>
      </c>
      <c r="B1942" t="s">
        <v>28</v>
      </c>
      <c r="C1942" t="s">
        <v>29</v>
      </c>
      <c r="D1942" t="s">
        <v>30</v>
      </c>
      <c r="E1942">
        <v>2021</v>
      </c>
      <c r="F1942">
        <v>100000</v>
      </c>
      <c r="G1942" t="s">
        <v>31</v>
      </c>
      <c r="H1942" t="s">
        <v>2672</v>
      </c>
      <c r="I1942" t="s">
        <v>73</v>
      </c>
      <c r="J1942" t="s">
        <v>5342</v>
      </c>
      <c r="K1942" t="s">
        <v>31</v>
      </c>
      <c r="L1942" t="s">
        <v>82</v>
      </c>
      <c r="M1942" t="s">
        <v>27</v>
      </c>
      <c r="N1942" t="s">
        <v>27</v>
      </c>
      <c r="O1942" t="s">
        <v>27</v>
      </c>
      <c r="P1942" t="s">
        <v>31</v>
      </c>
      <c r="Q1942">
        <v>110</v>
      </c>
      <c r="R1942" t="s">
        <v>31</v>
      </c>
      <c r="S1942" t="s">
        <v>31</v>
      </c>
      <c r="T1942" t="s">
        <v>31</v>
      </c>
    </row>
    <row r="1943" spans="1:20" hidden="1" x14ac:dyDescent="0.3">
      <c r="A1943" t="s">
        <v>172</v>
      </c>
      <c r="B1943" t="s">
        <v>91</v>
      </c>
      <c r="C1943" t="s">
        <v>92</v>
      </c>
      <c r="D1943" t="s">
        <v>93</v>
      </c>
      <c r="E1943">
        <v>2021</v>
      </c>
      <c r="F1943">
        <v>200000</v>
      </c>
      <c r="G1943" t="s">
        <v>5343</v>
      </c>
      <c r="H1943" t="s">
        <v>2672</v>
      </c>
      <c r="I1943" t="s">
        <v>73</v>
      </c>
      <c r="J1943" t="s">
        <v>5344</v>
      </c>
      <c r="K1943" t="s">
        <v>31</v>
      </c>
      <c r="L1943" t="s">
        <v>173</v>
      </c>
      <c r="M1943" t="s">
        <v>27</v>
      </c>
      <c r="N1943" t="s">
        <v>27</v>
      </c>
      <c r="O1943" t="s">
        <v>27</v>
      </c>
      <c r="P1943" t="s">
        <v>31</v>
      </c>
      <c r="Q1943">
        <v>7</v>
      </c>
      <c r="R1943">
        <v>16.981999999999999</v>
      </c>
      <c r="S1943">
        <v>-99.772999999999996</v>
      </c>
      <c r="T1943" t="s">
        <v>31</v>
      </c>
    </row>
    <row r="1944" spans="1:20" hidden="1" x14ac:dyDescent="0.3">
      <c r="A1944" t="s">
        <v>177</v>
      </c>
      <c r="B1944" t="s">
        <v>51</v>
      </c>
      <c r="C1944" t="s">
        <v>37</v>
      </c>
      <c r="D1944" t="s">
        <v>52</v>
      </c>
      <c r="E1944">
        <v>2021</v>
      </c>
      <c r="F1944" t="s">
        <v>31</v>
      </c>
      <c r="G1944" t="s">
        <v>31</v>
      </c>
      <c r="H1944" t="s">
        <v>2678</v>
      </c>
      <c r="I1944" t="s">
        <v>53</v>
      </c>
      <c r="J1944" t="s">
        <v>5345</v>
      </c>
      <c r="K1944" t="s">
        <v>5346</v>
      </c>
      <c r="L1944" t="s">
        <v>31</v>
      </c>
      <c r="M1944" t="s">
        <v>27</v>
      </c>
      <c r="N1944" t="s">
        <v>27</v>
      </c>
      <c r="O1944" t="s">
        <v>33</v>
      </c>
      <c r="P1944" t="s">
        <v>31</v>
      </c>
      <c r="Q1944" t="s">
        <v>31</v>
      </c>
      <c r="R1944" t="s">
        <v>31</v>
      </c>
      <c r="S1944" t="s">
        <v>31</v>
      </c>
      <c r="T1944" t="s">
        <v>31</v>
      </c>
    </row>
    <row r="1945" spans="1:20" hidden="1" x14ac:dyDescent="0.3">
      <c r="A1945" t="s">
        <v>183</v>
      </c>
      <c r="B1945" t="s">
        <v>51</v>
      </c>
      <c r="C1945" t="s">
        <v>37</v>
      </c>
      <c r="D1945" t="s">
        <v>56</v>
      </c>
      <c r="E1945">
        <v>2021</v>
      </c>
      <c r="F1945">
        <v>325000</v>
      </c>
      <c r="G1945" t="s">
        <v>31</v>
      </c>
      <c r="H1945" t="s">
        <v>2645</v>
      </c>
      <c r="I1945" t="s">
        <v>34</v>
      </c>
      <c r="J1945" t="s">
        <v>5347</v>
      </c>
      <c r="K1945" t="s">
        <v>31</v>
      </c>
      <c r="L1945" t="s">
        <v>31</v>
      </c>
      <c r="M1945" t="s">
        <v>27</v>
      </c>
      <c r="N1945" t="s">
        <v>27</v>
      </c>
      <c r="O1945" t="s">
        <v>33</v>
      </c>
      <c r="P1945" t="s">
        <v>31</v>
      </c>
      <c r="Q1945" t="s">
        <v>31</v>
      </c>
      <c r="R1945" t="s">
        <v>31</v>
      </c>
      <c r="S1945" t="s">
        <v>31</v>
      </c>
      <c r="T1945" t="s">
        <v>31</v>
      </c>
    </row>
    <row r="1946" spans="1:20" hidden="1" x14ac:dyDescent="0.3">
      <c r="A1946" t="s">
        <v>184</v>
      </c>
      <c r="B1946" t="s">
        <v>51</v>
      </c>
      <c r="C1946" t="s">
        <v>37</v>
      </c>
      <c r="D1946" t="s">
        <v>52</v>
      </c>
      <c r="E1946">
        <v>2021</v>
      </c>
      <c r="F1946" t="s">
        <v>31</v>
      </c>
      <c r="G1946" t="s">
        <v>31</v>
      </c>
      <c r="H1946" t="s">
        <v>2669</v>
      </c>
      <c r="I1946" t="s">
        <v>111</v>
      </c>
      <c r="J1946" t="s">
        <v>5348</v>
      </c>
      <c r="K1946" t="s">
        <v>31</v>
      </c>
      <c r="L1946" t="s">
        <v>31</v>
      </c>
      <c r="M1946" t="s">
        <v>27</v>
      </c>
      <c r="N1946" t="s">
        <v>27</v>
      </c>
      <c r="O1946" t="s">
        <v>27</v>
      </c>
      <c r="P1946" t="s">
        <v>31</v>
      </c>
      <c r="Q1946" t="s">
        <v>31</v>
      </c>
      <c r="R1946" t="s">
        <v>31</v>
      </c>
      <c r="S1946" t="s">
        <v>31</v>
      </c>
      <c r="T1946" t="s">
        <v>31</v>
      </c>
    </row>
    <row r="1947" spans="1:20" hidden="1" x14ac:dyDescent="0.3">
      <c r="A1947" t="s">
        <v>185</v>
      </c>
      <c r="B1947" t="s">
        <v>51</v>
      </c>
      <c r="C1947" t="s">
        <v>37</v>
      </c>
      <c r="D1947" t="s">
        <v>56</v>
      </c>
      <c r="E1947">
        <v>2021</v>
      </c>
      <c r="F1947" t="s">
        <v>31</v>
      </c>
      <c r="G1947" t="s">
        <v>31</v>
      </c>
      <c r="H1947" t="s">
        <v>2647</v>
      </c>
      <c r="I1947" t="s">
        <v>47</v>
      </c>
      <c r="J1947" t="s">
        <v>5349</v>
      </c>
      <c r="K1947" t="s">
        <v>2649</v>
      </c>
      <c r="L1947" t="s">
        <v>31</v>
      </c>
      <c r="M1947" t="s">
        <v>27</v>
      </c>
      <c r="N1947" t="s">
        <v>27</v>
      </c>
      <c r="O1947" t="s">
        <v>27</v>
      </c>
      <c r="P1947" t="s">
        <v>31</v>
      </c>
      <c r="Q1947" t="s">
        <v>31</v>
      </c>
      <c r="R1947" t="s">
        <v>31</v>
      </c>
      <c r="S1947" t="s">
        <v>31</v>
      </c>
      <c r="T1947" t="s">
        <v>31</v>
      </c>
    </row>
    <row r="1948" spans="1:20" x14ac:dyDescent="0.3">
      <c r="A1948" t="s">
        <v>186</v>
      </c>
      <c r="B1948" t="s">
        <v>51</v>
      </c>
      <c r="C1948" t="s">
        <v>37</v>
      </c>
      <c r="D1948" t="s">
        <v>52</v>
      </c>
      <c r="E1948">
        <v>2021</v>
      </c>
      <c r="F1948">
        <v>417000</v>
      </c>
      <c r="G1948" t="s">
        <v>5350</v>
      </c>
      <c r="H1948" t="s">
        <v>2656</v>
      </c>
      <c r="I1948" t="s">
        <v>119</v>
      </c>
      <c r="J1948" t="s">
        <v>2585</v>
      </c>
      <c r="K1948" t="s">
        <v>2649</v>
      </c>
      <c r="L1948" t="s">
        <v>31</v>
      </c>
      <c r="M1948" t="s">
        <v>27</v>
      </c>
      <c r="N1948" t="s">
        <v>27</v>
      </c>
      <c r="O1948" t="s">
        <v>33</v>
      </c>
      <c r="P1948" t="s">
        <v>31</v>
      </c>
      <c r="Q1948" t="s">
        <v>31</v>
      </c>
      <c r="R1948" t="s">
        <v>31</v>
      </c>
      <c r="S1948" t="s">
        <v>31</v>
      </c>
      <c r="T1948" t="s">
        <v>31</v>
      </c>
    </row>
    <row r="1949" spans="1:20" hidden="1" x14ac:dyDescent="0.3">
      <c r="A1949" t="s">
        <v>188</v>
      </c>
      <c r="B1949" t="s">
        <v>39</v>
      </c>
      <c r="C1949" t="s">
        <v>40</v>
      </c>
      <c r="D1949" t="s">
        <v>142</v>
      </c>
      <c r="E1949">
        <v>2021</v>
      </c>
      <c r="F1949">
        <v>3300000</v>
      </c>
      <c r="G1949" t="s">
        <v>31</v>
      </c>
      <c r="H1949" t="s">
        <v>2645</v>
      </c>
      <c r="I1949" t="s">
        <v>34</v>
      </c>
      <c r="J1949" t="s">
        <v>5351</v>
      </c>
      <c r="K1949" t="s">
        <v>31</v>
      </c>
      <c r="L1949" t="s">
        <v>31</v>
      </c>
      <c r="M1949" t="s">
        <v>27</v>
      </c>
      <c r="N1949" t="s">
        <v>27</v>
      </c>
      <c r="O1949" t="s">
        <v>33</v>
      </c>
      <c r="P1949" t="s">
        <v>31</v>
      </c>
      <c r="Q1949" t="s">
        <v>31</v>
      </c>
      <c r="R1949" t="s">
        <v>31</v>
      </c>
      <c r="S1949" t="s">
        <v>31</v>
      </c>
      <c r="T1949" t="s">
        <v>31</v>
      </c>
    </row>
    <row r="1950" spans="1:20" hidden="1" x14ac:dyDescent="0.3">
      <c r="A1950" t="s">
        <v>190</v>
      </c>
      <c r="B1950" t="s">
        <v>39</v>
      </c>
      <c r="C1950" t="s">
        <v>157</v>
      </c>
      <c r="D1950" t="s">
        <v>157</v>
      </c>
      <c r="E1950">
        <v>2021</v>
      </c>
      <c r="F1950">
        <v>9000000</v>
      </c>
      <c r="G1950" t="s">
        <v>31</v>
      </c>
      <c r="H1950" t="s">
        <v>2645</v>
      </c>
      <c r="I1950" t="s">
        <v>34</v>
      </c>
      <c r="J1950" t="s">
        <v>4960</v>
      </c>
      <c r="K1950" t="s">
        <v>31</v>
      </c>
      <c r="L1950" t="s">
        <v>31</v>
      </c>
      <c r="M1950" t="s">
        <v>27</v>
      </c>
      <c r="N1950" t="s">
        <v>27</v>
      </c>
      <c r="O1950" t="s">
        <v>27</v>
      </c>
      <c r="P1950" t="s">
        <v>31</v>
      </c>
      <c r="Q1950" t="s">
        <v>31</v>
      </c>
      <c r="R1950" t="s">
        <v>31</v>
      </c>
      <c r="S1950" t="s">
        <v>31</v>
      </c>
      <c r="T1950" t="s">
        <v>31</v>
      </c>
    </row>
    <row r="1951" spans="1:20" hidden="1" x14ac:dyDescent="0.3">
      <c r="A1951" t="s">
        <v>1252</v>
      </c>
      <c r="B1951" t="s">
        <v>28</v>
      </c>
      <c r="C1951" t="s">
        <v>29</v>
      </c>
      <c r="D1951" t="s">
        <v>30</v>
      </c>
      <c r="E1951">
        <v>2021</v>
      </c>
      <c r="F1951" t="s">
        <v>31</v>
      </c>
      <c r="G1951" t="s">
        <v>31</v>
      </c>
      <c r="H1951" t="s">
        <v>2749</v>
      </c>
      <c r="I1951" t="s">
        <v>45</v>
      </c>
      <c r="J1951" t="s">
        <v>31</v>
      </c>
      <c r="K1951" t="s">
        <v>31</v>
      </c>
      <c r="L1951" t="s">
        <v>31</v>
      </c>
      <c r="M1951" t="s">
        <v>27</v>
      </c>
      <c r="N1951" t="s">
        <v>27</v>
      </c>
      <c r="O1951" t="s">
        <v>27</v>
      </c>
      <c r="P1951" t="s">
        <v>31</v>
      </c>
      <c r="Q1951" t="s">
        <v>31</v>
      </c>
      <c r="R1951" t="s">
        <v>31</v>
      </c>
      <c r="S1951" t="s">
        <v>31</v>
      </c>
      <c r="T1951" t="s">
        <v>31</v>
      </c>
    </row>
    <row r="1952" spans="1:20" hidden="1" x14ac:dyDescent="0.3">
      <c r="A1952" t="s">
        <v>1289</v>
      </c>
      <c r="B1952" t="s">
        <v>51</v>
      </c>
      <c r="C1952" t="s">
        <v>37</v>
      </c>
      <c r="D1952" t="s">
        <v>56</v>
      </c>
      <c r="E1952">
        <v>2021</v>
      </c>
      <c r="F1952" t="s">
        <v>31</v>
      </c>
      <c r="G1952" t="s">
        <v>31</v>
      </c>
      <c r="H1952" t="s">
        <v>2669</v>
      </c>
      <c r="I1952" t="s">
        <v>111</v>
      </c>
      <c r="J1952" t="s">
        <v>5352</v>
      </c>
      <c r="K1952" t="s">
        <v>2649</v>
      </c>
      <c r="L1952" t="s">
        <v>65</v>
      </c>
      <c r="M1952" t="s">
        <v>27</v>
      </c>
      <c r="N1952" t="s">
        <v>27</v>
      </c>
      <c r="O1952" t="s">
        <v>27</v>
      </c>
      <c r="P1952" t="s">
        <v>31</v>
      </c>
      <c r="Q1952" t="s">
        <v>31</v>
      </c>
      <c r="R1952" t="s">
        <v>31</v>
      </c>
      <c r="S1952" t="s">
        <v>31</v>
      </c>
      <c r="T1952" t="s">
        <v>31</v>
      </c>
    </row>
    <row r="1953" spans="1:20" hidden="1" x14ac:dyDescent="0.3">
      <c r="A1953" t="s">
        <v>1290</v>
      </c>
      <c r="B1953" t="s">
        <v>28</v>
      </c>
      <c r="C1953" t="s">
        <v>29</v>
      </c>
      <c r="D1953" t="s">
        <v>97</v>
      </c>
      <c r="E1953">
        <v>2021</v>
      </c>
      <c r="F1953">
        <v>120000</v>
      </c>
      <c r="G1953" t="s">
        <v>31</v>
      </c>
      <c r="H1953" t="s">
        <v>2645</v>
      </c>
      <c r="I1953" t="s">
        <v>34</v>
      </c>
      <c r="J1953" t="s">
        <v>5353</v>
      </c>
      <c r="K1953" t="s">
        <v>31</v>
      </c>
      <c r="L1953" t="s">
        <v>287</v>
      </c>
      <c r="M1953" t="s">
        <v>27</v>
      </c>
      <c r="N1953" t="s">
        <v>27</v>
      </c>
      <c r="O1953" t="s">
        <v>27</v>
      </c>
      <c r="P1953" t="s">
        <v>31</v>
      </c>
      <c r="Q1953" t="s">
        <v>31</v>
      </c>
      <c r="R1953" t="s">
        <v>31</v>
      </c>
      <c r="S1953" t="s">
        <v>31</v>
      </c>
      <c r="T1953" t="s">
        <v>31</v>
      </c>
    </row>
    <row r="1954" spans="1:20" hidden="1" x14ac:dyDescent="0.3">
      <c r="A1954" t="s">
        <v>1291</v>
      </c>
      <c r="B1954" t="s">
        <v>28</v>
      </c>
      <c r="C1954" t="s">
        <v>29</v>
      </c>
      <c r="D1954" t="s">
        <v>67</v>
      </c>
      <c r="E1954">
        <v>2021</v>
      </c>
      <c r="F1954">
        <v>100000</v>
      </c>
      <c r="G1954" t="s">
        <v>31</v>
      </c>
      <c r="H1954" t="s">
        <v>2645</v>
      </c>
      <c r="I1954" t="s">
        <v>34</v>
      </c>
      <c r="J1954" t="s">
        <v>5354</v>
      </c>
      <c r="K1954" t="s">
        <v>31</v>
      </c>
      <c r="L1954" t="s">
        <v>31</v>
      </c>
      <c r="M1954" t="s">
        <v>27</v>
      </c>
      <c r="N1954" t="s">
        <v>27</v>
      </c>
      <c r="O1954" t="s">
        <v>33</v>
      </c>
      <c r="P1954" t="s">
        <v>31</v>
      </c>
      <c r="Q1954" t="s">
        <v>31</v>
      </c>
      <c r="R1954" t="s">
        <v>31</v>
      </c>
      <c r="S1954" t="s">
        <v>31</v>
      </c>
      <c r="T1954" t="s">
        <v>31</v>
      </c>
    </row>
    <row r="1955" spans="1:20" hidden="1" x14ac:dyDescent="0.3">
      <c r="A1955" t="s">
        <v>1292</v>
      </c>
      <c r="B1955" t="s">
        <v>28</v>
      </c>
      <c r="C1955" t="s">
        <v>29</v>
      </c>
      <c r="D1955" t="s">
        <v>64</v>
      </c>
      <c r="E1955">
        <v>2021</v>
      </c>
      <c r="F1955">
        <v>175000</v>
      </c>
      <c r="G1955" t="s">
        <v>31</v>
      </c>
      <c r="H1955" t="s">
        <v>2701</v>
      </c>
      <c r="I1955" t="s">
        <v>60</v>
      </c>
      <c r="J1955" t="s">
        <v>5355</v>
      </c>
      <c r="K1955" t="s">
        <v>31</v>
      </c>
      <c r="L1955" t="s">
        <v>82</v>
      </c>
      <c r="M1955" t="s">
        <v>27</v>
      </c>
      <c r="N1955" t="s">
        <v>27</v>
      </c>
      <c r="O1955" t="s">
        <v>27</v>
      </c>
      <c r="P1955" t="s">
        <v>31</v>
      </c>
      <c r="Q1955" t="s">
        <v>31</v>
      </c>
      <c r="R1955" t="s">
        <v>31</v>
      </c>
      <c r="S1955" t="s">
        <v>31</v>
      </c>
      <c r="T1955" t="s">
        <v>31</v>
      </c>
    </row>
    <row r="1956" spans="1:20" hidden="1" x14ac:dyDescent="0.3">
      <c r="A1956" t="s">
        <v>1293</v>
      </c>
      <c r="B1956" t="s">
        <v>51</v>
      </c>
      <c r="C1956" t="s">
        <v>37</v>
      </c>
      <c r="D1956" t="s">
        <v>52</v>
      </c>
      <c r="E1956">
        <v>2021</v>
      </c>
      <c r="F1956" t="s">
        <v>31</v>
      </c>
      <c r="G1956" t="s">
        <v>31</v>
      </c>
      <c r="H1956" t="s">
        <v>2669</v>
      </c>
      <c r="I1956" t="s">
        <v>111</v>
      </c>
      <c r="J1956" t="s">
        <v>5356</v>
      </c>
      <c r="K1956" t="s">
        <v>2649</v>
      </c>
      <c r="L1956" t="s">
        <v>31</v>
      </c>
      <c r="M1956" t="s">
        <v>27</v>
      </c>
      <c r="N1956" t="s">
        <v>27</v>
      </c>
      <c r="O1956" t="s">
        <v>27</v>
      </c>
      <c r="P1956" t="s">
        <v>31</v>
      </c>
      <c r="Q1956" t="s">
        <v>31</v>
      </c>
      <c r="R1956" t="s">
        <v>31</v>
      </c>
      <c r="S1956" t="s">
        <v>31</v>
      </c>
      <c r="T1956" t="s">
        <v>31</v>
      </c>
    </row>
    <row r="1957" spans="1:20" hidden="1" x14ac:dyDescent="0.3">
      <c r="A1957" t="s">
        <v>1294</v>
      </c>
      <c r="B1957" t="s">
        <v>28</v>
      </c>
      <c r="C1957" t="s">
        <v>29</v>
      </c>
      <c r="D1957" t="s">
        <v>67</v>
      </c>
      <c r="E1957">
        <v>2021</v>
      </c>
      <c r="F1957">
        <v>100000</v>
      </c>
      <c r="G1957" t="s">
        <v>31</v>
      </c>
      <c r="H1957" t="s">
        <v>2672</v>
      </c>
      <c r="I1957" t="s">
        <v>73</v>
      </c>
      <c r="J1957" t="s">
        <v>5357</v>
      </c>
      <c r="K1957" t="s">
        <v>5358</v>
      </c>
      <c r="L1957" t="s">
        <v>31</v>
      </c>
      <c r="M1957" t="s">
        <v>27</v>
      </c>
      <c r="N1957" t="s">
        <v>27</v>
      </c>
      <c r="O1957" t="s">
        <v>27</v>
      </c>
      <c r="P1957" t="s">
        <v>31</v>
      </c>
      <c r="Q1957" t="s">
        <v>31</v>
      </c>
      <c r="R1957" t="s">
        <v>31</v>
      </c>
      <c r="S1957" t="s">
        <v>31</v>
      </c>
      <c r="T1957" t="s">
        <v>31</v>
      </c>
    </row>
    <row r="1958" spans="1:20" hidden="1" x14ac:dyDescent="0.3">
      <c r="A1958" t="s">
        <v>1295</v>
      </c>
      <c r="B1958" t="s">
        <v>39</v>
      </c>
      <c r="C1958" t="s">
        <v>40</v>
      </c>
      <c r="D1958" t="s">
        <v>41</v>
      </c>
      <c r="E1958">
        <v>2021</v>
      </c>
      <c r="F1958" t="s">
        <v>31</v>
      </c>
      <c r="G1958" t="s">
        <v>31</v>
      </c>
      <c r="H1958" t="s">
        <v>2658</v>
      </c>
      <c r="I1958" t="s">
        <v>130</v>
      </c>
      <c r="J1958" t="s">
        <v>5359</v>
      </c>
      <c r="K1958" t="s">
        <v>31</v>
      </c>
      <c r="L1958" t="s">
        <v>31</v>
      </c>
      <c r="M1958" t="s">
        <v>27</v>
      </c>
      <c r="N1958" t="s">
        <v>27</v>
      </c>
      <c r="O1958" t="s">
        <v>27</v>
      </c>
      <c r="P1958" t="s">
        <v>31</v>
      </c>
      <c r="Q1958" t="s">
        <v>31</v>
      </c>
      <c r="R1958" t="s">
        <v>31</v>
      </c>
      <c r="S1958" t="s">
        <v>31</v>
      </c>
      <c r="T1958" t="s">
        <v>31</v>
      </c>
    </row>
    <row r="1959" spans="1:20" hidden="1" x14ac:dyDescent="0.3">
      <c r="A1959" t="s">
        <v>1296</v>
      </c>
      <c r="B1959" t="s">
        <v>51</v>
      </c>
      <c r="C1959" t="s">
        <v>37</v>
      </c>
      <c r="D1959" t="s">
        <v>52</v>
      </c>
      <c r="E1959">
        <v>2021</v>
      </c>
      <c r="F1959" t="s">
        <v>31</v>
      </c>
      <c r="G1959" t="s">
        <v>31</v>
      </c>
      <c r="H1959" t="s">
        <v>2656</v>
      </c>
      <c r="I1959" t="s">
        <v>119</v>
      </c>
      <c r="J1959" t="s">
        <v>5360</v>
      </c>
      <c r="K1959" t="s">
        <v>2649</v>
      </c>
      <c r="L1959" t="s">
        <v>31</v>
      </c>
      <c r="M1959" t="s">
        <v>27</v>
      </c>
      <c r="N1959" t="s">
        <v>27</v>
      </c>
      <c r="O1959" t="s">
        <v>33</v>
      </c>
      <c r="P1959" t="s">
        <v>31</v>
      </c>
      <c r="Q1959" t="s">
        <v>31</v>
      </c>
      <c r="R1959" t="s">
        <v>31</v>
      </c>
      <c r="S1959" t="s">
        <v>31</v>
      </c>
      <c r="T1959" t="s">
        <v>31</v>
      </c>
    </row>
    <row r="1960" spans="1:20" hidden="1" x14ac:dyDescent="0.3">
      <c r="A1960" t="s">
        <v>1297</v>
      </c>
      <c r="B1960" t="s">
        <v>51</v>
      </c>
      <c r="C1960" t="s">
        <v>37</v>
      </c>
      <c r="D1960" t="s">
        <v>56</v>
      </c>
      <c r="E1960">
        <v>2021</v>
      </c>
      <c r="F1960" t="s">
        <v>31</v>
      </c>
      <c r="G1960" t="s">
        <v>5361</v>
      </c>
      <c r="H1960" t="s">
        <v>2749</v>
      </c>
      <c r="I1960" t="s">
        <v>45</v>
      </c>
      <c r="J1960" t="s">
        <v>5362</v>
      </c>
      <c r="K1960" t="s">
        <v>2649</v>
      </c>
      <c r="L1960" t="s">
        <v>31</v>
      </c>
      <c r="M1960" t="s">
        <v>27</v>
      </c>
      <c r="N1960" t="s">
        <v>27</v>
      </c>
      <c r="O1960" t="s">
        <v>27</v>
      </c>
      <c r="P1960" t="s">
        <v>31</v>
      </c>
      <c r="Q1960" t="s">
        <v>31</v>
      </c>
      <c r="R1960" t="s">
        <v>31</v>
      </c>
      <c r="S1960" t="s">
        <v>31</v>
      </c>
      <c r="T1960" t="s">
        <v>31</v>
      </c>
    </row>
    <row r="1961" spans="1:20" hidden="1" x14ac:dyDescent="0.3">
      <c r="A1961" t="s">
        <v>1298</v>
      </c>
      <c r="B1961" t="s">
        <v>91</v>
      </c>
      <c r="C1961" t="s">
        <v>2712</v>
      </c>
      <c r="D1961" t="s">
        <v>180</v>
      </c>
      <c r="E1961">
        <v>2021</v>
      </c>
      <c r="F1961">
        <v>325000</v>
      </c>
      <c r="G1961" t="s">
        <v>5363</v>
      </c>
      <c r="H1961" t="s">
        <v>2903</v>
      </c>
      <c r="I1961" t="s">
        <v>148</v>
      </c>
      <c r="J1961" t="s">
        <v>5364</v>
      </c>
      <c r="K1961" t="s">
        <v>31</v>
      </c>
      <c r="L1961" t="s">
        <v>31</v>
      </c>
      <c r="M1961" t="s">
        <v>33</v>
      </c>
      <c r="N1961" t="s">
        <v>33</v>
      </c>
      <c r="O1961" t="s">
        <v>27</v>
      </c>
      <c r="P1961" t="s">
        <v>31</v>
      </c>
      <c r="Q1961" t="s">
        <v>31</v>
      </c>
      <c r="R1961" t="s">
        <v>31</v>
      </c>
      <c r="S1961" t="s">
        <v>31</v>
      </c>
      <c r="T1961" t="s">
        <v>31</v>
      </c>
    </row>
    <row r="1962" spans="1:20" hidden="1" x14ac:dyDescent="0.3">
      <c r="A1962" t="s">
        <v>1299</v>
      </c>
      <c r="B1962" t="s">
        <v>51</v>
      </c>
      <c r="C1962" t="s">
        <v>37</v>
      </c>
      <c r="D1962" t="s">
        <v>56</v>
      </c>
      <c r="E1962">
        <v>2021</v>
      </c>
      <c r="F1962" t="s">
        <v>31</v>
      </c>
      <c r="G1962" t="s">
        <v>31</v>
      </c>
      <c r="H1962" t="s">
        <v>2656</v>
      </c>
      <c r="I1962" t="s">
        <v>119</v>
      </c>
      <c r="J1962" t="s">
        <v>5365</v>
      </c>
      <c r="K1962" t="s">
        <v>31</v>
      </c>
      <c r="L1962" t="s">
        <v>29</v>
      </c>
      <c r="M1962" t="s">
        <v>27</v>
      </c>
      <c r="N1962" t="s">
        <v>27</v>
      </c>
      <c r="O1962" t="s">
        <v>33</v>
      </c>
      <c r="P1962" t="s">
        <v>31</v>
      </c>
      <c r="Q1962" t="s">
        <v>31</v>
      </c>
      <c r="R1962" t="s">
        <v>31</v>
      </c>
      <c r="S1962" t="s">
        <v>31</v>
      </c>
      <c r="T1962" t="s">
        <v>31</v>
      </c>
    </row>
    <row r="1963" spans="1:20" hidden="1" x14ac:dyDescent="0.3">
      <c r="A1963" t="s">
        <v>1300</v>
      </c>
      <c r="B1963" t="s">
        <v>51</v>
      </c>
      <c r="C1963" t="s">
        <v>37</v>
      </c>
      <c r="D1963" t="s">
        <v>52</v>
      </c>
      <c r="E1963">
        <v>2021</v>
      </c>
      <c r="F1963" t="s">
        <v>31</v>
      </c>
      <c r="G1963" t="s">
        <v>31</v>
      </c>
      <c r="H1963" t="s">
        <v>2647</v>
      </c>
      <c r="I1963" t="s">
        <v>47</v>
      </c>
      <c r="J1963" t="s">
        <v>5366</v>
      </c>
      <c r="K1963" t="s">
        <v>2649</v>
      </c>
      <c r="L1963" t="s">
        <v>54</v>
      </c>
      <c r="M1963" t="s">
        <v>27</v>
      </c>
      <c r="N1963" t="s">
        <v>27</v>
      </c>
      <c r="O1963" t="s">
        <v>33</v>
      </c>
      <c r="P1963" t="s">
        <v>31</v>
      </c>
      <c r="Q1963" t="s">
        <v>31</v>
      </c>
      <c r="R1963" t="s">
        <v>31</v>
      </c>
      <c r="S1963" t="s">
        <v>31</v>
      </c>
      <c r="T1963" t="s">
        <v>31</v>
      </c>
    </row>
    <row r="1964" spans="1:20" hidden="1" x14ac:dyDescent="0.3">
      <c r="A1964" t="s">
        <v>1301</v>
      </c>
      <c r="B1964" t="s">
        <v>51</v>
      </c>
      <c r="C1964" t="s">
        <v>37</v>
      </c>
      <c r="D1964" t="s">
        <v>56</v>
      </c>
      <c r="E1964">
        <v>2021</v>
      </c>
      <c r="F1964" t="s">
        <v>31</v>
      </c>
      <c r="G1964" t="s">
        <v>31</v>
      </c>
      <c r="H1964" t="s">
        <v>2647</v>
      </c>
      <c r="I1964" t="s">
        <v>47</v>
      </c>
      <c r="J1964" t="s">
        <v>5367</v>
      </c>
      <c r="K1964" t="s">
        <v>2649</v>
      </c>
      <c r="L1964" t="s">
        <v>31</v>
      </c>
      <c r="M1964" t="s">
        <v>27</v>
      </c>
      <c r="N1964" t="s">
        <v>27</v>
      </c>
      <c r="O1964" t="s">
        <v>33</v>
      </c>
      <c r="P1964" t="s">
        <v>31</v>
      </c>
      <c r="Q1964" t="s">
        <v>31</v>
      </c>
      <c r="R1964" t="s">
        <v>31</v>
      </c>
      <c r="S1964" t="s">
        <v>31</v>
      </c>
      <c r="T1964" t="s">
        <v>5368</v>
      </c>
    </row>
    <row r="1965" spans="1:20" hidden="1" x14ac:dyDescent="0.3">
      <c r="A1965" t="s">
        <v>1302</v>
      </c>
      <c r="B1965" t="s">
        <v>51</v>
      </c>
      <c r="C1965" t="s">
        <v>37</v>
      </c>
      <c r="D1965" t="s">
        <v>121</v>
      </c>
      <c r="E1965">
        <v>2021</v>
      </c>
      <c r="F1965" t="s">
        <v>31</v>
      </c>
      <c r="G1965" t="s">
        <v>31</v>
      </c>
      <c r="H1965" t="s">
        <v>2647</v>
      </c>
      <c r="I1965" t="s">
        <v>47</v>
      </c>
      <c r="J1965" t="s">
        <v>5369</v>
      </c>
      <c r="K1965" t="s">
        <v>2649</v>
      </c>
      <c r="L1965" t="s">
        <v>31</v>
      </c>
      <c r="M1965" t="s">
        <v>27</v>
      </c>
      <c r="N1965" t="s">
        <v>27</v>
      </c>
      <c r="O1965" t="s">
        <v>27</v>
      </c>
      <c r="P1965" t="s">
        <v>31</v>
      </c>
      <c r="Q1965" t="s">
        <v>31</v>
      </c>
      <c r="R1965" t="s">
        <v>31</v>
      </c>
      <c r="S1965" t="s">
        <v>31</v>
      </c>
      <c r="T1965" t="s">
        <v>5370</v>
      </c>
    </row>
    <row r="1966" spans="1:20" hidden="1" x14ac:dyDescent="0.3">
      <c r="A1966" t="s">
        <v>1303</v>
      </c>
      <c r="B1966" t="s">
        <v>28</v>
      </c>
      <c r="C1966" t="s">
        <v>29</v>
      </c>
      <c r="D1966" t="s">
        <v>189</v>
      </c>
      <c r="E1966">
        <v>2021</v>
      </c>
      <c r="F1966">
        <v>375000</v>
      </c>
      <c r="G1966" t="s">
        <v>31</v>
      </c>
      <c r="H1966" t="s">
        <v>2645</v>
      </c>
      <c r="I1966" t="s">
        <v>34</v>
      </c>
      <c r="J1966" t="s">
        <v>5371</v>
      </c>
      <c r="K1966" t="s">
        <v>31</v>
      </c>
      <c r="L1966" t="s">
        <v>666</v>
      </c>
      <c r="M1966" t="s">
        <v>27</v>
      </c>
      <c r="N1966" t="s">
        <v>27</v>
      </c>
      <c r="O1966" t="s">
        <v>27</v>
      </c>
      <c r="P1966" t="s">
        <v>31</v>
      </c>
      <c r="Q1966" t="s">
        <v>31</v>
      </c>
      <c r="R1966" t="s">
        <v>31</v>
      </c>
      <c r="S1966" t="s">
        <v>31</v>
      </c>
      <c r="T1966" t="s">
        <v>31</v>
      </c>
    </row>
    <row r="1967" spans="1:20" hidden="1" x14ac:dyDescent="0.3">
      <c r="A1967" t="s">
        <v>1304</v>
      </c>
      <c r="B1967" t="s">
        <v>51</v>
      </c>
      <c r="C1967" t="s">
        <v>37</v>
      </c>
      <c r="D1967" t="s">
        <v>52</v>
      </c>
      <c r="E1967">
        <v>2021</v>
      </c>
      <c r="F1967" t="s">
        <v>31</v>
      </c>
      <c r="G1967" t="s">
        <v>31</v>
      </c>
      <c r="H1967" t="s">
        <v>2774</v>
      </c>
      <c r="I1967" t="s">
        <v>166</v>
      </c>
      <c r="J1967" t="s">
        <v>5372</v>
      </c>
      <c r="K1967" t="s">
        <v>2649</v>
      </c>
      <c r="L1967" t="s">
        <v>54</v>
      </c>
      <c r="M1967" t="s">
        <v>27</v>
      </c>
      <c r="N1967" t="s">
        <v>27</v>
      </c>
      <c r="O1967" t="s">
        <v>27</v>
      </c>
      <c r="P1967" t="s">
        <v>31</v>
      </c>
      <c r="Q1967" t="s">
        <v>31</v>
      </c>
      <c r="R1967" t="s">
        <v>31</v>
      </c>
      <c r="S1967" t="s">
        <v>31</v>
      </c>
      <c r="T1967" t="s">
        <v>31</v>
      </c>
    </row>
    <row r="1968" spans="1:20" x14ac:dyDescent="0.3">
      <c r="A1968" t="s">
        <v>1305</v>
      </c>
      <c r="B1968" t="s">
        <v>51</v>
      </c>
      <c r="C1968" t="s">
        <v>37</v>
      </c>
      <c r="D1968" t="s">
        <v>56</v>
      </c>
      <c r="E1968">
        <v>2021</v>
      </c>
      <c r="F1968">
        <v>13000</v>
      </c>
      <c r="G1968" t="s">
        <v>31</v>
      </c>
      <c r="H1968" t="s">
        <v>2656</v>
      </c>
      <c r="I1968" t="s">
        <v>119</v>
      </c>
      <c r="J1968" t="s">
        <v>2610</v>
      </c>
      <c r="K1968" t="s">
        <v>2649</v>
      </c>
      <c r="L1968" t="s">
        <v>54</v>
      </c>
      <c r="M1968" t="s">
        <v>27</v>
      </c>
      <c r="N1968" t="s">
        <v>27</v>
      </c>
      <c r="O1968" t="s">
        <v>33</v>
      </c>
      <c r="P1968" t="s">
        <v>31</v>
      </c>
      <c r="Q1968" t="s">
        <v>31</v>
      </c>
      <c r="R1968" t="s">
        <v>31</v>
      </c>
      <c r="S1968" t="s">
        <v>31</v>
      </c>
      <c r="T1968" t="s">
        <v>31</v>
      </c>
    </row>
    <row r="1969" spans="1:20" hidden="1" x14ac:dyDescent="0.3">
      <c r="A1969" t="s">
        <v>1306</v>
      </c>
      <c r="B1969" t="s">
        <v>28</v>
      </c>
      <c r="C1969" t="s">
        <v>29</v>
      </c>
      <c r="D1969" t="s">
        <v>30</v>
      </c>
      <c r="E1969">
        <v>2021</v>
      </c>
      <c r="F1969">
        <v>50000</v>
      </c>
      <c r="G1969" t="s">
        <v>31</v>
      </c>
      <c r="H1969" t="s">
        <v>2672</v>
      </c>
      <c r="I1969" t="s">
        <v>73</v>
      </c>
      <c r="J1969" t="s">
        <v>5373</v>
      </c>
      <c r="K1969" t="s">
        <v>31</v>
      </c>
      <c r="L1969" t="s">
        <v>82</v>
      </c>
      <c r="M1969" t="s">
        <v>27</v>
      </c>
      <c r="N1969" t="s">
        <v>27</v>
      </c>
      <c r="O1969" t="s">
        <v>27</v>
      </c>
      <c r="P1969" t="s">
        <v>31</v>
      </c>
      <c r="Q1969">
        <v>93</v>
      </c>
      <c r="R1969" t="s">
        <v>31</v>
      </c>
      <c r="S1969" t="s">
        <v>31</v>
      </c>
      <c r="T1969" t="s">
        <v>31</v>
      </c>
    </row>
    <row r="1970" spans="1:20" hidden="1" x14ac:dyDescent="0.3">
      <c r="A1970" t="s">
        <v>1307</v>
      </c>
      <c r="B1970" t="s">
        <v>28</v>
      </c>
      <c r="C1970" t="s">
        <v>29</v>
      </c>
      <c r="D1970" t="s">
        <v>30</v>
      </c>
      <c r="E1970">
        <v>2021</v>
      </c>
      <c r="F1970" t="s">
        <v>31</v>
      </c>
      <c r="G1970" t="s">
        <v>5329</v>
      </c>
      <c r="H1970" t="s">
        <v>2716</v>
      </c>
      <c r="I1970" t="s">
        <v>242</v>
      </c>
      <c r="J1970" t="s">
        <v>5374</v>
      </c>
      <c r="K1970" t="s">
        <v>31</v>
      </c>
      <c r="L1970" t="s">
        <v>54</v>
      </c>
      <c r="M1970" t="s">
        <v>27</v>
      </c>
      <c r="N1970" t="s">
        <v>27</v>
      </c>
      <c r="O1970" t="s">
        <v>27</v>
      </c>
      <c r="P1970" t="s">
        <v>31</v>
      </c>
      <c r="Q1970">
        <v>100</v>
      </c>
      <c r="R1970" t="s">
        <v>31</v>
      </c>
      <c r="S1970" t="s">
        <v>31</v>
      </c>
      <c r="T1970" t="s">
        <v>31</v>
      </c>
    </row>
    <row r="1971" spans="1:20" hidden="1" x14ac:dyDescent="0.3">
      <c r="A1971" t="s">
        <v>1308</v>
      </c>
      <c r="B1971" t="s">
        <v>28</v>
      </c>
      <c r="C1971" t="s">
        <v>29</v>
      </c>
      <c r="D1971" t="s">
        <v>30</v>
      </c>
      <c r="E1971">
        <v>2021</v>
      </c>
      <c r="F1971">
        <v>1200000</v>
      </c>
      <c r="G1971" t="s">
        <v>5329</v>
      </c>
      <c r="H1971" t="s">
        <v>2645</v>
      </c>
      <c r="I1971" t="s">
        <v>34</v>
      </c>
      <c r="J1971" t="s">
        <v>5375</v>
      </c>
      <c r="K1971" t="s">
        <v>31</v>
      </c>
      <c r="L1971" t="s">
        <v>37</v>
      </c>
      <c r="M1971" t="s">
        <v>27</v>
      </c>
      <c r="N1971" t="s">
        <v>27</v>
      </c>
      <c r="O1971" t="s">
        <v>33</v>
      </c>
      <c r="P1971" t="s">
        <v>31</v>
      </c>
      <c r="Q1971">
        <v>100</v>
      </c>
      <c r="R1971" t="s">
        <v>31</v>
      </c>
      <c r="S1971" t="s">
        <v>31</v>
      </c>
      <c r="T1971" t="s">
        <v>31</v>
      </c>
    </row>
    <row r="1972" spans="1:20" hidden="1" x14ac:dyDescent="0.3">
      <c r="A1972" t="s">
        <v>1309</v>
      </c>
      <c r="B1972" t="s">
        <v>39</v>
      </c>
      <c r="C1972" t="s">
        <v>40</v>
      </c>
      <c r="D1972" t="s">
        <v>41</v>
      </c>
      <c r="E1972">
        <v>2021</v>
      </c>
      <c r="F1972">
        <v>3000000</v>
      </c>
      <c r="G1972" t="s">
        <v>31</v>
      </c>
      <c r="H1972" t="s">
        <v>2645</v>
      </c>
      <c r="I1972" t="s">
        <v>34</v>
      </c>
      <c r="J1972" t="s">
        <v>5376</v>
      </c>
      <c r="K1972" t="s">
        <v>5377</v>
      </c>
      <c r="L1972" t="s">
        <v>31</v>
      </c>
      <c r="M1972" t="s">
        <v>27</v>
      </c>
      <c r="N1972" t="s">
        <v>27</v>
      </c>
      <c r="O1972" t="s">
        <v>27</v>
      </c>
      <c r="P1972" t="s">
        <v>31</v>
      </c>
      <c r="Q1972" t="s">
        <v>31</v>
      </c>
      <c r="R1972" t="s">
        <v>31</v>
      </c>
      <c r="S1972" t="s">
        <v>31</v>
      </c>
      <c r="T1972" t="s">
        <v>31</v>
      </c>
    </row>
    <row r="1973" spans="1:20" hidden="1" x14ac:dyDescent="0.3">
      <c r="A1973" t="s">
        <v>1310</v>
      </c>
      <c r="B1973" t="s">
        <v>91</v>
      </c>
      <c r="C1973" t="s">
        <v>92</v>
      </c>
      <c r="D1973" t="s">
        <v>93</v>
      </c>
      <c r="E1973">
        <v>2021</v>
      </c>
      <c r="F1973">
        <v>1620071</v>
      </c>
      <c r="G1973" t="s">
        <v>5378</v>
      </c>
      <c r="H1973" t="s">
        <v>2749</v>
      </c>
      <c r="I1973" t="s">
        <v>45</v>
      </c>
      <c r="J1973" t="s">
        <v>5379</v>
      </c>
      <c r="K1973" t="s">
        <v>31</v>
      </c>
      <c r="L1973" t="s">
        <v>31</v>
      </c>
      <c r="M1973" t="s">
        <v>33</v>
      </c>
      <c r="N1973" t="s">
        <v>27</v>
      </c>
      <c r="O1973" t="s">
        <v>33</v>
      </c>
      <c r="P1973" t="s">
        <v>31</v>
      </c>
      <c r="Q1973">
        <v>7.2</v>
      </c>
      <c r="R1973">
        <v>18.408000000000001</v>
      </c>
      <c r="S1973">
        <v>-73.474999999999994</v>
      </c>
      <c r="T1973" t="s">
        <v>31</v>
      </c>
    </row>
    <row r="1974" spans="1:20" hidden="1" x14ac:dyDescent="0.3">
      <c r="A1974" t="s">
        <v>1311</v>
      </c>
      <c r="B1974" t="s">
        <v>28</v>
      </c>
      <c r="C1974" t="s">
        <v>29</v>
      </c>
      <c r="D1974" t="s">
        <v>64</v>
      </c>
      <c r="E1974">
        <v>2021</v>
      </c>
      <c r="F1974">
        <v>1200000</v>
      </c>
      <c r="G1974" t="s">
        <v>31</v>
      </c>
      <c r="H1974" t="s">
        <v>2645</v>
      </c>
      <c r="I1974" t="s">
        <v>34</v>
      </c>
      <c r="J1974" t="s">
        <v>5380</v>
      </c>
      <c r="K1974" t="s">
        <v>31</v>
      </c>
      <c r="L1974" t="s">
        <v>100</v>
      </c>
      <c r="M1974" t="s">
        <v>27</v>
      </c>
      <c r="N1974" t="s">
        <v>27</v>
      </c>
      <c r="O1974" t="s">
        <v>27</v>
      </c>
      <c r="P1974" t="s">
        <v>31</v>
      </c>
      <c r="Q1974" t="s">
        <v>31</v>
      </c>
      <c r="R1974" t="s">
        <v>31</v>
      </c>
      <c r="S1974" t="s">
        <v>31</v>
      </c>
      <c r="T1974" t="s">
        <v>31</v>
      </c>
    </row>
    <row r="1975" spans="1:20" hidden="1" x14ac:dyDescent="0.3">
      <c r="A1975" t="s">
        <v>1312</v>
      </c>
      <c r="B1975" t="s">
        <v>51</v>
      </c>
      <c r="C1975" t="s">
        <v>37</v>
      </c>
      <c r="D1975" t="s">
        <v>56</v>
      </c>
      <c r="E1975">
        <v>2021</v>
      </c>
      <c r="F1975">
        <v>300000</v>
      </c>
      <c r="G1975" t="s">
        <v>31</v>
      </c>
      <c r="H1975" t="s">
        <v>2645</v>
      </c>
      <c r="I1975" t="s">
        <v>34</v>
      </c>
      <c r="J1975" t="s">
        <v>5381</v>
      </c>
      <c r="K1975" t="s">
        <v>5382</v>
      </c>
      <c r="L1975" t="s">
        <v>29</v>
      </c>
      <c r="M1975" t="s">
        <v>27</v>
      </c>
      <c r="N1975" t="s">
        <v>27</v>
      </c>
      <c r="O1975" t="s">
        <v>33</v>
      </c>
      <c r="P1975" t="s">
        <v>31</v>
      </c>
      <c r="Q1975" t="s">
        <v>31</v>
      </c>
      <c r="R1975" t="s">
        <v>31</v>
      </c>
      <c r="S1975" t="s">
        <v>31</v>
      </c>
      <c r="T1975" t="s">
        <v>31</v>
      </c>
    </row>
    <row r="1976" spans="1:20" hidden="1" x14ac:dyDescent="0.3">
      <c r="A1976" t="s">
        <v>1313</v>
      </c>
      <c r="B1976" t="s">
        <v>28</v>
      </c>
      <c r="C1976" t="s">
        <v>29</v>
      </c>
      <c r="D1976" t="s">
        <v>30</v>
      </c>
      <c r="E1976">
        <v>2021</v>
      </c>
      <c r="F1976">
        <v>500000</v>
      </c>
      <c r="G1976" t="s">
        <v>5383</v>
      </c>
      <c r="H1976" t="s">
        <v>2672</v>
      </c>
      <c r="I1976" t="s">
        <v>73</v>
      </c>
      <c r="J1976" t="s">
        <v>5384</v>
      </c>
      <c r="K1976" t="s">
        <v>31</v>
      </c>
      <c r="L1976" t="s">
        <v>82</v>
      </c>
      <c r="M1976" t="s">
        <v>27</v>
      </c>
      <c r="N1976" t="s">
        <v>27</v>
      </c>
      <c r="O1976" t="s">
        <v>27</v>
      </c>
      <c r="P1976" t="s">
        <v>31</v>
      </c>
      <c r="Q1976">
        <v>205</v>
      </c>
      <c r="R1976" t="s">
        <v>31</v>
      </c>
      <c r="S1976" t="s">
        <v>31</v>
      </c>
      <c r="T1976" t="s">
        <v>31</v>
      </c>
    </row>
    <row r="1977" spans="1:20" hidden="1" x14ac:dyDescent="0.3">
      <c r="A1977" t="s">
        <v>1314</v>
      </c>
      <c r="B1977" t="s">
        <v>28</v>
      </c>
      <c r="C1977" t="s">
        <v>29</v>
      </c>
      <c r="D1977" t="s">
        <v>30</v>
      </c>
      <c r="E1977">
        <v>2021</v>
      </c>
      <c r="F1977">
        <v>65000000</v>
      </c>
      <c r="G1977" t="s">
        <v>5385</v>
      </c>
      <c r="H1977" t="s">
        <v>2645</v>
      </c>
      <c r="I1977" t="s">
        <v>34</v>
      </c>
      <c r="J1977" t="s">
        <v>5386</v>
      </c>
      <c r="K1977" t="s">
        <v>31</v>
      </c>
      <c r="L1977" t="s">
        <v>37</v>
      </c>
      <c r="M1977" t="s">
        <v>27</v>
      </c>
      <c r="N1977" t="s">
        <v>27</v>
      </c>
      <c r="O1977" t="s">
        <v>33</v>
      </c>
      <c r="P1977" t="s">
        <v>31</v>
      </c>
      <c r="Q1977">
        <v>240</v>
      </c>
      <c r="R1977" t="s">
        <v>31</v>
      </c>
      <c r="S1977" t="s">
        <v>31</v>
      </c>
      <c r="T1977" t="s">
        <v>31</v>
      </c>
    </row>
    <row r="1978" spans="1:20" hidden="1" x14ac:dyDescent="0.3">
      <c r="A1978" t="s">
        <v>1315</v>
      </c>
      <c r="B1978" t="s">
        <v>51</v>
      </c>
      <c r="C1978" t="s">
        <v>37</v>
      </c>
      <c r="D1978" t="s">
        <v>56</v>
      </c>
      <c r="E1978">
        <v>2021</v>
      </c>
      <c r="F1978">
        <v>25000</v>
      </c>
      <c r="G1978" t="s">
        <v>31</v>
      </c>
      <c r="H1978" t="s">
        <v>2645</v>
      </c>
      <c r="I1978" t="s">
        <v>34</v>
      </c>
      <c r="J1978" t="s">
        <v>5387</v>
      </c>
      <c r="K1978" t="s">
        <v>31</v>
      </c>
      <c r="L1978" t="s">
        <v>31</v>
      </c>
      <c r="M1978" t="s">
        <v>27</v>
      </c>
      <c r="N1978" t="s">
        <v>27</v>
      </c>
      <c r="O1978" t="s">
        <v>27</v>
      </c>
      <c r="P1978" t="s">
        <v>31</v>
      </c>
      <c r="Q1978" t="s">
        <v>31</v>
      </c>
      <c r="R1978" t="s">
        <v>31</v>
      </c>
      <c r="S1978" t="s">
        <v>31</v>
      </c>
      <c r="T1978" t="s">
        <v>31</v>
      </c>
    </row>
    <row r="1979" spans="1:20" hidden="1" x14ac:dyDescent="0.3">
      <c r="A1979" t="s">
        <v>1316</v>
      </c>
      <c r="B1979" t="s">
        <v>51</v>
      </c>
      <c r="C1979" t="s">
        <v>37</v>
      </c>
      <c r="D1979" t="s">
        <v>56</v>
      </c>
      <c r="E1979">
        <v>2021</v>
      </c>
      <c r="F1979">
        <v>50000</v>
      </c>
      <c r="G1979" t="s">
        <v>31</v>
      </c>
      <c r="H1979" t="s">
        <v>2672</v>
      </c>
      <c r="I1979" t="s">
        <v>73</v>
      </c>
      <c r="J1979" t="s">
        <v>5388</v>
      </c>
      <c r="K1979" t="s">
        <v>2649</v>
      </c>
      <c r="L1979" t="s">
        <v>31</v>
      </c>
      <c r="M1979" t="s">
        <v>27</v>
      </c>
      <c r="N1979" t="s">
        <v>27</v>
      </c>
      <c r="O1979" t="s">
        <v>27</v>
      </c>
      <c r="P1979" t="s">
        <v>31</v>
      </c>
      <c r="Q1979" t="s">
        <v>31</v>
      </c>
      <c r="R1979" t="s">
        <v>31</v>
      </c>
      <c r="S1979" t="s">
        <v>31</v>
      </c>
      <c r="T1979" t="s">
        <v>5389</v>
      </c>
    </row>
    <row r="1980" spans="1:20" hidden="1" x14ac:dyDescent="0.3">
      <c r="A1980" t="s">
        <v>1317</v>
      </c>
      <c r="B1980" t="s">
        <v>51</v>
      </c>
      <c r="C1980" t="s">
        <v>37</v>
      </c>
      <c r="D1980" t="s">
        <v>121</v>
      </c>
      <c r="E1980">
        <v>2021</v>
      </c>
      <c r="F1980" t="s">
        <v>31</v>
      </c>
      <c r="G1980" t="s">
        <v>31</v>
      </c>
      <c r="H1980" t="s">
        <v>2647</v>
      </c>
      <c r="I1980" t="s">
        <v>47</v>
      </c>
      <c r="J1980" t="s">
        <v>5390</v>
      </c>
      <c r="K1980" t="s">
        <v>31</v>
      </c>
      <c r="L1980" t="s">
        <v>31</v>
      </c>
      <c r="M1980" t="s">
        <v>27</v>
      </c>
      <c r="N1980" t="s">
        <v>27</v>
      </c>
      <c r="O1980" t="s">
        <v>27</v>
      </c>
      <c r="P1980" t="s">
        <v>31</v>
      </c>
      <c r="Q1980" t="s">
        <v>31</v>
      </c>
      <c r="R1980" t="s">
        <v>31</v>
      </c>
      <c r="S1980" t="s">
        <v>31</v>
      </c>
      <c r="T1980" t="s">
        <v>5391</v>
      </c>
    </row>
    <row r="1981" spans="1:20" hidden="1" x14ac:dyDescent="0.3">
      <c r="A1981" t="s">
        <v>1318</v>
      </c>
      <c r="B1981" t="s">
        <v>39</v>
      </c>
      <c r="C1981" t="s">
        <v>40</v>
      </c>
      <c r="D1981" t="s">
        <v>142</v>
      </c>
      <c r="E1981">
        <v>2021</v>
      </c>
      <c r="F1981" t="s">
        <v>31</v>
      </c>
      <c r="G1981" t="s">
        <v>5392</v>
      </c>
      <c r="H1981" t="s">
        <v>2753</v>
      </c>
      <c r="I1981" t="s">
        <v>49</v>
      </c>
      <c r="J1981" t="s">
        <v>5393</v>
      </c>
      <c r="K1981" t="s">
        <v>5394</v>
      </c>
      <c r="L1981" t="s">
        <v>31</v>
      </c>
      <c r="M1981" t="s">
        <v>27</v>
      </c>
      <c r="N1981" t="s">
        <v>27</v>
      </c>
      <c r="O1981" t="s">
        <v>33</v>
      </c>
      <c r="P1981" t="s">
        <v>31</v>
      </c>
      <c r="Q1981" t="s">
        <v>31</v>
      </c>
      <c r="R1981" t="s">
        <v>31</v>
      </c>
      <c r="S1981" t="s">
        <v>31</v>
      </c>
      <c r="T1981" t="s">
        <v>31</v>
      </c>
    </row>
    <row r="1982" spans="1:20" hidden="1" x14ac:dyDescent="0.3">
      <c r="A1982" t="s">
        <v>1319</v>
      </c>
      <c r="B1982" t="s">
        <v>28</v>
      </c>
      <c r="C1982" t="s">
        <v>29</v>
      </c>
      <c r="D1982" t="s">
        <v>30</v>
      </c>
      <c r="E1982">
        <v>2021</v>
      </c>
      <c r="F1982">
        <v>10000</v>
      </c>
      <c r="G1982" t="s">
        <v>31</v>
      </c>
      <c r="H1982" t="s">
        <v>2672</v>
      </c>
      <c r="I1982" t="s">
        <v>73</v>
      </c>
      <c r="J1982" t="s">
        <v>5395</v>
      </c>
      <c r="K1982" t="s">
        <v>31</v>
      </c>
      <c r="L1982" t="s">
        <v>37</v>
      </c>
      <c r="M1982" t="s">
        <v>27</v>
      </c>
      <c r="N1982" t="s">
        <v>27</v>
      </c>
      <c r="O1982" t="s">
        <v>27</v>
      </c>
      <c r="P1982" t="s">
        <v>31</v>
      </c>
      <c r="Q1982">
        <v>165</v>
      </c>
      <c r="R1982" t="s">
        <v>31</v>
      </c>
      <c r="S1982" t="s">
        <v>31</v>
      </c>
      <c r="T1982" t="s">
        <v>31</v>
      </c>
    </row>
    <row r="1983" spans="1:20" hidden="1" x14ac:dyDescent="0.3">
      <c r="A1983" t="s">
        <v>1320</v>
      </c>
      <c r="B1983" t="s">
        <v>91</v>
      </c>
      <c r="C1983" t="s">
        <v>92</v>
      </c>
      <c r="D1983" t="s">
        <v>93</v>
      </c>
      <c r="E1983">
        <v>2021</v>
      </c>
      <c r="F1983" t="s">
        <v>31</v>
      </c>
      <c r="G1983" t="s">
        <v>5396</v>
      </c>
      <c r="H1983" t="s">
        <v>2666</v>
      </c>
      <c r="I1983" t="s">
        <v>109</v>
      </c>
      <c r="J1983" t="s">
        <v>31</v>
      </c>
      <c r="K1983" t="s">
        <v>31</v>
      </c>
      <c r="L1983" t="s">
        <v>31</v>
      </c>
      <c r="M1983" t="s">
        <v>27</v>
      </c>
      <c r="N1983" t="s">
        <v>27</v>
      </c>
      <c r="O1983" t="s">
        <v>27</v>
      </c>
      <c r="P1983" t="s">
        <v>31</v>
      </c>
      <c r="Q1983">
        <v>7.2</v>
      </c>
      <c r="R1983">
        <v>-4.49</v>
      </c>
      <c r="S1983">
        <v>-76.846000000000004</v>
      </c>
      <c r="T1983" t="s">
        <v>31</v>
      </c>
    </row>
    <row r="1984" spans="1:20" hidden="1" x14ac:dyDescent="0.3">
      <c r="A1984" t="s">
        <v>1878</v>
      </c>
      <c r="B1984" t="s">
        <v>28</v>
      </c>
      <c r="C1984" t="s">
        <v>29</v>
      </c>
      <c r="D1984" t="s">
        <v>99</v>
      </c>
      <c r="E1984">
        <v>2021</v>
      </c>
      <c r="F1984">
        <v>1300000</v>
      </c>
      <c r="G1984" t="s">
        <v>5397</v>
      </c>
      <c r="H1984" t="s">
        <v>2645</v>
      </c>
      <c r="I1984" t="s">
        <v>34</v>
      </c>
      <c r="J1984" t="s">
        <v>5398</v>
      </c>
      <c r="K1984" t="s">
        <v>31</v>
      </c>
      <c r="L1984" t="s">
        <v>31</v>
      </c>
      <c r="M1984" t="s">
        <v>27</v>
      </c>
      <c r="N1984" t="s">
        <v>27</v>
      </c>
      <c r="O1984" t="s">
        <v>27</v>
      </c>
      <c r="P1984" t="s">
        <v>31</v>
      </c>
      <c r="Q1984" t="s">
        <v>31</v>
      </c>
      <c r="R1984" t="s">
        <v>31</v>
      </c>
      <c r="S1984" t="s">
        <v>31</v>
      </c>
      <c r="T1984" t="s">
        <v>31</v>
      </c>
    </row>
    <row r="1985" spans="1:20" hidden="1" x14ac:dyDescent="0.3">
      <c r="A1985" t="s">
        <v>1910</v>
      </c>
      <c r="B1985" t="s">
        <v>91</v>
      </c>
      <c r="C1985" t="s">
        <v>92</v>
      </c>
      <c r="D1985" t="s">
        <v>93</v>
      </c>
      <c r="E1985">
        <v>2021</v>
      </c>
      <c r="F1985" t="s">
        <v>31</v>
      </c>
      <c r="G1985" t="s">
        <v>31</v>
      </c>
      <c r="H1985" t="s">
        <v>2658</v>
      </c>
      <c r="I1985" t="s">
        <v>130</v>
      </c>
      <c r="J1985" t="s">
        <v>5399</v>
      </c>
      <c r="K1985" t="s">
        <v>31</v>
      </c>
      <c r="L1985" t="s">
        <v>31</v>
      </c>
      <c r="M1985" t="s">
        <v>27</v>
      </c>
      <c r="N1985" t="s">
        <v>27</v>
      </c>
      <c r="O1985" t="s">
        <v>27</v>
      </c>
      <c r="P1985" t="s">
        <v>31</v>
      </c>
      <c r="Q1985">
        <v>6.4</v>
      </c>
      <c r="R1985">
        <v>-31.818000000000001</v>
      </c>
      <c r="S1985">
        <v>-68.846999999999994</v>
      </c>
      <c r="T1985" t="s">
        <v>31</v>
      </c>
    </row>
    <row r="1986" spans="1:20" hidden="1" x14ac:dyDescent="0.3">
      <c r="A1986" t="s">
        <v>1911</v>
      </c>
      <c r="B1986" t="s">
        <v>28</v>
      </c>
      <c r="C1986" t="s">
        <v>29</v>
      </c>
      <c r="D1986" t="s">
        <v>64</v>
      </c>
      <c r="E1986">
        <v>2021</v>
      </c>
      <c r="F1986">
        <v>675000</v>
      </c>
      <c r="G1986" t="s">
        <v>31</v>
      </c>
      <c r="H1986" t="s">
        <v>2645</v>
      </c>
      <c r="I1986" t="s">
        <v>34</v>
      </c>
      <c r="J1986" t="s">
        <v>5400</v>
      </c>
      <c r="K1986" t="s">
        <v>31</v>
      </c>
      <c r="L1986" t="s">
        <v>82</v>
      </c>
      <c r="M1986" t="s">
        <v>27</v>
      </c>
      <c r="N1986" t="s">
        <v>27</v>
      </c>
      <c r="O1986" t="s">
        <v>27</v>
      </c>
      <c r="P1986" t="s">
        <v>31</v>
      </c>
      <c r="Q1986" t="s">
        <v>31</v>
      </c>
      <c r="R1986" t="s">
        <v>31</v>
      </c>
      <c r="S1986" t="s">
        <v>31</v>
      </c>
      <c r="T1986" t="s">
        <v>31</v>
      </c>
    </row>
    <row r="1987" spans="1:20" hidden="1" x14ac:dyDescent="0.3">
      <c r="A1987" t="s">
        <v>1912</v>
      </c>
      <c r="B1987" t="s">
        <v>51</v>
      </c>
      <c r="C1987" t="s">
        <v>37</v>
      </c>
      <c r="D1987" t="s">
        <v>52</v>
      </c>
      <c r="E1987">
        <v>2021</v>
      </c>
      <c r="F1987" t="s">
        <v>31</v>
      </c>
      <c r="G1987" t="s">
        <v>31</v>
      </c>
      <c r="H1987" t="s">
        <v>2769</v>
      </c>
      <c r="I1987" t="s">
        <v>117</v>
      </c>
      <c r="J1987" t="s">
        <v>5401</v>
      </c>
      <c r="K1987" t="s">
        <v>2649</v>
      </c>
      <c r="L1987" t="s">
        <v>54</v>
      </c>
      <c r="M1987" t="s">
        <v>27</v>
      </c>
      <c r="N1987" t="s">
        <v>27</v>
      </c>
      <c r="O1987" t="s">
        <v>27</v>
      </c>
      <c r="P1987" t="s">
        <v>31</v>
      </c>
      <c r="Q1987" t="s">
        <v>31</v>
      </c>
      <c r="R1987" t="s">
        <v>31</v>
      </c>
      <c r="S1987" t="s">
        <v>31</v>
      </c>
      <c r="T1987" t="s">
        <v>31</v>
      </c>
    </row>
    <row r="1988" spans="1:20" hidden="1" x14ac:dyDescent="0.3">
      <c r="A1988" t="s">
        <v>1913</v>
      </c>
      <c r="B1988" t="s">
        <v>51</v>
      </c>
      <c r="C1988" t="s">
        <v>37</v>
      </c>
      <c r="D1988" t="s">
        <v>52</v>
      </c>
      <c r="E1988">
        <v>2021</v>
      </c>
      <c r="F1988" t="s">
        <v>31</v>
      </c>
      <c r="G1988" t="s">
        <v>5402</v>
      </c>
      <c r="H1988" t="s">
        <v>2678</v>
      </c>
      <c r="I1988" t="s">
        <v>53</v>
      </c>
      <c r="J1988" t="s">
        <v>5403</v>
      </c>
      <c r="K1988" t="s">
        <v>2649</v>
      </c>
      <c r="L1988" t="s">
        <v>31</v>
      </c>
      <c r="M1988" t="s">
        <v>27</v>
      </c>
      <c r="N1988" t="s">
        <v>27</v>
      </c>
      <c r="O1988" t="s">
        <v>27</v>
      </c>
      <c r="P1988" t="s">
        <v>31</v>
      </c>
      <c r="Q1988" t="s">
        <v>31</v>
      </c>
      <c r="R1988" t="s">
        <v>31</v>
      </c>
      <c r="S1988" t="s">
        <v>31</v>
      </c>
      <c r="T1988" t="s">
        <v>31</v>
      </c>
    </row>
    <row r="1989" spans="1:20" hidden="1" x14ac:dyDescent="0.3">
      <c r="A1989" t="s">
        <v>1914</v>
      </c>
      <c r="B1989" t="s">
        <v>51</v>
      </c>
      <c r="C1989" t="s">
        <v>37</v>
      </c>
      <c r="D1989" t="s">
        <v>56</v>
      </c>
      <c r="E1989">
        <v>2021</v>
      </c>
      <c r="F1989" t="s">
        <v>31</v>
      </c>
      <c r="G1989" t="s">
        <v>31</v>
      </c>
      <c r="H1989" t="s">
        <v>2678</v>
      </c>
      <c r="I1989" t="s">
        <v>53</v>
      </c>
      <c r="J1989" t="s">
        <v>5404</v>
      </c>
      <c r="K1989" t="s">
        <v>31</v>
      </c>
      <c r="L1989" t="s">
        <v>54</v>
      </c>
      <c r="M1989" t="s">
        <v>27</v>
      </c>
      <c r="N1989" t="s">
        <v>27</v>
      </c>
      <c r="O1989" t="s">
        <v>27</v>
      </c>
      <c r="P1989" t="s">
        <v>31</v>
      </c>
      <c r="Q1989" t="s">
        <v>31</v>
      </c>
      <c r="R1989" t="s">
        <v>31</v>
      </c>
      <c r="S1989" t="s">
        <v>31</v>
      </c>
      <c r="T1989" t="s">
        <v>5405</v>
      </c>
    </row>
    <row r="1990" spans="1:20" hidden="1" x14ac:dyDescent="0.3">
      <c r="A1990" t="s">
        <v>1915</v>
      </c>
      <c r="B1990" t="s">
        <v>51</v>
      </c>
      <c r="C1990" t="s">
        <v>37</v>
      </c>
      <c r="D1990" t="s">
        <v>52</v>
      </c>
      <c r="E1990">
        <v>2021</v>
      </c>
      <c r="F1990">
        <v>50000</v>
      </c>
      <c r="G1990" t="s">
        <v>31</v>
      </c>
      <c r="H1990" t="s">
        <v>2645</v>
      </c>
      <c r="I1990" t="s">
        <v>34</v>
      </c>
      <c r="J1990" t="s">
        <v>5406</v>
      </c>
      <c r="K1990" t="s">
        <v>2649</v>
      </c>
      <c r="L1990" t="s">
        <v>31</v>
      </c>
      <c r="M1990" t="s">
        <v>27</v>
      </c>
      <c r="N1990" t="s">
        <v>27</v>
      </c>
      <c r="O1990" t="s">
        <v>33</v>
      </c>
      <c r="P1990" t="s">
        <v>31</v>
      </c>
      <c r="Q1990" t="s">
        <v>31</v>
      </c>
      <c r="R1990" t="s">
        <v>31</v>
      </c>
      <c r="S1990" t="s">
        <v>31</v>
      </c>
      <c r="T1990" t="s">
        <v>31</v>
      </c>
    </row>
    <row r="1991" spans="1:20" hidden="1" x14ac:dyDescent="0.3">
      <c r="A1991" t="s">
        <v>1916</v>
      </c>
      <c r="B1991" t="s">
        <v>28</v>
      </c>
      <c r="C1991" t="s">
        <v>29</v>
      </c>
      <c r="D1991" t="s">
        <v>97</v>
      </c>
      <c r="E1991">
        <v>2021</v>
      </c>
      <c r="F1991">
        <v>500000</v>
      </c>
      <c r="G1991" t="s">
        <v>31</v>
      </c>
      <c r="H1991" t="s">
        <v>2645</v>
      </c>
      <c r="I1991" t="s">
        <v>34</v>
      </c>
      <c r="J1991" t="s">
        <v>5407</v>
      </c>
      <c r="K1991" t="s">
        <v>31</v>
      </c>
      <c r="L1991" t="s">
        <v>31</v>
      </c>
      <c r="M1991" t="s">
        <v>27</v>
      </c>
      <c r="N1991" t="s">
        <v>27</v>
      </c>
      <c r="O1991" t="s">
        <v>33</v>
      </c>
      <c r="P1991" t="s">
        <v>31</v>
      </c>
      <c r="Q1991" t="s">
        <v>31</v>
      </c>
      <c r="R1991" t="s">
        <v>31</v>
      </c>
      <c r="S1991" t="s">
        <v>31</v>
      </c>
      <c r="T1991" t="s">
        <v>31</v>
      </c>
    </row>
    <row r="1992" spans="1:20" hidden="1" x14ac:dyDescent="0.3">
      <c r="A1992" t="s">
        <v>1917</v>
      </c>
      <c r="B1992" t="s">
        <v>51</v>
      </c>
      <c r="C1992" t="s">
        <v>37</v>
      </c>
      <c r="D1992" t="s">
        <v>52</v>
      </c>
      <c r="E1992">
        <v>2021</v>
      </c>
      <c r="F1992" t="s">
        <v>31</v>
      </c>
      <c r="G1992" t="s">
        <v>31</v>
      </c>
      <c r="H1992" t="s">
        <v>2647</v>
      </c>
      <c r="I1992" t="s">
        <v>47</v>
      </c>
      <c r="J1992" t="s">
        <v>5408</v>
      </c>
      <c r="K1992" t="s">
        <v>2649</v>
      </c>
      <c r="L1992" t="s">
        <v>54</v>
      </c>
      <c r="M1992" t="s">
        <v>27</v>
      </c>
      <c r="N1992" t="s">
        <v>27</v>
      </c>
      <c r="O1992" t="s">
        <v>27</v>
      </c>
      <c r="P1992" t="s">
        <v>31</v>
      </c>
      <c r="Q1992" t="s">
        <v>31</v>
      </c>
      <c r="R1992" t="s">
        <v>31</v>
      </c>
      <c r="S1992" t="s">
        <v>31</v>
      </c>
      <c r="T1992" t="s">
        <v>31</v>
      </c>
    </row>
    <row r="1993" spans="1:20" hidden="1" x14ac:dyDescent="0.3">
      <c r="A1993" t="s">
        <v>1918</v>
      </c>
      <c r="B1993" t="s">
        <v>28</v>
      </c>
      <c r="C1993" t="s">
        <v>29</v>
      </c>
      <c r="D1993" t="s">
        <v>64</v>
      </c>
      <c r="E1993">
        <v>2021</v>
      </c>
      <c r="F1993">
        <v>215000</v>
      </c>
      <c r="G1993" t="s">
        <v>31</v>
      </c>
      <c r="H1993" t="s">
        <v>2645</v>
      </c>
      <c r="I1993" t="s">
        <v>34</v>
      </c>
      <c r="J1993" t="s">
        <v>5409</v>
      </c>
      <c r="K1993" t="s">
        <v>31</v>
      </c>
      <c r="L1993" t="s">
        <v>290</v>
      </c>
      <c r="M1993" t="s">
        <v>27</v>
      </c>
      <c r="N1993" t="s">
        <v>27</v>
      </c>
      <c r="O1993" t="s">
        <v>27</v>
      </c>
      <c r="P1993" t="s">
        <v>31</v>
      </c>
      <c r="Q1993" t="s">
        <v>31</v>
      </c>
      <c r="R1993" t="s">
        <v>31</v>
      </c>
      <c r="S1993" t="s">
        <v>31</v>
      </c>
      <c r="T1993" t="s">
        <v>31</v>
      </c>
    </row>
    <row r="1994" spans="1:20" x14ac:dyDescent="0.3">
      <c r="A1994" t="s">
        <v>1919</v>
      </c>
      <c r="B1994" t="s">
        <v>51</v>
      </c>
      <c r="C1994" t="s">
        <v>37</v>
      </c>
      <c r="D1994" t="s">
        <v>52</v>
      </c>
      <c r="E1994">
        <v>2021</v>
      </c>
      <c r="F1994">
        <v>40000</v>
      </c>
      <c r="G1994" t="s">
        <v>31</v>
      </c>
      <c r="H1994" t="s">
        <v>2656</v>
      </c>
      <c r="I1994" t="s">
        <v>119</v>
      </c>
      <c r="J1994" t="s">
        <v>2624</v>
      </c>
      <c r="K1994" t="s">
        <v>2649</v>
      </c>
      <c r="L1994" t="s">
        <v>31</v>
      </c>
      <c r="M1994" t="s">
        <v>27</v>
      </c>
      <c r="N1994" t="s">
        <v>27</v>
      </c>
      <c r="O1994" t="s">
        <v>33</v>
      </c>
      <c r="P1994" t="s">
        <v>31</v>
      </c>
      <c r="Q1994" t="s">
        <v>31</v>
      </c>
      <c r="R1994" t="s">
        <v>31</v>
      </c>
      <c r="S1994" t="s">
        <v>31</v>
      </c>
      <c r="T1994" t="s">
        <v>5410</v>
      </c>
    </row>
    <row r="1995" spans="1:20" hidden="1" x14ac:dyDescent="0.3">
      <c r="A1995" t="s">
        <v>1920</v>
      </c>
      <c r="B1995" t="s">
        <v>28</v>
      </c>
      <c r="C1995" t="s">
        <v>29</v>
      </c>
      <c r="D1995" t="s">
        <v>97</v>
      </c>
      <c r="E1995">
        <v>2021</v>
      </c>
      <c r="F1995">
        <v>1300000</v>
      </c>
      <c r="G1995" t="s">
        <v>5411</v>
      </c>
      <c r="H1995" t="s">
        <v>2645</v>
      </c>
      <c r="I1995" t="s">
        <v>34</v>
      </c>
      <c r="J1995" t="s">
        <v>5412</v>
      </c>
      <c r="K1995" t="s">
        <v>31</v>
      </c>
      <c r="L1995" t="s">
        <v>100</v>
      </c>
      <c r="M1995" t="s">
        <v>27</v>
      </c>
      <c r="N1995" t="s">
        <v>27</v>
      </c>
      <c r="O1995" t="s">
        <v>27</v>
      </c>
      <c r="P1995" t="s">
        <v>31</v>
      </c>
      <c r="Q1995" t="s">
        <v>31</v>
      </c>
      <c r="R1995" t="s">
        <v>31</v>
      </c>
      <c r="S1995" t="s">
        <v>31</v>
      </c>
      <c r="T1995" t="s">
        <v>31</v>
      </c>
    </row>
    <row r="1996" spans="1:20" hidden="1" x14ac:dyDescent="0.3">
      <c r="A1996" t="s">
        <v>1921</v>
      </c>
      <c r="B1996" t="s">
        <v>39</v>
      </c>
      <c r="C1996" t="s">
        <v>40</v>
      </c>
      <c r="D1996" t="s">
        <v>142</v>
      </c>
      <c r="E1996">
        <v>2021</v>
      </c>
      <c r="F1996">
        <v>80912</v>
      </c>
      <c r="G1996" t="s">
        <v>31</v>
      </c>
      <c r="H1996" t="s">
        <v>2739</v>
      </c>
      <c r="I1996" t="s">
        <v>77</v>
      </c>
      <c r="J1996" t="s">
        <v>5413</v>
      </c>
      <c r="K1996" t="s">
        <v>31</v>
      </c>
      <c r="L1996" t="s">
        <v>95</v>
      </c>
      <c r="M1996" t="s">
        <v>27</v>
      </c>
      <c r="N1996" t="s">
        <v>27</v>
      </c>
      <c r="O1996" t="s">
        <v>27</v>
      </c>
      <c r="P1996" t="s">
        <v>31</v>
      </c>
      <c r="Q1996" t="s">
        <v>31</v>
      </c>
      <c r="R1996" t="s">
        <v>31</v>
      </c>
      <c r="S1996" t="s">
        <v>31</v>
      </c>
      <c r="T1996" t="s">
        <v>31</v>
      </c>
    </row>
    <row r="1997" spans="1:20" hidden="1" x14ac:dyDescent="0.3">
      <c r="A1997" t="s">
        <v>1922</v>
      </c>
      <c r="B1997" t="s">
        <v>28</v>
      </c>
      <c r="C1997" t="s">
        <v>29</v>
      </c>
      <c r="D1997" t="s">
        <v>30</v>
      </c>
      <c r="E1997">
        <v>2021</v>
      </c>
      <c r="F1997">
        <v>34000</v>
      </c>
      <c r="G1997" t="s">
        <v>5329</v>
      </c>
      <c r="H1997" t="s">
        <v>3184</v>
      </c>
      <c r="I1997" t="s">
        <v>246</v>
      </c>
      <c r="J1997" t="s">
        <v>5414</v>
      </c>
      <c r="K1997" t="s">
        <v>31</v>
      </c>
      <c r="L1997" t="s">
        <v>31</v>
      </c>
      <c r="M1997" t="s">
        <v>27</v>
      </c>
      <c r="N1997" t="s">
        <v>27</v>
      </c>
      <c r="O1997" t="s">
        <v>27</v>
      </c>
      <c r="P1997" t="s">
        <v>31</v>
      </c>
      <c r="Q1997" t="s">
        <v>31</v>
      </c>
      <c r="R1997" t="s">
        <v>31</v>
      </c>
      <c r="S1997" t="s">
        <v>31</v>
      </c>
      <c r="T1997" t="s">
        <v>31</v>
      </c>
    </row>
    <row r="1998" spans="1:20" hidden="1" x14ac:dyDescent="0.3">
      <c r="A1998" t="s">
        <v>1923</v>
      </c>
      <c r="B1998" t="s">
        <v>28</v>
      </c>
      <c r="C1998" t="s">
        <v>2685</v>
      </c>
      <c r="D1998" t="s">
        <v>95</v>
      </c>
      <c r="E1998">
        <v>2021</v>
      </c>
      <c r="F1998" t="s">
        <v>31</v>
      </c>
      <c r="G1998" t="s">
        <v>31</v>
      </c>
      <c r="H1998" t="s">
        <v>2645</v>
      </c>
      <c r="I1998" t="s">
        <v>34</v>
      </c>
      <c r="J1998" t="s">
        <v>5415</v>
      </c>
      <c r="K1998" t="s">
        <v>31</v>
      </c>
      <c r="L1998" t="s">
        <v>31</v>
      </c>
      <c r="M1998" t="s">
        <v>27</v>
      </c>
      <c r="N1998" t="s">
        <v>27</v>
      </c>
      <c r="O1998" t="s">
        <v>27</v>
      </c>
      <c r="P1998" t="s">
        <v>31</v>
      </c>
      <c r="Q1998">
        <v>46.8</v>
      </c>
      <c r="R1998" t="s">
        <v>31</v>
      </c>
      <c r="S1998" t="s">
        <v>31</v>
      </c>
      <c r="T1998" t="s">
        <v>31</v>
      </c>
    </row>
    <row r="1999" spans="1:20" hidden="1" x14ac:dyDescent="0.3">
      <c r="A1999" t="s">
        <v>1924</v>
      </c>
      <c r="B1999" t="s">
        <v>51</v>
      </c>
      <c r="C1999" t="s">
        <v>37</v>
      </c>
      <c r="D1999" t="s">
        <v>52</v>
      </c>
      <c r="E1999">
        <v>2021</v>
      </c>
      <c r="F1999" t="s">
        <v>31</v>
      </c>
      <c r="G1999" t="s">
        <v>31</v>
      </c>
      <c r="H1999" t="s">
        <v>3482</v>
      </c>
      <c r="I1999" t="s">
        <v>1925</v>
      </c>
      <c r="J1999" t="s">
        <v>5416</v>
      </c>
      <c r="K1999" t="s">
        <v>2649</v>
      </c>
      <c r="L1999" t="s">
        <v>31</v>
      </c>
      <c r="M1999" t="s">
        <v>27</v>
      </c>
      <c r="N1999" t="s">
        <v>27</v>
      </c>
      <c r="O1999" t="s">
        <v>27</v>
      </c>
      <c r="P1999" t="s">
        <v>31</v>
      </c>
      <c r="Q1999" t="s">
        <v>31</v>
      </c>
      <c r="R1999" t="s">
        <v>31</v>
      </c>
      <c r="S1999" t="s">
        <v>31</v>
      </c>
      <c r="T1999" t="s">
        <v>31</v>
      </c>
    </row>
    <row r="2000" spans="1:20" hidden="1" x14ac:dyDescent="0.3">
      <c r="A2000" t="s">
        <v>1926</v>
      </c>
      <c r="B2000" t="s">
        <v>39</v>
      </c>
      <c r="C2000" t="s">
        <v>40</v>
      </c>
      <c r="D2000" t="s">
        <v>142</v>
      </c>
      <c r="E2000">
        <v>2021</v>
      </c>
      <c r="F2000">
        <v>325000</v>
      </c>
      <c r="G2000" t="s">
        <v>31</v>
      </c>
      <c r="H2000" t="s">
        <v>2645</v>
      </c>
      <c r="I2000" t="s">
        <v>34</v>
      </c>
      <c r="J2000" t="s">
        <v>5417</v>
      </c>
      <c r="K2000" t="s">
        <v>31</v>
      </c>
      <c r="L2000" t="s">
        <v>31</v>
      </c>
      <c r="M2000" t="s">
        <v>27</v>
      </c>
      <c r="N2000" t="s">
        <v>27</v>
      </c>
      <c r="O2000" t="s">
        <v>27</v>
      </c>
      <c r="P2000" t="s">
        <v>31</v>
      </c>
      <c r="Q2000" t="s">
        <v>31</v>
      </c>
      <c r="R2000" t="s">
        <v>31</v>
      </c>
      <c r="S2000" t="s">
        <v>31</v>
      </c>
      <c r="T2000" t="s">
        <v>31</v>
      </c>
    </row>
    <row r="2001" spans="1:20" hidden="1" x14ac:dyDescent="0.3">
      <c r="A2001" t="s">
        <v>1927</v>
      </c>
      <c r="B2001" t="s">
        <v>51</v>
      </c>
      <c r="C2001" t="s">
        <v>37</v>
      </c>
      <c r="D2001" t="s">
        <v>52</v>
      </c>
      <c r="E2001">
        <v>2021</v>
      </c>
      <c r="F2001" t="s">
        <v>31</v>
      </c>
      <c r="G2001" t="s">
        <v>5418</v>
      </c>
      <c r="H2001" t="s">
        <v>2709</v>
      </c>
      <c r="I2001" t="s">
        <v>70</v>
      </c>
      <c r="J2001" t="s">
        <v>5419</v>
      </c>
      <c r="K2001" t="s">
        <v>5420</v>
      </c>
      <c r="L2001" t="s">
        <v>54</v>
      </c>
      <c r="M2001" t="s">
        <v>27</v>
      </c>
      <c r="N2001" t="s">
        <v>27</v>
      </c>
      <c r="O2001" t="s">
        <v>33</v>
      </c>
      <c r="P2001" t="s">
        <v>31</v>
      </c>
      <c r="Q2001" t="s">
        <v>31</v>
      </c>
      <c r="R2001" t="s">
        <v>31</v>
      </c>
      <c r="S2001" t="s">
        <v>31</v>
      </c>
      <c r="T2001" t="s">
        <v>31</v>
      </c>
    </row>
    <row r="2002" spans="1:20" hidden="1" x14ac:dyDescent="0.3">
      <c r="A2002" t="s">
        <v>1928</v>
      </c>
      <c r="B2002" t="s">
        <v>51</v>
      </c>
      <c r="C2002" t="s">
        <v>37</v>
      </c>
      <c r="D2002" t="s">
        <v>52</v>
      </c>
      <c r="E2002">
        <v>2021</v>
      </c>
      <c r="F2002" t="s">
        <v>31</v>
      </c>
      <c r="G2002" t="s">
        <v>31</v>
      </c>
      <c r="H2002" t="s">
        <v>2719</v>
      </c>
      <c r="I2002" t="s">
        <v>90</v>
      </c>
      <c r="J2002" t="s">
        <v>5421</v>
      </c>
      <c r="K2002" t="s">
        <v>31</v>
      </c>
      <c r="L2002" t="s">
        <v>54</v>
      </c>
      <c r="M2002" t="s">
        <v>27</v>
      </c>
      <c r="N2002" t="s">
        <v>27</v>
      </c>
      <c r="O2002" t="s">
        <v>27</v>
      </c>
      <c r="P2002" t="s">
        <v>31</v>
      </c>
      <c r="Q2002" t="s">
        <v>31</v>
      </c>
      <c r="R2002" t="s">
        <v>31</v>
      </c>
      <c r="S2002" t="s">
        <v>31</v>
      </c>
      <c r="T2002" t="s">
        <v>31</v>
      </c>
    </row>
    <row r="2003" spans="1:20" hidden="1" x14ac:dyDescent="0.3">
      <c r="A2003" t="s">
        <v>1929</v>
      </c>
      <c r="B2003" t="s">
        <v>51</v>
      </c>
      <c r="C2003" t="s">
        <v>37</v>
      </c>
      <c r="D2003" t="s">
        <v>52</v>
      </c>
      <c r="E2003">
        <v>2021</v>
      </c>
      <c r="F2003" t="s">
        <v>31</v>
      </c>
      <c r="G2003" t="s">
        <v>31</v>
      </c>
      <c r="H2003" t="s">
        <v>2680</v>
      </c>
      <c r="I2003" t="s">
        <v>115</v>
      </c>
      <c r="J2003" t="s">
        <v>5422</v>
      </c>
      <c r="K2003" t="s">
        <v>2649</v>
      </c>
      <c r="L2003" t="s">
        <v>54</v>
      </c>
      <c r="M2003" t="s">
        <v>27</v>
      </c>
      <c r="N2003" t="s">
        <v>27</v>
      </c>
      <c r="O2003" t="s">
        <v>27</v>
      </c>
      <c r="P2003" t="s">
        <v>31</v>
      </c>
      <c r="Q2003" t="s">
        <v>31</v>
      </c>
      <c r="R2003" t="s">
        <v>31</v>
      </c>
      <c r="S2003" t="s">
        <v>31</v>
      </c>
      <c r="T2003" t="s">
        <v>31</v>
      </c>
    </row>
    <row r="2004" spans="1:20" hidden="1" x14ac:dyDescent="0.3">
      <c r="A2004" t="s">
        <v>1930</v>
      </c>
      <c r="B2004" t="s">
        <v>51</v>
      </c>
      <c r="C2004" t="s">
        <v>37</v>
      </c>
      <c r="D2004" t="s">
        <v>56</v>
      </c>
      <c r="E2004">
        <v>2021</v>
      </c>
      <c r="F2004" t="s">
        <v>31</v>
      </c>
      <c r="G2004" t="s">
        <v>31</v>
      </c>
      <c r="H2004" t="s">
        <v>2672</v>
      </c>
      <c r="I2004" t="s">
        <v>73</v>
      </c>
      <c r="J2004" t="s">
        <v>5423</v>
      </c>
      <c r="K2004" t="s">
        <v>2649</v>
      </c>
      <c r="L2004" t="s">
        <v>31</v>
      </c>
      <c r="M2004" t="s">
        <v>27</v>
      </c>
      <c r="N2004" t="s">
        <v>27</v>
      </c>
      <c r="O2004" t="s">
        <v>27</v>
      </c>
      <c r="P2004" t="s">
        <v>31</v>
      </c>
      <c r="Q2004" t="s">
        <v>31</v>
      </c>
      <c r="R2004" t="s">
        <v>31</v>
      </c>
      <c r="S2004" t="s">
        <v>31</v>
      </c>
      <c r="T2004" t="s">
        <v>31</v>
      </c>
    </row>
    <row r="2005" spans="1:20" hidden="1" x14ac:dyDescent="0.3">
      <c r="A2005" t="s">
        <v>1931</v>
      </c>
      <c r="B2005" t="s">
        <v>39</v>
      </c>
      <c r="C2005" t="s">
        <v>40</v>
      </c>
      <c r="D2005" t="s">
        <v>142</v>
      </c>
      <c r="E2005">
        <v>2021</v>
      </c>
      <c r="F2005" t="s">
        <v>31</v>
      </c>
      <c r="G2005" t="s">
        <v>31</v>
      </c>
      <c r="H2005" t="s">
        <v>2645</v>
      </c>
      <c r="I2005" t="s">
        <v>34</v>
      </c>
      <c r="J2005" t="s">
        <v>5424</v>
      </c>
      <c r="K2005" t="s">
        <v>31</v>
      </c>
      <c r="L2005" t="s">
        <v>31</v>
      </c>
      <c r="M2005" t="s">
        <v>27</v>
      </c>
      <c r="N2005" t="s">
        <v>27</v>
      </c>
      <c r="O2005" t="s">
        <v>27</v>
      </c>
      <c r="P2005" t="s">
        <v>31</v>
      </c>
      <c r="Q2005" t="s">
        <v>31</v>
      </c>
      <c r="R2005" t="s">
        <v>31</v>
      </c>
      <c r="S2005" t="s">
        <v>31</v>
      </c>
      <c r="T2005" t="s">
        <v>31</v>
      </c>
    </row>
    <row r="2006" spans="1:20" hidden="1" x14ac:dyDescent="0.3">
      <c r="A2006" t="s">
        <v>1932</v>
      </c>
      <c r="B2006" t="s">
        <v>51</v>
      </c>
      <c r="C2006" t="s">
        <v>37</v>
      </c>
      <c r="D2006" t="s">
        <v>52</v>
      </c>
      <c r="E2006">
        <v>2021</v>
      </c>
      <c r="F2006">
        <v>2000000</v>
      </c>
      <c r="G2006" t="s">
        <v>31</v>
      </c>
      <c r="H2006" t="s">
        <v>2739</v>
      </c>
      <c r="I2006" t="s">
        <v>77</v>
      </c>
      <c r="J2006" t="s">
        <v>5425</v>
      </c>
      <c r="K2006" t="s">
        <v>2649</v>
      </c>
      <c r="L2006" t="s">
        <v>54</v>
      </c>
      <c r="M2006" t="s">
        <v>27</v>
      </c>
      <c r="N2006" t="s">
        <v>27</v>
      </c>
      <c r="O2006" t="s">
        <v>33</v>
      </c>
      <c r="P2006" t="s">
        <v>31</v>
      </c>
      <c r="Q2006" t="s">
        <v>31</v>
      </c>
      <c r="R2006" t="s">
        <v>31</v>
      </c>
      <c r="S2006" t="s">
        <v>31</v>
      </c>
      <c r="T2006" t="s">
        <v>31</v>
      </c>
    </row>
    <row r="2007" spans="1:20" hidden="1" x14ac:dyDescent="0.3">
      <c r="A2007" t="s">
        <v>1933</v>
      </c>
      <c r="B2007" t="s">
        <v>51</v>
      </c>
      <c r="C2007" t="s">
        <v>37</v>
      </c>
      <c r="D2007" t="s">
        <v>52</v>
      </c>
      <c r="E2007">
        <v>2021</v>
      </c>
      <c r="F2007">
        <v>200000</v>
      </c>
      <c r="G2007" t="s">
        <v>31</v>
      </c>
      <c r="H2007" t="s">
        <v>2645</v>
      </c>
      <c r="I2007" t="s">
        <v>34</v>
      </c>
      <c r="J2007" t="s">
        <v>5426</v>
      </c>
      <c r="K2007" t="s">
        <v>2649</v>
      </c>
      <c r="L2007" t="s">
        <v>31</v>
      </c>
      <c r="M2007" t="s">
        <v>27</v>
      </c>
      <c r="N2007" t="s">
        <v>27</v>
      </c>
      <c r="O2007" t="s">
        <v>33</v>
      </c>
      <c r="P2007" t="s">
        <v>31</v>
      </c>
      <c r="Q2007" t="s">
        <v>31</v>
      </c>
      <c r="R2007" t="s">
        <v>31</v>
      </c>
      <c r="S2007" t="s">
        <v>31</v>
      </c>
      <c r="T2007" t="s">
        <v>31</v>
      </c>
    </row>
    <row r="2008" spans="1:20" hidden="1" x14ac:dyDescent="0.3">
      <c r="A2008" t="s">
        <v>1934</v>
      </c>
      <c r="B2008" t="s">
        <v>51</v>
      </c>
      <c r="C2008" t="s">
        <v>2655</v>
      </c>
      <c r="D2008" t="s">
        <v>134</v>
      </c>
      <c r="E2008">
        <v>2021</v>
      </c>
      <c r="F2008" t="s">
        <v>31</v>
      </c>
      <c r="G2008" t="s">
        <v>31</v>
      </c>
      <c r="H2008" t="s">
        <v>2647</v>
      </c>
      <c r="I2008" t="s">
        <v>47</v>
      </c>
      <c r="J2008" t="s">
        <v>5427</v>
      </c>
      <c r="K2008" t="s">
        <v>2649</v>
      </c>
      <c r="L2008" t="s">
        <v>31</v>
      </c>
      <c r="M2008" t="s">
        <v>27</v>
      </c>
      <c r="N2008" t="s">
        <v>27</v>
      </c>
      <c r="O2008" t="s">
        <v>27</v>
      </c>
      <c r="P2008" t="s">
        <v>31</v>
      </c>
      <c r="Q2008" t="s">
        <v>31</v>
      </c>
      <c r="R2008" t="s">
        <v>31</v>
      </c>
      <c r="S2008" t="s">
        <v>31</v>
      </c>
      <c r="T2008" t="s">
        <v>31</v>
      </c>
    </row>
    <row r="2009" spans="1:20" hidden="1" x14ac:dyDescent="0.3">
      <c r="A2009" t="s">
        <v>1935</v>
      </c>
      <c r="B2009" t="s">
        <v>28</v>
      </c>
      <c r="C2009" t="s">
        <v>29</v>
      </c>
      <c r="D2009" t="s">
        <v>97</v>
      </c>
      <c r="E2009">
        <v>2021</v>
      </c>
      <c r="F2009">
        <v>5200000</v>
      </c>
      <c r="G2009" t="s">
        <v>5428</v>
      </c>
      <c r="H2009" t="s">
        <v>2645</v>
      </c>
      <c r="I2009" t="s">
        <v>34</v>
      </c>
      <c r="J2009" t="s">
        <v>5429</v>
      </c>
      <c r="K2009" t="s">
        <v>31</v>
      </c>
      <c r="L2009" t="s">
        <v>31</v>
      </c>
      <c r="M2009" t="s">
        <v>27</v>
      </c>
      <c r="N2009" t="s">
        <v>27</v>
      </c>
      <c r="O2009" t="s">
        <v>33</v>
      </c>
      <c r="P2009" t="s">
        <v>31</v>
      </c>
      <c r="Q2009">
        <v>310</v>
      </c>
      <c r="R2009" t="s">
        <v>31</v>
      </c>
      <c r="S2009" t="s">
        <v>31</v>
      </c>
      <c r="T2009" t="s">
        <v>31</v>
      </c>
    </row>
    <row r="2010" spans="1:20" hidden="1" x14ac:dyDescent="0.3">
      <c r="A2010" t="s">
        <v>1936</v>
      </c>
      <c r="B2010" t="s">
        <v>28</v>
      </c>
      <c r="C2010" t="s">
        <v>29</v>
      </c>
      <c r="D2010" t="s">
        <v>64</v>
      </c>
      <c r="E2010">
        <v>2021</v>
      </c>
      <c r="F2010">
        <v>1900000</v>
      </c>
      <c r="G2010" t="s">
        <v>5430</v>
      </c>
      <c r="H2010" t="s">
        <v>2645</v>
      </c>
      <c r="I2010" t="s">
        <v>34</v>
      </c>
      <c r="J2010" t="s">
        <v>5431</v>
      </c>
      <c r="K2010" t="s">
        <v>31</v>
      </c>
      <c r="L2010" t="s">
        <v>31</v>
      </c>
      <c r="M2010" t="s">
        <v>27</v>
      </c>
      <c r="N2010" t="s">
        <v>27</v>
      </c>
      <c r="O2010" t="s">
        <v>27</v>
      </c>
      <c r="P2010" t="s">
        <v>31</v>
      </c>
      <c r="Q2010">
        <v>160</v>
      </c>
      <c r="R2010" t="s">
        <v>31</v>
      </c>
      <c r="S2010" t="s">
        <v>31</v>
      </c>
      <c r="T2010" t="s">
        <v>31</v>
      </c>
    </row>
    <row r="2011" spans="1:20" hidden="1" x14ac:dyDescent="0.3">
      <c r="A2011" t="s">
        <v>1937</v>
      </c>
      <c r="B2011" t="s">
        <v>51</v>
      </c>
      <c r="C2011" t="s">
        <v>37</v>
      </c>
      <c r="D2011" t="s">
        <v>52</v>
      </c>
      <c r="E2011">
        <v>2021</v>
      </c>
      <c r="F2011" t="s">
        <v>31</v>
      </c>
      <c r="G2011" t="s">
        <v>31</v>
      </c>
      <c r="H2011" t="s">
        <v>2669</v>
      </c>
      <c r="I2011" t="s">
        <v>111</v>
      </c>
      <c r="J2011" t="s">
        <v>5432</v>
      </c>
      <c r="K2011" t="s">
        <v>2649</v>
      </c>
      <c r="L2011" t="s">
        <v>31</v>
      </c>
      <c r="M2011" t="s">
        <v>27</v>
      </c>
      <c r="N2011" t="s">
        <v>27</v>
      </c>
      <c r="O2011" t="s">
        <v>27</v>
      </c>
      <c r="P2011" t="s">
        <v>31</v>
      </c>
      <c r="Q2011" t="s">
        <v>31</v>
      </c>
      <c r="R2011" t="s">
        <v>31</v>
      </c>
      <c r="S2011" t="s">
        <v>31</v>
      </c>
      <c r="T2011" t="s">
        <v>5433</v>
      </c>
    </row>
    <row r="2012" spans="1:20" hidden="1" x14ac:dyDescent="0.3">
      <c r="A2012" t="s">
        <v>1944</v>
      </c>
      <c r="B2012" t="s">
        <v>91</v>
      </c>
      <c r="C2012" t="s">
        <v>92</v>
      </c>
      <c r="D2012" t="s">
        <v>93</v>
      </c>
      <c r="E2012">
        <v>2021</v>
      </c>
      <c r="F2012" t="s">
        <v>31</v>
      </c>
      <c r="G2012" t="s">
        <v>5434</v>
      </c>
      <c r="H2012" t="s">
        <v>2678</v>
      </c>
      <c r="I2012" t="s">
        <v>53</v>
      </c>
      <c r="J2012" t="s">
        <v>5435</v>
      </c>
      <c r="K2012" t="s">
        <v>31</v>
      </c>
      <c r="L2012" t="s">
        <v>31</v>
      </c>
      <c r="M2012" t="s">
        <v>27</v>
      </c>
      <c r="N2012" t="s">
        <v>27</v>
      </c>
      <c r="O2012" t="s">
        <v>27</v>
      </c>
      <c r="P2012" t="s">
        <v>31</v>
      </c>
      <c r="Q2012">
        <v>6.2</v>
      </c>
      <c r="R2012" t="s">
        <v>31</v>
      </c>
      <c r="S2012" t="s">
        <v>31</v>
      </c>
      <c r="T2012" t="s">
        <v>31</v>
      </c>
    </row>
    <row r="2013" spans="1:20" hidden="1" x14ac:dyDescent="0.3">
      <c r="A2013" t="s">
        <v>1994</v>
      </c>
      <c r="B2013" t="s">
        <v>51</v>
      </c>
      <c r="C2013" t="s">
        <v>37</v>
      </c>
      <c r="D2013" t="s">
        <v>52</v>
      </c>
      <c r="E2013">
        <v>2021</v>
      </c>
      <c r="F2013" t="s">
        <v>31</v>
      </c>
      <c r="G2013" t="s">
        <v>31</v>
      </c>
      <c r="H2013" t="s">
        <v>2669</v>
      </c>
      <c r="I2013" t="s">
        <v>111</v>
      </c>
      <c r="J2013" t="s">
        <v>5436</v>
      </c>
      <c r="K2013" t="s">
        <v>2649</v>
      </c>
      <c r="L2013" t="s">
        <v>31</v>
      </c>
      <c r="M2013" t="s">
        <v>27</v>
      </c>
      <c r="N2013" t="s">
        <v>27</v>
      </c>
      <c r="O2013" t="s">
        <v>27</v>
      </c>
      <c r="P2013" t="s">
        <v>31</v>
      </c>
      <c r="Q2013" t="s">
        <v>31</v>
      </c>
      <c r="R2013" t="s">
        <v>31</v>
      </c>
      <c r="S2013" t="s">
        <v>31</v>
      </c>
      <c r="T2013" t="s">
        <v>31</v>
      </c>
    </row>
    <row r="2014" spans="1:20" x14ac:dyDescent="0.3">
      <c r="A2014" t="s">
        <v>1995</v>
      </c>
      <c r="B2014" t="s">
        <v>51</v>
      </c>
      <c r="C2014" t="s">
        <v>37</v>
      </c>
      <c r="D2014" t="s">
        <v>52</v>
      </c>
      <c r="E2014">
        <v>2021</v>
      </c>
      <c r="F2014">
        <v>37000</v>
      </c>
      <c r="G2014" t="s">
        <v>31</v>
      </c>
      <c r="H2014" t="s">
        <v>2656</v>
      </c>
      <c r="I2014" t="s">
        <v>119</v>
      </c>
      <c r="J2014" t="s">
        <v>2628</v>
      </c>
      <c r="K2014" t="s">
        <v>2649</v>
      </c>
      <c r="L2014" t="s">
        <v>54</v>
      </c>
      <c r="M2014" t="s">
        <v>27</v>
      </c>
      <c r="N2014" t="s">
        <v>27</v>
      </c>
      <c r="O2014" t="s">
        <v>27</v>
      </c>
      <c r="P2014" t="s">
        <v>31</v>
      </c>
      <c r="Q2014" t="s">
        <v>31</v>
      </c>
      <c r="R2014" t="s">
        <v>31</v>
      </c>
      <c r="S2014" t="s">
        <v>31</v>
      </c>
      <c r="T2014" t="s">
        <v>31</v>
      </c>
    </row>
    <row r="2015" spans="1:20" x14ac:dyDescent="0.3">
      <c r="A2015" t="s">
        <v>1996</v>
      </c>
      <c r="B2015" t="s">
        <v>51</v>
      </c>
      <c r="C2015" t="s">
        <v>37</v>
      </c>
      <c r="D2015" t="s">
        <v>52</v>
      </c>
      <c r="E2015">
        <v>2021</v>
      </c>
      <c r="F2015">
        <v>36000</v>
      </c>
      <c r="G2015" t="s">
        <v>31</v>
      </c>
      <c r="H2015" t="s">
        <v>2656</v>
      </c>
      <c r="I2015" t="s">
        <v>119</v>
      </c>
      <c r="J2015" t="s">
        <v>2629</v>
      </c>
      <c r="K2015" t="s">
        <v>2649</v>
      </c>
      <c r="L2015" t="s">
        <v>54</v>
      </c>
      <c r="M2015" t="s">
        <v>27</v>
      </c>
      <c r="N2015" t="s">
        <v>27</v>
      </c>
      <c r="O2015" t="s">
        <v>33</v>
      </c>
      <c r="P2015" t="s">
        <v>31</v>
      </c>
      <c r="Q2015" t="s">
        <v>31</v>
      </c>
      <c r="R2015" t="s">
        <v>31</v>
      </c>
      <c r="S2015" t="s">
        <v>31</v>
      </c>
      <c r="T2015" t="s">
        <v>31</v>
      </c>
    </row>
    <row r="2016" spans="1:20" hidden="1" x14ac:dyDescent="0.3">
      <c r="A2016" t="s">
        <v>1997</v>
      </c>
      <c r="B2016" t="s">
        <v>51</v>
      </c>
      <c r="C2016" t="s">
        <v>37</v>
      </c>
      <c r="D2016" t="s">
        <v>52</v>
      </c>
      <c r="E2016">
        <v>2021</v>
      </c>
      <c r="F2016" t="s">
        <v>31</v>
      </c>
      <c r="G2016" t="s">
        <v>31</v>
      </c>
      <c r="H2016" t="s">
        <v>2666</v>
      </c>
      <c r="I2016" t="s">
        <v>109</v>
      </c>
      <c r="J2016" t="s">
        <v>5437</v>
      </c>
      <c r="K2016" t="s">
        <v>2649</v>
      </c>
      <c r="L2016" t="s">
        <v>54</v>
      </c>
      <c r="M2016" t="s">
        <v>27</v>
      </c>
      <c r="N2016" t="s">
        <v>27</v>
      </c>
      <c r="O2016" t="s">
        <v>27</v>
      </c>
      <c r="P2016" t="s">
        <v>31</v>
      </c>
      <c r="Q2016" t="s">
        <v>31</v>
      </c>
      <c r="R2016" t="s">
        <v>31</v>
      </c>
      <c r="S2016" t="s">
        <v>31</v>
      </c>
      <c r="T2016" t="s">
        <v>31</v>
      </c>
    </row>
    <row r="2017" spans="1:20" hidden="1" x14ac:dyDescent="0.3">
      <c r="A2017" t="s">
        <v>1998</v>
      </c>
      <c r="B2017" t="s">
        <v>51</v>
      </c>
      <c r="C2017" t="s">
        <v>37</v>
      </c>
      <c r="D2017" t="s">
        <v>121</v>
      </c>
      <c r="E2017">
        <v>2021</v>
      </c>
      <c r="F2017">
        <v>25000</v>
      </c>
      <c r="G2017" t="s">
        <v>31</v>
      </c>
      <c r="H2017" t="s">
        <v>2678</v>
      </c>
      <c r="I2017" t="s">
        <v>53</v>
      </c>
      <c r="J2017" t="s">
        <v>5438</v>
      </c>
      <c r="K2017" t="s">
        <v>2649</v>
      </c>
      <c r="L2017" t="s">
        <v>54</v>
      </c>
      <c r="M2017" t="s">
        <v>27</v>
      </c>
      <c r="N2017" t="s">
        <v>27</v>
      </c>
      <c r="O2017" t="s">
        <v>33</v>
      </c>
      <c r="P2017" t="s">
        <v>31</v>
      </c>
      <c r="Q2017" t="s">
        <v>31</v>
      </c>
      <c r="R2017" t="s">
        <v>31</v>
      </c>
      <c r="S2017" t="s">
        <v>31</v>
      </c>
      <c r="T2017" t="s">
        <v>31</v>
      </c>
    </row>
    <row r="2018" spans="1:20" hidden="1" x14ac:dyDescent="0.3">
      <c r="A2018" t="s">
        <v>1999</v>
      </c>
      <c r="B2018" t="s">
        <v>28</v>
      </c>
      <c r="C2018" t="s">
        <v>29</v>
      </c>
      <c r="D2018" t="s">
        <v>64</v>
      </c>
      <c r="E2018">
        <v>2021</v>
      </c>
      <c r="F2018">
        <v>945000</v>
      </c>
      <c r="G2018" t="s">
        <v>31</v>
      </c>
      <c r="H2018" t="s">
        <v>2645</v>
      </c>
      <c r="I2018" t="s">
        <v>34</v>
      </c>
      <c r="J2018" t="s">
        <v>5439</v>
      </c>
      <c r="K2018" t="s">
        <v>31</v>
      </c>
      <c r="L2018" t="s">
        <v>65</v>
      </c>
      <c r="M2018" t="s">
        <v>27</v>
      </c>
      <c r="N2018" t="s">
        <v>27</v>
      </c>
      <c r="O2018" t="s">
        <v>27</v>
      </c>
      <c r="P2018" t="s">
        <v>31</v>
      </c>
      <c r="Q2018" t="s">
        <v>31</v>
      </c>
      <c r="R2018" t="s">
        <v>31</v>
      </c>
      <c r="S2018" t="s">
        <v>31</v>
      </c>
      <c r="T2018" t="s">
        <v>31</v>
      </c>
    </row>
    <row r="2019" spans="1:20" hidden="1" x14ac:dyDescent="0.3">
      <c r="A2019" t="s">
        <v>2000</v>
      </c>
      <c r="B2019" t="s">
        <v>51</v>
      </c>
      <c r="C2019" t="s">
        <v>37</v>
      </c>
      <c r="D2019" t="s">
        <v>121</v>
      </c>
      <c r="E2019">
        <v>2021</v>
      </c>
      <c r="F2019">
        <v>150000</v>
      </c>
      <c r="G2019" t="s">
        <v>31</v>
      </c>
      <c r="H2019" t="s">
        <v>2645</v>
      </c>
      <c r="I2019" t="s">
        <v>34</v>
      </c>
      <c r="J2019" t="s">
        <v>5440</v>
      </c>
      <c r="K2019" t="s">
        <v>5441</v>
      </c>
      <c r="L2019" t="s">
        <v>54</v>
      </c>
      <c r="M2019" t="s">
        <v>27</v>
      </c>
      <c r="N2019" t="s">
        <v>27</v>
      </c>
      <c r="O2019" t="s">
        <v>33</v>
      </c>
      <c r="P2019" t="s">
        <v>31</v>
      </c>
      <c r="Q2019" t="s">
        <v>31</v>
      </c>
      <c r="R2019" t="s">
        <v>31</v>
      </c>
      <c r="S2019" t="s">
        <v>31</v>
      </c>
      <c r="T2019" t="s">
        <v>31</v>
      </c>
    </row>
    <row r="2020" spans="1:20" hidden="1" x14ac:dyDescent="0.3">
      <c r="A2020" t="s">
        <v>2001</v>
      </c>
      <c r="B2020" t="s">
        <v>51</v>
      </c>
      <c r="C2020" t="s">
        <v>37</v>
      </c>
      <c r="D2020" t="s">
        <v>56</v>
      </c>
      <c r="E2020">
        <v>2021</v>
      </c>
      <c r="F2020" t="s">
        <v>31</v>
      </c>
      <c r="G2020" t="s">
        <v>31</v>
      </c>
      <c r="H2020" t="s">
        <v>2658</v>
      </c>
      <c r="I2020" t="s">
        <v>130</v>
      </c>
      <c r="J2020" t="s">
        <v>5442</v>
      </c>
      <c r="K2020" t="s">
        <v>2649</v>
      </c>
      <c r="L2020" t="s">
        <v>31</v>
      </c>
      <c r="M2020" t="s">
        <v>27</v>
      </c>
      <c r="N2020" t="s">
        <v>27</v>
      </c>
      <c r="O2020" t="s">
        <v>27</v>
      </c>
      <c r="P2020" t="s">
        <v>31</v>
      </c>
      <c r="Q2020" t="s">
        <v>31</v>
      </c>
      <c r="R2020" t="s">
        <v>31</v>
      </c>
      <c r="S2020" t="s">
        <v>31</v>
      </c>
      <c r="T2020" t="s">
        <v>31</v>
      </c>
    </row>
    <row r="2021" spans="1:20" hidden="1" x14ac:dyDescent="0.3">
      <c r="A2021" t="s">
        <v>2002</v>
      </c>
      <c r="B2021" t="s">
        <v>51</v>
      </c>
      <c r="C2021" t="s">
        <v>37</v>
      </c>
      <c r="D2021" t="s">
        <v>52</v>
      </c>
      <c r="E2021">
        <v>2021</v>
      </c>
      <c r="F2021" t="s">
        <v>31</v>
      </c>
      <c r="G2021" t="s">
        <v>31</v>
      </c>
      <c r="H2021" t="s">
        <v>2678</v>
      </c>
      <c r="I2021" t="s">
        <v>53</v>
      </c>
      <c r="J2021" t="s">
        <v>5443</v>
      </c>
      <c r="K2021" t="s">
        <v>2649</v>
      </c>
      <c r="L2021" t="s">
        <v>31</v>
      </c>
      <c r="M2021" t="s">
        <v>27</v>
      </c>
      <c r="N2021" t="s">
        <v>27</v>
      </c>
      <c r="O2021" t="s">
        <v>27</v>
      </c>
      <c r="P2021" t="s">
        <v>31</v>
      </c>
      <c r="Q2021" t="s">
        <v>31</v>
      </c>
      <c r="R2021" t="s">
        <v>31</v>
      </c>
      <c r="S2021" t="s">
        <v>31</v>
      </c>
      <c r="T2021" t="s">
        <v>31</v>
      </c>
    </row>
    <row r="2022" spans="1:20" hidden="1" x14ac:dyDescent="0.3">
      <c r="A2022" t="s">
        <v>2003</v>
      </c>
      <c r="B2022" t="s">
        <v>51</v>
      </c>
      <c r="C2022" t="s">
        <v>37</v>
      </c>
      <c r="D2022" t="s">
        <v>52</v>
      </c>
      <c r="E2022">
        <v>2021</v>
      </c>
      <c r="F2022" t="s">
        <v>31</v>
      </c>
      <c r="G2022" t="s">
        <v>31</v>
      </c>
      <c r="H2022" t="s">
        <v>2678</v>
      </c>
      <c r="I2022" t="s">
        <v>53</v>
      </c>
      <c r="J2022" t="s">
        <v>5444</v>
      </c>
      <c r="K2022" t="s">
        <v>31</v>
      </c>
      <c r="L2022" t="s">
        <v>54</v>
      </c>
      <c r="M2022" t="s">
        <v>27</v>
      </c>
      <c r="N2022" t="s">
        <v>27</v>
      </c>
      <c r="O2022" t="s">
        <v>27</v>
      </c>
      <c r="P2022" t="s">
        <v>31</v>
      </c>
      <c r="Q2022" t="s">
        <v>31</v>
      </c>
      <c r="R2022" t="s">
        <v>31</v>
      </c>
      <c r="S2022" t="s">
        <v>31</v>
      </c>
      <c r="T2022" t="s">
        <v>31</v>
      </c>
    </row>
    <row r="2023" spans="1:20" hidden="1" x14ac:dyDescent="0.3">
      <c r="A2023" t="s">
        <v>2004</v>
      </c>
      <c r="B2023" t="s">
        <v>51</v>
      </c>
      <c r="C2023" t="s">
        <v>37</v>
      </c>
      <c r="D2023" t="s">
        <v>52</v>
      </c>
      <c r="E2023">
        <v>2021</v>
      </c>
      <c r="F2023" t="s">
        <v>31</v>
      </c>
      <c r="G2023" t="s">
        <v>31</v>
      </c>
      <c r="H2023" t="s">
        <v>2669</v>
      </c>
      <c r="I2023" t="s">
        <v>111</v>
      </c>
      <c r="J2023" t="s">
        <v>5445</v>
      </c>
      <c r="K2023" t="s">
        <v>2649</v>
      </c>
      <c r="L2023" t="s">
        <v>31</v>
      </c>
      <c r="M2023" t="s">
        <v>27</v>
      </c>
      <c r="N2023" t="s">
        <v>27</v>
      </c>
      <c r="O2023" t="s">
        <v>27</v>
      </c>
      <c r="P2023" t="s">
        <v>31</v>
      </c>
      <c r="Q2023" t="s">
        <v>31</v>
      </c>
      <c r="R2023" t="s">
        <v>31</v>
      </c>
      <c r="S2023" t="s">
        <v>31</v>
      </c>
      <c r="T2023" t="s">
        <v>31</v>
      </c>
    </row>
    <row r="2024" spans="1:20" hidden="1" x14ac:dyDescent="0.3">
      <c r="A2024" t="s">
        <v>2005</v>
      </c>
      <c r="B2024" t="s">
        <v>51</v>
      </c>
      <c r="C2024" t="s">
        <v>37</v>
      </c>
      <c r="D2024" t="s">
        <v>52</v>
      </c>
      <c r="E2024">
        <v>2021</v>
      </c>
      <c r="F2024" t="s">
        <v>31</v>
      </c>
      <c r="G2024" t="s">
        <v>31</v>
      </c>
      <c r="H2024" t="s">
        <v>2678</v>
      </c>
      <c r="I2024" t="s">
        <v>53</v>
      </c>
      <c r="J2024" t="s">
        <v>5446</v>
      </c>
      <c r="K2024" t="s">
        <v>2649</v>
      </c>
      <c r="L2024" t="s">
        <v>54</v>
      </c>
      <c r="M2024" t="s">
        <v>27</v>
      </c>
      <c r="N2024" t="s">
        <v>27</v>
      </c>
      <c r="O2024" t="s">
        <v>27</v>
      </c>
      <c r="P2024" t="s">
        <v>31</v>
      </c>
      <c r="Q2024" t="s">
        <v>31</v>
      </c>
      <c r="R2024" t="s">
        <v>31</v>
      </c>
      <c r="S2024" t="s">
        <v>31</v>
      </c>
      <c r="T2024" t="s">
        <v>5447</v>
      </c>
    </row>
    <row r="2025" spans="1:20" hidden="1" x14ac:dyDescent="0.3">
      <c r="A2025" t="s">
        <v>2007</v>
      </c>
      <c r="B2025" t="s">
        <v>28</v>
      </c>
      <c r="C2025" t="s">
        <v>29</v>
      </c>
      <c r="D2025" t="s">
        <v>64</v>
      </c>
      <c r="E2025">
        <v>2021</v>
      </c>
      <c r="F2025">
        <v>1500000</v>
      </c>
      <c r="G2025" t="s">
        <v>31</v>
      </c>
      <c r="H2025" t="s">
        <v>2645</v>
      </c>
      <c r="I2025" t="s">
        <v>34</v>
      </c>
      <c r="J2025" t="s">
        <v>5448</v>
      </c>
      <c r="K2025" t="s">
        <v>31</v>
      </c>
      <c r="L2025" t="s">
        <v>65</v>
      </c>
      <c r="M2025" t="s">
        <v>27</v>
      </c>
      <c r="N2025" t="s">
        <v>27</v>
      </c>
      <c r="O2025" t="s">
        <v>27</v>
      </c>
      <c r="P2025" t="s">
        <v>31</v>
      </c>
      <c r="Q2025" t="s">
        <v>31</v>
      </c>
      <c r="R2025" t="s">
        <v>31</v>
      </c>
      <c r="S2025" t="s">
        <v>31</v>
      </c>
      <c r="T2025" t="s">
        <v>31</v>
      </c>
    </row>
    <row r="2026" spans="1:20" hidden="1" x14ac:dyDescent="0.3">
      <c r="A2026" t="s">
        <v>2008</v>
      </c>
      <c r="B2026" t="s">
        <v>28</v>
      </c>
      <c r="C2026" t="s">
        <v>29</v>
      </c>
      <c r="D2026" t="s">
        <v>64</v>
      </c>
      <c r="E2026">
        <v>2021</v>
      </c>
      <c r="F2026">
        <v>3100000</v>
      </c>
      <c r="G2026" t="s">
        <v>5449</v>
      </c>
      <c r="H2026" t="s">
        <v>2645</v>
      </c>
      <c r="I2026" t="s">
        <v>34</v>
      </c>
      <c r="J2026" t="s">
        <v>5450</v>
      </c>
      <c r="K2026" t="s">
        <v>31</v>
      </c>
      <c r="L2026" t="s">
        <v>100</v>
      </c>
      <c r="M2026" t="s">
        <v>27</v>
      </c>
      <c r="N2026" t="s">
        <v>27</v>
      </c>
      <c r="O2026" t="s">
        <v>27</v>
      </c>
      <c r="P2026" t="s">
        <v>31</v>
      </c>
      <c r="Q2026" t="s">
        <v>31</v>
      </c>
      <c r="R2026" t="s">
        <v>31</v>
      </c>
      <c r="S2026" t="s">
        <v>31</v>
      </c>
      <c r="T2026" t="s">
        <v>31</v>
      </c>
    </row>
    <row r="2027" spans="1:20" hidden="1" x14ac:dyDescent="0.3">
      <c r="A2027" t="s">
        <v>2009</v>
      </c>
      <c r="B2027" t="s">
        <v>51</v>
      </c>
      <c r="C2027" t="s">
        <v>37</v>
      </c>
      <c r="D2027" t="s">
        <v>52</v>
      </c>
      <c r="E2027">
        <v>2021</v>
      </c>
      <c r="F2027" t="s">
        <v>31</v>
      </c>
      <c r="G2027" t="s">
        <v>31</v>
      </c>
      <c r="H2027" t="s">
        <v>2709</v>
      </c>
      <c r="I2027" t="s">
        <v>70</v>
      </c>
      <c r="J2027" t="s">
        <v>5451</v>
      </c>
      <c r="K2027" t="s">
        <v>2649</v>
      </c>
      <c r="L2027" t="s">
        <v>31</v>
      </c>
      <c r="M2027" t="s">
        <v>27</v>
      </c>
      <c r="N2027" t="s">
        <v>27</v>
      </c>
      <c r="O2027" t="s">
        <v>27</v>
      </c>
      <c r="P2027" t="s">
        <v>31</v>
      </c>
      <c r="Q2027" t="s">
        <v>31</v>
      </c>
      <c r="R2027" t="s">
        <v>31</v>
      </c>
      <c r="S2027" t="s">
        <v>31</v>
      </c>
      <c r="T2027" t="s">
        <v>5452</v>
      </c>
    </row>
    <row r="2028" spans="1:20" hidden="1" x14ac:dyDescent="0.3">
      <c r="A2028" t="s">
        <v>2010</v>
      </c>
      <c r="B2028" t="s">
        <v>51</v>
      </c>
      <c r="C2028" t="s">
        <v>37</v>
      </c>
      <c r="D2028" t="s">
        <v>121</v>
      </c>
      <c r="E2028">
        <v>2021</v>
      </c>
      <c r="F2028" t="s">
        <v>31</v>
      </c>
      <c r="G2028" t="s">
        <v>31</v>
      </c>
      <c r="H2028" t="s">
        <v>2666</v>
      </c>
      <c r="I2028" t="s">
        <v>109</v>
      </c>
      <c r="J2028" t="s">
        <v>5453</v>
      </c>
      <c r="K2028" t="s">
        <v>2649</v>
      </c>
      <c r="L2028" t="s">
        <v>31</v>
      </c>
      <c r="M2028" t="s">
        <v>27</v>
      </c>
      <c r="N2028" t="s">
        <v>27</v>
      </c>
      <c r="O2028" t="s">
        <v>27</v>
      </c>
      <c r="P2028" t="s">
        <v>31</v>
      </c>
      <c r="Q2028" t="s">
        <v>31</v>
      </c>
      <c r="R2028" t="s">
        <v>31</v>
      </c>
      <c r="S2028" t="s">
        <v>31</v>
      </c>
      <c r="T2028" t="s">
        <v>5454</v>
      </c>
    </row>
    <row r="2029" spans="1:20" hidden="1" x14ac:dyDescent="0.3">
      <c r="A2029" t="s">
        <v>2011</v>
      </c>
      <c r="B2029" t="s">
        <v>51</v>
      </c>
      <c r="C2029" t="s">
        <v>37</v>
      </c>
      <c r="D2029" t="s">
        <v>52</v>
      </c>
      <c r="E2029">
        <v>2021</v>
      </c>
      <c r="F2029" t="s">
        <v>31</v>
      </c>
      <c r="G2029" t="s">
        <v>31</v>
      </c>
      <c r="H2029" t="s">
        <v>2719</v>
      </c>
      <c r="I2029" t="s">
        <v>90</v>
      </c>
      <c r="J2029" t="s">
        <v>5455</v>
      </c>
      <c r="K2029" t="s">
        <v>2649</v>
      </c>
      <c r="L2029" t="s">
        <v>31</v>
      </c>
      <c r="M2029" t="s">
        <v>27</v>
      </c>
      <c r="N2029" t="s">
        <v>27</v>
      </c>
      <c r="O2029" t="s">
        <v>27</v>
      </c>
      <c r="P2029" t="s">
        <v>31</v>
      </c>
      <c r="Q2029" t="s">
        <v>31</v>
      </c>
      <c r="R2029" t="s">
        <v>31</v>
      </c>
      <c r="S2029" t="s">
        <v>31</v>
      </c>
      <c r="T2029" t="s">
        <v>31</v>
      </c>
    </row>
    <row r="2030" spans="1:20" hidden="1" x14ac:dyDescent="0.3">
      <c r="A2030" t="s">
        <v>2012</v>
      </c>
      <c r="B2030" t="s">
        <v>51</v>
      </c>
      <c r="C2030" t="s">
        <v>37</v>
      </c>
      <c r="D2030" t="s">
        <v>52</v>
      </c>
      <c r="E2030">
        <v>2021</v>
      </c>
      <c r="F2030" t="s">
        <v>31</v>
      </c>
      <c r="G2030" t="s">
        <v>5456</v>
      </c>
      <c r="H2030" t="s">
        <v>3306</v>
      </c>
      <c r="I2030" t="s">
        <v>604</v>
      </c>
      <c r="J2030" t="s">
        <v>5457</v>
      </c>
      <c r="K2030" t="s">
        <v>31</v>
      </c>
      <c r="L2030" t="s">
        <v>31</v>
      </c>
      <c r="M2030" t="s">
        <v>27</v>
      </c>
      <c r="N2030" t="s">
        <v>27</v>
      </c>
      <c r="O2030" t="s">
        <v>33</v>
      </c>
      <c r="P2030" t="s">
        <v>31</v>
      </c>
      <c r="Q2030" t="s">
        <v>31</v>
      </c>
      <c r="R2030" t="s">
        <v>31</v>
      </c>
      <c r="S2030" t="s">
        <v>31</v>
      </c>
      <c r="T2030" t="s">
        <v>31</v>
      </c>
    </row>
    <row r="2031" spans="1:20" hidden="1" x14ac:dyDescent="0.3">
      <c r="A2031" t="s">
        <v>2013</v>
      </c>
      <c r="B2031" t="s">
        <v>51</v>
      </c>
      <c r="C2031" t="s">
        <v>37</v>
      </c>
      <c r="D2031" t="s">
        <v>52</v>
      </c>
      <c r="E2031">
        <v>2021</v>
      </c>
      <c r="F2031" t="s">
        <v>31</v>
      </c>
      <c r="G2031" t="s">
        <v>31</v>
      </c>
      <c r="H2031" t="s">
        <v>2647</v>
      </c>
      <c r="I2031" t="s">
        <v>47</v>
      </c>
      <c r="J2031" t="s">
        <v>5458</v>
      </c>
      <c r="K2031" t="s">
        <v>31</v>
      </c>
      <c r="L2031" t="s">
        <v>54</v>
      </c>
      <c r="M2031" t="s">
        <v>27</v>
      </c>
      <c r="N2031" t="s">
        <v>27</v>
      </c>
      <c r="O2031" t="s">
        <v>27</v>
      </c>
      <c r="P2031" t="s">
        <v>31</v>
      </c>
      <c r="Q2031" t="s">
        <v>31</v>
      </c>
      <c r="R2031" t="s">
        <v>31</v>
      </c>
      <c r="S2031" t="s">
        <v>31</v>
      </c>
      <c r="T2031" t="s">
        <v>31</v>
      </c>
    </row>
    <row r="2032" spans="1:20" hidden="1" x14ac:dyDescent="0.3">
      <c r="A2032" t="s">
        <v>2014</v>
      </c>
      <c r="B2032" t="s">
        <v>51</v>
      </c>
      <c r="C2032" t="s">
        <v>37</v>
      </c>
      <c r="D2032" t="s">
        <v>52</v>
      </c>
      <c r="E2032">
        <v>2021</v>
      </c>
      <c r="F2032" t="s">
        <v>31</v>
      </c>
      <c r="G2032" t="s">
        <v>5459</v>
      </c>
      <c r="H2032" t="s">
        <v>2695</v>
      </c>
      <c r="I2032" t="s">
        <v>161</v>
      </c>
      <c r="J2032" t="s">
        <v>5460</v>
      </c>
      <c r="K2032" t="s">
        <v>2649</v>
      </c>
      <c r="L2032" t="s">
        <v>31</v>
      </c>
      <c r="M2032" t="s">
        <v>27</v>
      </c>
      <c r="N2032" t="s">
        <v>27</v>
      </c>
      <c r="O2032" t="s">
        <v>27</v>
      </c>
      <c r="P2032" t="s">
        <v>31</v>
      </c>
      <c r="Q2032" t="s">
        <v>31</v>
      </c>
      <c r="R2032" t="s">
        <v>31</v>
      </c>
      <c r="S2032" t="s">
        <v>31</v>
      </c>
      <c r="T2032" t="s">
        <v>5461</v>
      </c>
    </row>
    <row r="2033" spans="1:20" hidden="1" x14ac:dyDescent="0.3">
      <c r="A2033" t="s">
        <v>2015</v>
      </c>
      <c r="B2033" t="s">
        <v>39</v>
      </c>
      <c r="C2033" t="s">
        <v>40</v>
      </c>
      <c r="D2033" t="s">
        <v>41</v>
      </c>
      <c r="E2033">
        <v>2021</v>
      </c>
      <c r="F2033">
        <v>1500000</v>
      </c>
      <c r="G2033" t="s">
        <v>31</v>
      </c>
      <c r="H2033" t="s">
        <v>2645</v>
      </c>
      <c r="I2033" t="s">
        <v>34</v>
      </c>
      <c r="J2033" t="s">
        <v>5462</v>
      </c>
      <c r="K2033" t="s">
        <v>31</v>
      </c>
      <c r="L2033" t="s">
        <v>31</v>
      </c>
      <c r="M2033" t="s">
        <v>27</v>
      </c>
      <c r="N2033" t="s">
        <v>27</v>
      </c>
      <c r="O2033" t="s">
        <v>27</v>
      </c>
      <c r="P2033" t="s">
        <v>31</v>
      </c>
      <c r="Q2033" t="s">
        <v>31</v>
      </c>
      <c r="R2033" t="s">
        <v>31</v>
      </c>
      <c r="S2033" t="s">
        <v>31</v>
      </c>
      <c r="T2033" t="s">
        <v>31</v>
      </c>
    </row>
    <row r="2034" spans="1:20" hidden="1" x14ac:dyDescent="0.3">
      <c r="A2034" t="s">
        <v>2016</v>
      </c>
      <c r="B2034" t="s">
        <v>51</v>
      </c>
      <c r="C2034" t="s">
        <v>37</v>
      </c>
      <c r="D2034" t="s">
        <v>56</v>
      </c>
      <c r="E2034">
        <v>2021</v>
      </c>
      <c r="F2034">
        <v>150000</v>
      </c>
      <c r="G2034" t="s">
        <v>31</v>
      </c>
      <c r="H2034" t="s">
        <v>2645</v>
      </c>
      <c r="I2034" t="s">
        <v>34</v>
      </c>
      <c r="J2034" t="s">
        <v>5463</v>
      </c>
      <c r="K2034" t="s">
        <v>2649</v>
      </c>
      <c r="L2034" t="s">
        <v>31</v>
      </c>
      <c r="M2034" t="s">
        <v>27</v>
      </c>
      <c r="N2034" t="s">
        <v>27</v>
      </c>
      <c r="O2034" t="s">
        <v>27</v>
      </c>
      <c r="P2034" t="s">
        <v>31</v>
      </c>
      <c r="Q2034" t="s">
        <v>31</v>
      </c>
      <c r="R2034" t="s">
        <v>31</v>
      </c>
      <c r="S2034" t="s">
        <v>31</v>
      </c>
      <c r="T2034" t="s">
        <v>31</v>
      </c>
    </row>
    <row r="2035" spans="1:20" hidden="1" x14ac:dyDescent="0.3">
      <c r="A2035" t="s">
        <v>2017</v>
      </c>
      <c r="B2035" t="s">
        <v>28</v>
      </c>
      <c r="C2035" t="s">
        <v>29</v>
      </c>
      <c r="D2035" t="s">
        <v>30</v>
      </c>
      <c r="E2035">
        <v>2021</v>
      </c>
      <c r="F2035">
        <v>100000</v>
      </c>
      <c r="G2035" t="s">
        <v>5385</v>
      </c>
      <c r="H2035" t="s">
        <v>2716</v>
      </c>
      <c r="I2035" t="s">
        <v>242</v>
      </c>
      <c r="J2035" t="s">
        <v>5464</v>
      </c>
      <c r="K2035" t="s">
        <v>31</v>
      </c>
      <c r="L2035" t="s">
        <v>31</v>
      </c>
      <c r="M2035" t="s">
        <v>27</v>
      </c>
      <c r="N2035" t="s">
        <v>27</v>
      </c>
      <c r="O2035" t="s">
        <v>27</v>
      </c>
      <c r="P2035" t="s">
        <v>31</v>
      </c>
      <c r="Q2035" t="s">
        <v>31</v>
      </c>
      <c r="R2035" t="s">
        <v>31</v>
      </c>
      <c r="S2035" t="s">
        <v>31</v>
      </c>
      <c r="T2035" t="s">
        <v>31</v>
      </c>
    </row>
    <row r="2036" spans="1:20" hidden="1" x14ac:dyDescent="0.3">
      <c r="A2036" t="s">
        <v>2018</v>
      </c>
      <c r="B2036" t="s">
        <v>51</v>
      </c>
      <c r="C2036" t="s">
        <v>37</v>
      </c>
      <c r="D2036" t="s">
        <v>52</v>
      </c>
      <c r="E2036">
        <v>2021</v>
      </c>
      <c r="F2036">
        <v>225000</v>
      </c>
      <c r="G2036" t="s">
        <v>31</v>
      </c>
      <c r="H2036" t="s">
        <v>2645</v>
      </c>
      <c r="I2036" t="s">
        <v>34</v>
      </c>
      <c r="J2036" t="s">
        <v>5465</v>
      </c>
      <c r="K2036" t="s">
        <v>31</v>
      </c>
      <c r="L2036" t="s">
        <v>302</v>
      </c>
      <c r="M2036" t="s">
        <v>27</v>
      </c>
      <c r="N2036" t="s">
        <v>27</v>
      </c>
      <c r="O2036" t="s">
        <v>33</v>
      </c>
      <c r="P2036" t="s">
        <v>31</v>
      </c>
      <c r="Q2036" t="s">
        <v>31</v>
      </c>
      <c r="R2036" t="s">
        <v>31</v>
      </c>
      <c r="S2036" t="s">
        <v>31</v>
      </c>
      <c r="T2036" t="s">
        <v>31</v>
      </c>
    </row>
    <row r="2037" spans="1:20" hidden="1" x14ac:dyDescent="0.3">
      <c r="A2037" t="s">
        <v>2019</v>
      </c>
      <c r="B2037" t="s">
        <v>28</v>
      </c>
      <c r="C2037" t="s">
        <v>29</v>
      </c>
      <c r="D2037" t="s">
        <v>30</v>
      </c>
      <c r="E2037">
        <v>2021</v>
      </c>
      <c r="F2037">
        <v>1000000</v>
      </c>
      <c r="G2037" t="s">
        <v>31</v>
      </c>
      <c r="H2037" t="s">
        <v>2645</v>
      </c>
      <c r="I2037" t="s">
        <v>34</v>
      </c>
      <c r="J2037" t="s">
        <v>5466</v>
      </c>
      <c r="K2037" t="s">
        <v>31</v>
      </c>
      <c r="L2037" t="s">
        <v>37</v>
      </c>
      <c r="M2037" t="s">
        <v>27</v>
      </c>
      <c r="N2037" t="s">
        <v>27</v>
      </c>
      <c r="O2037" t="s">
        <v>27</v>
      </c>
      <c r="P2037" t="s">
        <v>31</v>
      </c>
      <c r="Q2037" t="s">
        <v>31</v>
      </c>
      <c r="R2037" t="s">
        <v>31</v>
      </c>
      <c r="S2037" t="s">
        <v>31</v>
      </c>
      <c r="T2037" t="s">
        <v>31</v>
      </c>
    </row>
    <row r="2038" spans="1:20" hidden="1" x14ac:dyDescent="0.3">
      <c r="A2038" t="s">
        <v>2020</v>
      </c>
      <c r="B2038" t="s">
        <v>51</v>
      </c>
      <c r="C2038" t="s">
        <v>37</v>
      </c>
      <c r="D2038" t="s">
        <v>52</v>
      </c>
      <c r="E2038">
        <v>2021</v>
      </c>
      <c r="F2038" t="s">
        <v>31</v>
      </c>
      <c r="G2038" t="s">
        <v>31</v>
      </c>
      <c r="H2038" t="s">
        <v>2647</v>
      </c>
      <c r="I2038" t="s">
        <v>47</v>
      </c>
      <c r="J2038" t="s">
        <v>5467</v>
      </c>
      <c r="K2038" t="s">
        <v>2649</v>
      </c>
      <c r="L2038" t="s">
        <v>54</v>
      </c>
      <c r="M2038" t="s">
        <v>27</v>
      </c>
      <c r="N2038" t="s">
        <v>27</v>
      </c>
      <c r="O2038" t="s">
        <v>27</v>
      </c>
      <c r="P2038" t="s">
        <v>31</v>
      </c>
      <c r="Q2038" t="s">
        <v>31</v>
      </c>
      <c r="R2038" t="s">
        <v>31</v>
      </c>
      <c r="S2038" t="s">
        <v>31</v>
      </c>
      <c r="T2038" t="s">
        <v>31</v>
      </c>
    </row>
    <row r="2039" spans="1:20" hidden="1" x14ac:dyDescent="0.3">
      <c r="A2039" t="s">
        <v>2021</v>
      </c>
      <c r="B2039" t="s">
        <v>51</v>
      </c>
      <c r="C2039" t="s">
        <v>37</v>
      </c>
      <c r="D2039" t="s">
        <v>52</v>
      </c>
      <c r="E2039">
        <v>2021</v>
      </c>
      <c r="F2039">
        <v>10000</v>
      </c>
      <c r="G2039" t="s">
        <v>31</v>
      </c>
      <c r="H2039" t="s">
        <v>2672</v>
      </c>
      <c r="I2039" t="s">
        <v>73</v>
      </c>
      <c r="J2039" t="s">
        <v>5468</v>
      </c>
      <c r="K2039" t="s">
        <v>2649</v>
      </c>
      <c r="L2039" t="s">
        <v>31</v>
      </c>
      <c r="M2039" t="s">
        <v>27</v>
      </c>
      <c r="N2039" t="s">
        <v>27</v>
      </c>
      <c r="O2039" t="s">
        <v>27</v>
      </c>
      <c r="P2039" t="s">
        <v>31</v>
      </c>
      <c r="Q2039" t="s">
        <v>31</v>
      </c>
      <c r="R2039" t="s">
        <v>31</v>
      </c>
      <c r="S2039" t="s">
        <v>31</v>
      </c>
      <c r="T2039" t="s">
        <v>5469</v>
      </c>
    </row>
    <row r="2040" spans="1:20" hidden="1" x14ac:dyDescent="0.3">
      <c r="A2040" t="s">
        <v>2023</v>
      </c>
      <c r="B2040" t="s">
        <v>51</v>
      </c>
      <c r="C2040" t="s">
        <v>37</v>
      </c>
      <c r="D2040" t="s">
        <v>52</v>
      </c>
      <c r="E2040">
        <v>2021</v>
      </c>
      <c r="F2040" t="s">
        <v>31</v>
      </c>
      <c r="G2040" t="s">
        <v>31</v>
      </c>
      <c r="H2040" t="s">
        <v>2647</v>
      </c>
      <c r="I2040" t="s">
        <v>47</v>
      </c>
      <c r="J2040" t="s">
        <v>5470</v>
      </c>
      <c r="K2040" t="s">
        <v>5471</v>
      </c>
      <c r="L2040" t="s">
        <v>54</v>
      </c>
      <c r="M2040" t="s">
        <v>27</v>
      </c>
      <c r="N2040" t="s">
        <v>27</v>
      </c>
      <c r="O2040" t="s">
        <v>27</v>
      </c>
      <c r="P2040" t="s">
        <v>31</v>
      </c>
      <c r="Q2040" t="s">
        <v>31</v>
      </c>
      <c r="R2040" t="s">
        <v>31</v>
      </c>
      <c r="S2040" t="s">
        <v>31</v>
      </c>
      <c r="T2040" t="s">
        <v>31</v>
      </c>
    </row>
    <row r="2041" spans="1:20" hidden="1" x14ac:dyDescent="0.3">
      <c r="A2041" t="s">
        <v>2024</v>
      </c>
      <c r="B2041" t="s">
        <v>91</v>
      </c>
      <c r="C2041" t="s">
        <v>92</v>
      </c>
      <c r="D2041" t="s">
        <v>93</v>
      </c>
      <c r="E2041">
        <v>2021</v>
      </c>
      <c r="F2041" t="s">
        <v>31</v>
      </c>
      <c r="G2041" t="s">
        <v>5396</v>
      </c>
      <c r="H2041" t="s">
        <v>2678</v>
      </c>
      <c r="I2041" t="s">
        <v>53</v>
      </c>
      <c r="J2041" t="s">
        <v>5472</v>
      </c>
      <c r="K2041" t="s">
        <v>31</v>
      </c>
      <c r="L2041" t="s">
        <v>31</v>
      </c>
      <c r="M2041" t="s">
        <v>27</v>
      </c>
      <c r="N2041" t="s">
        <v>27</v>
      </c>
      <c r="O2041" t="s">
        <v>33</v>
      </c>
      <c r="P2041" t="s">
        <v>31</v>
      </c>
      <c r="Q2041">
        <v>7.2</v>
      </c>
      <c r="R2041">
        <v>-4.49</v>
      </c>
      <c r="S2041">
        <v>-76.846000000000004</v>
      </c>
      <c r="T2041" t="s">
        <v>31</v>
      </c>
    </row>
    <row r="2042" spans="1:20" hidden="1" x14ac:dyDescent="0.3">
      <c r="A2042" t="s">
        <v>2025</v>
      </c>
      <c r="B2042" t="s">
        <v>51</v>
      </c>
      <c r="C2042" t="s">
        <v>37</v>
      </c>
      <c r="D2042" t="s">
        <v>52</v>
      </c>
      <c r="E2042">
        <v>2021</v>
      </c>
      <c r="F2042" t="s">
        <v>31</v>
      </c>
      <c r="G2042" t="s">
        <v>31</v>
      </c>
      <c r="H2042" t="s">
        <v>2647</v>
      </c>
      <c r="I2042" t="s">
        <v>47</v>
      </c>
      <c r="J2042" t="s">
        <v>5473</v>
      </c>
      <c r="K2042" t="s">
        <v>31</v>
      </c>
      <c r="L2042" t="s">
        <v>31</v>
      </c>
      <c r="M2042" t="s">
        <v>27</v>
      </c>
      <c r="N2042" t="s">
        <v>27</v>
      </c>
      <c r="O2042" t="s">
        <v>33</v>
      </c>
      <c r="P2042" t="s">
        <v>31</v>
      </c>
      <c r="Q2042" t="s">
        <v>31</v>
      </c>
      <c r="R2042" t="s">
        <v>31</v>
      </c>
      <c r="S2042" t="s">
        <v>31</v>
      </c>
      <c r="T2042" t="s">
        <v>5474</v>
      </c>
    </row>
    <row r="2043" spans="1:20" hidden="1" x14ac:dyDescent="0.3">
      <c r="A2043" t="s">
        <v>2026</v>
      </c>
      <c r="B2043" t="s">
        <v>51</v>
      </c>
      <c r="C2043" t="s">
        <v>37</v>
      </c>
      <c r="D2043" t="s">
        <v>52</v>
      </c>
      <c r="E2043">
        <v>2021</v>
      </c>
      <c r="F2043">
        <v>75000</v>
      </c>
      <c r="G2043" t="s">
        <v>31</v>
      </c>
      <c r="H2043" t="s">
        <v>2645</v>
      </c>
      <c r="I2043" t="s">
        <v>34</v>
      </c>
      <c r="J2043" t="s">
        <v>5475</v>
      </c>
      <c r="K2043" t="s">
        <v>5476</v>
      </c>
      <c r="L2043" t="s">
        <v>29</v>
      </c>
      <c r="M2043" t="s">
        <v>27</v>
      </c>
      <c r="N2043" t="s">
        <v>27</v>
      </c>
      <c r="O2043" t="s">
        <v>33</v>
      </c>
      <c r="P2043" t="s">
        <v>31</v>
      </c>
      <c r="Q2043" t="s">
        <v>31</v>
      </c>
      <c r="R2043" t="s">
        <v>31</v>
      </c>
      <c r="S2043" t="s">
        <v>31</v>
      </c>
      <c r="T2043" t="s">
        <v>31</v>
      </c>
    </row>
    <row r="2044" spans="1:20" hidden="1" x14ac:dyDescent="0.3">
      <c r="A2044" t="s">
        <v>2027</v>
      </c>
      <c r="B2044" t="s">
        <v>39</v>
      </c>
      <c r="C2044" t="s">
        <v>157</v>
      </c>
      <c r="D2044" t="s">
        <v>157</v>
      </c>
      <c r="E2044">
        <v>2021</v>
      </c>
      <c r="F2044">
        <v>3000000</v>
      </c>
      <c r="G2044" t="s">
        <v>31</v>
      </c>
      <c r="H2044" t="s">
        <v>2656</v>
      </c>
      <c r="I2044" t="s">
        <v>119</v>
      </c>
      <c r="J2044" t="s">
        <v>5477</v>
      </c>
      <c r="K2044" t="s">
        <v>31</v>
      </c>
      <c r="L2044" t="s">
        <v>31</v>
      </c>
      <c r="M2044" t="s">
        <v>27</v>
      </c>
      <c r="N2044" t="s">
        <v>27</v>
      </c>
      <c r="O2044" t="s">
        <v>33</v>
      </c>
      <c r="P2044" t="s">
        <v>31</v>
      </c>
      <c r="Q2044" t="s">
        <v>31</v>
      </c>
      <c r="R2044" t="s">
        <v>31</v>
      </c>
      <c r="S2044" t="s">
        <v>31</v>
      </c>
      <c r="T2044" t="s">
        <v>31</v>
      </c>
    </row>
    <row r="2045" spans="1:20" hidden="1" x14ac:dyDescent="0.3">
      <c r="A2045" t="s">
        <v>42</v>
      </c>
      <c r="B2045" t="s">
        <v>43</v>
      </c>
      <c r="C2045" t="s">
        <v>2665</v>
      </c>
      <c r="D2045" t="s">
        <v>44</v>
      </c>
      <c r="E2045">
        <v>2022</v>
      </c>
      <c r="F2045" t="s">
        <v>31</v>
      </c>
      <c r="G2045" t="s">
        <v>5478</v>
      </c>
      <c r="H2045" t="s">
        <v>2749</v>
      </c>
      <c r="I2045" t="s">
        <v>45</v>
      </c>
      <c r="J2045" t="s">
        <v>5479</v>
      </c>
      <c r="K2045" t="s">
        <v>31</v>
      </c>
      <c r="L2045" t="s">
        <v>31</v>
      </c>
      <c r="M2045" t="s">
        <v>27</v>
      </c>
      <c r="N2045" t="s">
        <v>27</v>
      </c>
      <c r="O2045" t="s">
        <v>33</v>
      </c>
      <c r="P2045" t="s">
        <v>31</v>
      </c>
      <c r="Q2045" t="s">
        <v>31</v>
      </c>
      <c r="R2045" t="s">
        <v>31</v>
      </c>
      <c r="S2045" t="s">
        <v>31</v>
      </c>
      <c r="T2045" t="s">
        <v>31</v>
      </c>
    </row>
    <row r="2046" spans="1:20" hidden="1" x14ac:dyDescent="0.3">
      <c r="A2046" t="s">
        <v>46</v>
      </c>
      <c r="B2046" t="s">
        <v>28</v>
      </c>
      <c r="C2046" t="s">
        <v>29</v>
      </c>
      <c r="D2046" t="s">
        <v>30</v>
      </c>
      <c r="E2046">
        <v>2022</v>
      </c>
      <c r="F2046" t="s">
        <v>31</v>
      </c>
      <c r="G2046" t="s">
        <v>5480</v>
      </c>
      <c r="H2046" t="s">
        <v>2647</v>
      </c>
      <c r="I2046" t="s">
        <v>47</v>
      </c>
      <c r="J2046" t="s">
        <v>5481</v>
      </c>
      <c r="K2046" t="s">
        <v>31</v>
      </c>
      <c r="L2046" t="s">
        <v>31</v>
      </c>
      <c r="M2046" t="s">
        <v>27</v>
      </c>
      <c r="N2046" t="s">
        <v>27</v>
      </c>
      <c r="O2046" t="s">
        <v>27</v>
      </c>
      <c r="P2046" t="s">
        <v>31</v>
      </c>
      <c r="Q2046" t="s">
        <v>31</v>
      </c>
      <c r="R2046" t="s">
        <v>31</v>
      </c>
      <c r="S2046" t="s">
        <v>31</v>
      </c>
      <c r="T2046" t="s">
        <v>31</v>
      </c>
    </row>
    <row r="2047" spans="1:20" hidden="1" x14ac:dyDescent="0.3">
      <c r="A2047" t="s">
        <v>48</v>
      </c>
      <c r="B2047" t="s">
        <v>28</v>
      </c>
      <c r="C2047" t="s">
        <v>29</v>
      </c>
      <c r="D2047" t="s">
        <v>30</v>
      </c>
      <c r="E2047">
        <v>2022</v>
      </c>
      <c r="F2047" t="s">
        <v>31</v>
      </c>
      <c r="G2047" t="s">
        <v>5480</v>
      </c>
      <c r="H2047" t="s">
        <v>2753</v>
      </c>
      <c r="I2047" t="s">
        <v>49</v>
      </c>
      <c r="J2047" t="s">
        <v>31</v>
      </c>
      <c r="K2047" t="s">
        <v>31</v>
      </c>
      <c r="L2047" t="s">
        <v>31</v>
      </c>
      <c r="M2047" t="s">
        <v>27</v>
      </c>
      <c r="N2047" t="s">
        <v>27</v>
      </c>
      <c r="O2047" t="s">
        <v>27</v>
      </c>
      <c r="P2047" t="s">
        <v>31</v>
      </c>
      <c r="Q2047" t="s">
        <v>31</v>
      </c>
      <c r="R2047" t="s">
        <v>31</v>
      </c>
      <c r="S2047" t="s">
        <v>31</v>
      </c>
      <c r="T2047" t="s">
        <v>31</v>
      </c>
    </row>
    <row r="2048" spans="1:20" hidden="1" x14ac:dyDescent="0.3">
      <c r="A2048" t="s">
        <v>193</v>
      </c>
      <c r="B2048" t="s">
        <v>51</v>
      </c>
      <c r="C2048" t="s">
        <v>37</v>
      </c>
      <c r="D2048" t="s">
        <v>52</v>
      </c>
      <c r="E2048">
        <v>2022</v>
      </c>
      <c r="F2048" t="s">
        <v>31</v>
      </c>
      <c r="G2048" t="s">
        <v>31</v>
      </c>
      <c r="H2048" t="s">
        <v>2730</v>
      </c>
      <c r="I2048" t="s">
        <v>57</v>
      </c>
      <c r="J2048" t="s">
        <v>5482</v>
      </c>
      <c r="K2048" t="s">
        <v>2649</v>
      </c>
      <c r="L2048" t="s">
        <v>31</v>
      </c>
      <c r="M2048" t="s">
        <v>27</v>
      </c>
      <c r="N2048" t="s">
        <v>27</v>
      </c>
      <c r="O2048" t="s">
        <v>27</v>
      </c>
      <c r="P2048" t="s">
        <v>31</v>
      </c>
      <c r="Q2048" t="s">
        <v>31</v>
      </c>
      <c r="R2048" t="s">
        <v>31</v>
      </c>
      <c r="S2048" t="s">
        <v>31</v>
      </c>
      <c r="T2048" t="s">
        <v>31</v>
      </c>
    </row>
    <row r="2049" spans="1:20" hidden="1" x14ac:dyDescent="0.3">
      <c r="A2049" t="s">
        <v>197</v>
      </c>
      <c r="B2049" t="s">
        <v>51</v>
      </c>
      <c r="C2049" t="s">
        <v>2655</v>
      </c>
      <c r="D2049" t="s">
        <v>134</v>
      </c>
      <c r="E2049">
        <v>2022</v>
      </c>
      <c r="F2049" t="s">
        <v>31</v>
      </c>
      <c r="G2049" t="s">
        <v>31</v>
      </c>
      <c r="H2049" t="s">
        <v>2647</v>
      </c>
      <c r="I2049" t="s">
        <v>47</v>
      </c>
      <c r="J2049" t="s">
        <v>5483</v>
      </c>
      <c r="K2049" t="s">
        <v>2649</v>
      </c>
      <c r="L2049" t="s">
        <v>31</v>
      </c>
      <c r="M2049" t="s">
        <v>27</v>
      </c>
      <c r="N2049" t="s">
        <v>27</v>
      </c>
      <c r="O2049" t="s">
        <v>27</v>
      </c>
      <c r="P2049" t="s">
        <v>31</v>
      </c>
      <c r="Q2049" t="s">
        <v>31</v>
      </c>
      <c r="R2049" t="s">
        <v>31</v>
      </c>
      <c r="S2049" t="s">
        <v>31</v>
      </c>
      <c r="T2049" t="s">
        <v>31</v>
      </c>
    </row>
    <row r="2050" spans="1:20" hidden="1" x14ac:dyDescent="0.3">
      <c r="A2050" t="s">
        <v>199</v>
      </c>
      <c r="B2050" t="s">
        <v>91</v>
      </c>
      <c r="C2050" t="s">
        <v>92</v>
      </c>
      <c r="D2050" t="s">
        <v>93</v>
      </c>
      <c r="E2050">
        <v>2022</v>
      </c>
      <c r="F2050" t="s">
        <v>31</v>
      </c>
      <c r="G2050" t="s">
        <v>31</v>
      </c>
      <c r="H2050" t="s">
        <v>2678</v>
      </c>
      <c r="I2050" t="s">
        <v>53</v>
      </c>
      <c r="J2050" t="s">
        <v>5484</v>
      </c>
      <c r="K2050" t="s">
        <v>31</v>
      </c>
      <c r="L2050" t="s">
        <v>31</v>
      </c>
      <c r="M2050" t="s">
        <v>27</v>
      </c>
      <c r="N2050" t="s">
        <v>27</v>
      </c>
      <c r="O2050" t="s">
        <v>27</v>
      </c>
      <c r="P2050" t="s">
        <v>31</v>
      </c>
      <c r="Q2050">
        <v>6.5</v>
      </c>
      <c r="R2050">
        <v>-4.4660000000000002</v>
      </c>
      <c r="S2050">
        <v>-76.927999999999997</v>
      </c>
      <c r="T2050" t="s">
        <v>31</v>
      </c>
    </row>
    <row r="2051" spans="1:20" hidden="1" x14ac:dyDescent="0.3">
      <c r="A2051" t="s">
        <v>200</v>
      </c>
      <c r="B2051" t="s">
        <v>91</v>
      </c>
      <c r="C2051" t="s">
        <v>92</v>
      </c>
      <c r="D2051" t="s">
        <v>93</v>
      </c>
      <c r="E2051">
        <v>2022</v>
      </c>
      <c r="F2051" t="s">
        <v>31</v>
      </c>
      <c r="G2051" t="s">
        <v>31</v>
      </c>
      <c r="H2051" t="s">
        <v>2719</v>
      </c>
      <c r="I2051" t="s">
        <v>90</v>
      </c>
      <c r="J2051" t="s">
        <v>5485</v>
      </c>
      <c r="K2051" t="s">
        <v>31</v>
      </c>
      <c r="L2051" t="s">
        <v>31</v>
      </c>
      <c r="M2051" t="s">
        <v>27</v>
      </c>
      <c r="N2051" t="s">
        <v>27</v>
      </c>
      <c r="O2051" t="s">
        <v>27</v>
      </c>
      <c r="P2051" t="s">
        <v>31</v>
      </c>
      <c r="Q2051">
        <v>6.2</v>
      </c>
      <c r="R2051">
        <v>14.228</v>
      </c>
      <c r="S2051">
        <v>-91.343000000000004</v>
      </c>
      <c r="T2051" t="s">
        <v>31</v>
      </c>
    </row>
    <row r="2052" spans="1:20" hidden="1" x14ac:dyDescent="0.3">
      <c r="A2052" t="s">
        <v>201</v>
      </c>
      <c r="B2052" t="s">
        <v>39</v>
      </c>
      <c r="C2052" t="s">
        <v>40</v>
      </c>
      <c r="D2052" t="s">
        <v>142</v>
      </c>
      <c r="E2052">
        <v>2022</v>
      </c>
      <c r="F2052">
        <v>770000</v>
      </c>
      <c r="G2052" t="s">
        <v>5486</v>
      </c>
      <c r="H2052" t="s">
        <v>2658</v>
      </c>
      <c r="I2052" t="s">
        <v>130</v>
      </c>
      <c r="J2052" t="s">
        <v>5487</v>
      </c>
      <c r="K2052" t="s">
        <v>31</v>
      </c>
      <c r="L2052" t="s">
        <v>31</v>
      </c>
      <c r="M2052" t="s">
        <v>27</v>
      </c>
      <c r="N2052" t="s">
        <v>27</v>
      </c>
      <c r="O2052" t="s">
        <v>33</v>
      </c>
      <c r="P2052" t="s">
        <v>31</v>
      </c>
      <c r="Q2052" t="s">
        <v>31</v>
      </c>
      <c r="R2052" t="s">
        <v>31</v>
      </c>
      <c r="S2052" t="s">
        <v>31</v>
      </c>
      <c r="T2052" t="s">
        <v>31</v>
      </c>
    </row>
    <row r="2053" spans="1:20" hidden="1" x14ac:dyDescent="0.3">
      <c r="A2053" t="s">
        <v>202</v>
      </c>
      <c r="B2053" t="s">
        <v>51</v>
      </c>
      <c r="C2053" t="s">
        <v>37</v>
      </c>
      <c r="D2053" t="s">
        <v>52</v>
      </c>
      <c r="E2053">
        <v>2022</v>
      </c>
      <c r="F2053" t="s">
        <v>31</v>
      </c>
      <c r="G2053" t="s">
        <v>31</v>
      </c>
      <c r="H2053" t="s">
        <v>2656</v>
      </c>
      <c r="I2053" t="s">
        <v>119</v>
      </c>
      <c r="J2053" t="s">
        <v>5488</v>
      </c>
      <c r="K2053" t="s">
        <v>2649</v>
      </c>
      <c r="L2053" t="s">
        <v>54</v>
      </c>
      <c r="M2053" t="s">
        <v>27</v>
      </c>
      <c r="N2053" t="s">
        <v>27</v>
      </c>
      <c r="O2053" t="s">
        <v>27</v>
      </c>
      <c r="P2053" t="s">
        <v>31</v>
      </c>
      <c r="Q2053" t="s">
        <v>31</v>
      </c>
      <c r="R2053" t="s">
        <v>31</v>
      </c>
      <c r="S2053" t="s">
        <v>31</v>
      </c>
      <c r="T2053" t="s">
        <v>31</v>
      </c>
    </row>
    <row r="2054" spans="1:20" hidden="1" x14ac:dyDescent="0.3">
      <c r="A2054" t="s">
        <v>203</v>
      </c>
      <c r="B2054" t="s">
        <v>91</v>
      </c>
      <c r="C2054" t="s">
        <v>92</v>
      </c>
      <c r="D2054" t="s">
        <v>93</v>
      </c>
      <c r="E2054">
        <v>2022</v>
      </c>
      <c r="F2054" t="s">
        <v>31</v>
      </c>
      <c r="G2054" t="s">
        <v>5489</v>
      </c>
      <c r="H2054" t="s">
        <v>2666</v>
      </c>
      <c r="I2054" t="s">
        <v>109</v>
      </c>
      <c r="J2054" t="s">
        <v>5490</v>
      </c>
      <c r="K2054" t="s">
        <v>31</v>
      </c>
      <c r="L2054" t="s">
        <v>31</v>
      </c>
      <c r="M2054" t="s">
        <v>27</v>
      </c>
      <c r="N2054" t="s">
        <v>27</v>
      </c>
      <c r="O2054" t="s">
        <v>27</v>
      </c>
      <c r="P2054" t="s">
        <v>31</v>
      </c>
      <c r="Q2054">
        <v>5.8</v>
      </c>
      <c r="R2054">
        <v>0.90900000000000003</v>
      </c>
      <c r="S2054">
        <v>-79.588999999999999</v>
      </c>
      <c r="T2054" t="s">
        <v>31</v>
      </c>
    </row>
    <row r="2055" spans="1:20" hidden="1" x14ac:dyDescent="0.3">
      <c r="A2055" t="s">
        <v>212</v>
      </c>
      <c r="B2055" t="s">
        <v>51</v>
      </c>
      <c r="C2055" t="s">
        <v>37</v>
      </c>
      <c r="D2055" t="s">
        <v>52</v>
      </c>
      <c r="E2055">
        <v>2022</v>
      </c>
      <c r="F2055" t="s">
        <v>31</v>
      </c>
      <c r="G2055" t="s">
        <v>31</v>
      </c>
      <c r="H2055" t="s">
        <v>2645</v>
      </c>
      <c r="I2055" t="s">
        <v>34</v>
      </c>
      <c r="J2055" t="s">
        <v>5491</v>
      </c>
      <c r="K2055" t="s">
        <v>2649</v>
      </c>
      <c r="L2055" t="s">
        <v>31</v>
      </c>
      <c r="M2055" t="s">
        <v>27</v>
      </c>
      <c r="N2055" t="s">
        <v>27</v>
      </c>
      <c r="O2055" t="s">
        <v>33</v>
      </c>
      <c r="P2055" t="s">
        <v>31</v>
      </c>
      <c r="Q2055" t="s">
        <v>31</v>
      </c>
      <c r="R2055" t="s">
        <v>31</v>
      </c>
      <c r="S2055" t="s">
        <v>31</v>
      </c>
      <c r="T2055" t="s">
        <v>31</v>
      </c>
    </row>
    <row r="2056" spans="1:20" hidden="1" x14ac:dyDescent="0.3">
      <c r="A2056" t="s">
        <v>221</v>
      </c>
      <c r="B2056" t="s">
        <v>28</v>
      </c>
      <c r="C2056" t="s">
        <v>29</v>
      </c>
      <c r="D2056" t="s">
        <v>222</v>
      </c>
      <c r="E2056">
        <v>2022</v>
      </c>
      <c r="F2056">
        <v>2500000</v>
      </c>
      <c r="G2056" t="s">
        <v>5492</v>
      </c>
      <c r="H2056" t="s">
        <v>2645</v>
      </c>
      <c r="I2056" t="s">
        <v>34</v>
      </c>
      <c r="J2056" t="s">
        <v>5493</v>
      </c>
      <c r="K2056" t="s">
        <v>31</v>
      </c>
      <c r="L2056" t="s">
        <v>65</v>
      </c>
      <c r="M2056" t="s">
        <v>27</v>
      </c>
      <c r="N2056" t="s">
        <v>27</v>
      </c>
      <c r="O2056" t="s">
        <v>27</v>
      </c>
      <c r="P2056" t="s">
        <v>31</v>
      </c>
      <c r="Q2056" t="s">
        <v>31</v>
      </c>
      <c r="R2056" t="s">
        <v>31</v>
      </c>
      <c r="S2056" t="s">
        <v>31</v>
      </c>
      <c r="T2056" t="s">
        <v>31</v>
      </c>
    </row>
    <row r="2057" spans="1:20" hidden="1" x14ac:dyDescent="0.3">
      <c r="A2057" t="s">
        <v>223</v>
      </c>
      <c r="B2057" t="s">
        <v>51</v>
      </c>
      <c r="C2057" t="s">
        <v>37</v>
      </c>
      <c r="D2057" t="s">
        <v>52</v>
      </c>
      <c r="E2057">
        <v>2022</v>
      </c>
      <c r="F2057" t="s">
        <v>31</v>
      </c>
      <c r="G2057" t="s">
        <v>31</v>
      </c>
      <c r="H2057" t="s">
        <v>2647</v>
      </c>
      <c r="I2057" t="s">
        <v>47</v>
      </c>
      <c r="J2057" t="s">
        <v>5494</v>
      </c>
      <c r="K2057" t="s">
        <v>2649</v>
      </c>
      <c r="L2057" t="s">
        <v>54</v>
      </c>
      <c r="M2057" t="s">
        <v>27</v>
      </c>
      <c r="N2057" t="s">
        <v>27</v>
      </c>
      <c r="O2057" t="s">
        <v>27</v>
      </c>
      <c r="P2057" t="s">
        <v>31</v>
      </c>
      <c r="Q2057" t="s">
        <v>31</v>
      </c>
      <c r="R2057" t="s">
        <v>31</v>
      </c>
      <c r="S2057" t="s">
        <v>31</v>
      </c>
      <c r="T2057" t="s">
        <v>31</v>
      </c>
    </row>
    <row r="2058" spans="1:20" hidden="1" x14ac:dyDescent="0.3">
      <c r="A2058" t="s">
        <v>238</v>
      </c>
      <c r="B2058" t="s">
        <v>28</v>
      </c>
      <c r="C2058" t="s">
        <v>29</v>
      </c>
      <c r="D2058" t="s">
        <v>30</v>
      </c>
      <c r="E2058">
        <v>2022</v>
      </c>
      <c r="F2058">
        <v>2500000</v>
      </c>
      <c r="G2058" t="s">
        <v>5495</v>
      </c>
      <c r="H2058" t="s">
        <v>2847</v>
      </c>
      <c r="I2058" t="s">
        <v>62</v>
      </c>
      <c r="J2058" t="s">
        <v>31</v>
      </c>
      <c r="K2058" t="s">
        <v>31</v>
      </c>
      <c r="L2058" t="s">
        <v>82</v>
      </c>
      <c r="M2058" t="s">
        <v>27</v>
      </c>
      <c r="N2058" t="s">
        <v>27</v>
      </c>
      <c r="O2058" t="s">
        <v>33</v>
      </c>
      <c r="P2058" t="s">
        <v>31</v>
      </c>
      <c r="Q2058" t="s">
        <v>31</v>
      </c>
      <c r="R2058" t="s">
        <v>31</v>
      </c>
      <c r="S2058" t="s">
        <v>31</v>
      </c>
      <c r="T2058" t="s">
        <v>31</v>
      </c>
    </row>
    <row r="2059" spans="1:20" hidden="1" x14ac:dyDescent="0.3">
      <c r="A2059" t="s">
        <v>241</v>
      </c>
      <c r="B2059" t="s">
        <v>28</v>
      </c>
      <c r="C2059" t="s">
        <v>29</v>
      </c>
      <c r="D2059" t="s">
        <v>30</v>
      </c>
      <c r="E2059">
        <v>2022</v>
      </c>
      <c r="F2059">
        <v>25000</v>
      </c>
      <c r="G2059" t="s">
        <v>5496</v>
      </c>
      <c r="H2059" t="s">
        <v>2716</v>
      </c>
      <c r="I2059" t="s">
        <v>242</v>
      </c>
      <c r="J2059" t="s">
        <v>5497</v>
      </c>
      <c r="K2059" t="s">
        <v>31</v>
      </c>
      <c r="L2059" t="s">
        <v>31</v>
      </c>
      <c r="M2059" t="s">
        <v>27</v>
      </c>
      <c r="N2059" t="s">
        <v>27</v>
      </c>
      <c r="O2059" t="s">
        <v>27</v>
      </c>
      <c r="P2059" t="s">
        <v>31</v>
      </c>
      <c r="Q2059">
        <v>208</v>
      </c>
      <c r="R2059" t="s">
        <v>31</v>
      </c>
      <c r="S2059" t="s">
        <v>31</v>
      </c>
      <c r="T2059" t="s">
        <v>31</v>
      </c>
    </row>
    <row r="2060" spans="1:20" hidden="1" x14ac:dyDescent="0.3">
      <c r="A2060" t="s">
        <v>243</v>
      </c>
      <c r="B2060" t="s">
        <v>91</v>
      </c>
      <c r="C2060" t="s">
        <v>92</v>
      </c>
      <c r="D2060" t="s">
        <v>93</v>
      </c>
      <c r="E2060">
        <v>2022</v>
      </c>
      <c r="F2060" t="s">
        <v>31</v>
      </c>
      <c r="G2060" t="s">
        <v>31</v>
      </c>
      <c r="H2060" t="s">
        <v>2672</v>
      </c>
      <c r="I2060" t="s">
        <v>73</v>
      </c>
      <c r="J2060" t="s">
        <v>5498</v>
      </c>
      <c r="K2060" t="s">
        <v>31</v>
      </c>
      <c r="L2060" t="s">
        <v>31</v>
      </c>
      <c r="M2060" t="s">
        <v>27</v>
      </c>
      <c r="N2060" t="s">
        <v>27</v>
      </c>
      <c r="O2060" t="s">
        <v>27</v>
      </c>
      <c r="P2060" t="s">
        <v>31</v>
      </c>
      <c r="Q2060">
        <v>6.8</v>
      </c>
      <c r="R2060">
        <v>18.247</v>
      </c>
      <c r="S2060">
        <v>-102.952</v>
      </c>
      <c r="T2060" t="s">
        <v>31</v>
      </c>
    </row>
    <row r="2061" spans="1:20" hidden="1" x14ac:dyDescent="0.3">
      <c r="A2061" t="s">
        <v>249</v>
      </c>
      <c r="B2061" t="s">
        <v>91</v>
      </c>
      <c r="C2061" t="s">
        <v>92</v>
      </c>
      <c r="D2061" t="s">
        <v>93</v>
      </c>
      <c r="E2061">
        <v>2022</v>
      </c>
      <c r="F2061">
        <v>25000</v>
      </c>
      <c r="G2061" t="s">
        <v>31</v>
      </c>
      <c r="H2061" t="s">
        <v>2672</v>
      </c>
      <c r="I2061" t="s">
        <v>73</v>
      </c>
      <c r="J2061" t="s">
        <v>5499</v>
      </c>
      <c r="K2061" t="s">
        <v>31</v>
      </c>
      <c r="L2061" t="s">
        <v>173</v>
      </c>
      <c r="M2061" t="s">
        <v>27</v>
      </c>
      <c r="N2061" t="s">
        <v>27</v>
      </c>
      <c r="O2061" t="s">
        <v>27</v>
      </c>
      <c r="P2061" t="s">
        <v>31</v>
      </c>
      <c r="Q2061">
        <v>7.6</v>
      </c>
      <c r="R2061">
        <v>18.497</v>
      </c>
      <c r="S2061">
        <v>-102.982</v>
      </c>
      <c r="T2061" t="s">
        <v>31</v>
      </c>
    </row>
    <row r="2062" spans="1:20" hidden="1" x14ac:dyDescent="0.3">
      <c r="A2062" t="s">
        <v>251</v>
      </c>
      <c r="B2062" t="s">
        <v>28</v>
      </c>
      <c r="C2062" t="s">
        <v>29</v>
      </c>
      <c r="D2062" t="s">
        <v>30</v>
      </c>
      <c r="E2062">
        <v>2022</v>
      </c>
      <c r="F2062">
        <v>180000</v>
      </c>
      <c r="G2062" t="s">
        <v>5480</v>
      </c>
      <c r="H2062" t="s">
        <v>2675</v>
      </c>
      <c r="I2062" t="s">
        <v>81</v>
      </c>
      <c r="J2062" t="s">
        <v>31</v>
      </c>
      <c r="K2062" t="s">
        <v>31</v>
      </c>
      <c r="L2062" t="s">
        <v>37</v>
      </c>
      <c r="M2062" t="s">
        <v>27</v>
      </c>
      <c r="N2062" t="s">
        <v>27</v>
      </c>
      <c r="O2062" t="s">
        <v>27</v>
      </c>
      <c r="P2062" t="s">
        <v>31</v>
      </c>
      <c r="Q2062" t="s">
        <v>31</v>
      </c>
      <c r="R2062" t="s">
        <v>31</v>
      </c>
      <c r="S2062" t="s">
        <v>31</v>
      </c>
      <c r="T2062" t="s">
        <v>31</v>
      </c>
    </row>
    <row r="2063" spans="1:20" hidden="1" x14ac:dyDescent="0.3">
      <c r="A2063" t="s">
        <v>252</v>
      </c>
      <c r="B2063" t="s">
        <v>51</v>
      </c>
      <c r="C2063" t="s">
        <v>2655</v>
      </c>
      <c r="D2063" t="s">
        <v>134</v>
      </c>
      <c r="E2063">
        <v>2022</v>
      </c>
      <c r="F2063" t="s">
        <v>31</v>
      </c>
      <c r="G2063" t="s">
        <v>31</v>
      </c>
      <c r="H2063" t="s">
        <v>2709</v>
      </c>
      <c r="I2063" t="s">
        <v>70</v>
      </c>
      <c r="J2063" t="s">
        <v>5500</v>
      </c>
      <c r="K2063" t="s">
        <v>2649</v>
      </c>
      <c r="L2063" t="s">
        <v>37</v>
      </c>
      <c r="M2063" t="s">
        <v>27</v>
      </c>
      <c r="N2063" t="s">
        <v>27</v>
      </c>
      <c r="O2063" t="s">
        <v>27</v>
      </c>
      <c r="P2063" t="s">
        <v>31</v>
      </c>
      <c r="Q2063" t="s">
        <v>31</v>
      </c>
      <c r="R2063" t="s">
        <v>31</v>
      </c>
      <c r="S2063" t="s">
        <v>31</v>
      </c>
      <c r="T2063" t="s">
        <v>31</v>
      </c>
    </row>
    <row r="2064" spans="1:20" hidden="1" x14ac:dyDescent="0.3">
      <c r="A2064" t="s">
        <v>253</v>
      </c>
      <c r="B2064" t="s">
        <v>51</v>
      </c>
      <c r="C2064" t="s">
        <v>37</v>
      </c>
      <c r="D2064" t="s">
        <v>52</v>
      </c>
      <c r="E2064">
        <v>2022</v>
      </c>
      <c r="F2064" t="s">
        <v>31</v>
      </c>
      <c r="G2064" t="s">
        <v>31</v>
      </c>
      <c r="H2064" t="s">
        <v>2656</v>
      </c>
      <c r="I2064" t="s">
        <v>119</v>
      </c>
      <c r="J2064" t="s">
        <v>5501</v>
      </c>
      <c r="K2064" t="s">
        <v>2649</v>
      </c>
      <c r="L2064" t="s">
        <v>31</v>
      </c>
      <c r="M2064" t="s">
        <v>27</v>
      </c>
      <c r="N2064" t="s">
        <v>27</v>
      </c>
      <c r="O2064" t="s">
        <v>27</v>
      </c>
      <c r="P2064" t="s">
        <v>31</v>
      </c>
      <c r="Q2064" t="s">
        <v>31</v>
      </c>
      <c r="R2064" t="s">
        <v>31</v>
      </c>
      <c r="S2064" t="s">
        <v>31</v>
      </c>
      <c r="T2064" t="s">
        <v>31</v>
      </c>
    </row>
    <row r="2065" spans="1:20" hidden="1" x14ac:dyDescent="0.3">
      <c r="A2065" t="s">
        <v>257</v>
      </c>
      <c r="B2065" t="s">
        <v>28</v>
      </c>
      <c r="C2065" t="s">
        <v>29</v>
      </c>
      <c r="D2065" t="s">
        <v>30</v>
      </c>
      <c r="E2065">
        <v>2022</v>
      </c>
      <c r="F2065">
        <v>1000000</v>
      </c>
      <c r="G2065" t="s">
        <v>5502</v>
      </c>
      <c r="H2065" t="s">
        <v>2645</v>
      </c>
      <c r="I2065" t="s">
        <v>34</v>
      </c>
      <c r="J2065" t="s">
        <v>5503</v>
      </c>
      <c r="K2065" t="s">
        <v>31</v>
      </c>
      <c r="L2065" t="s">
        <v>31</v>
      </c>
      <c r="M2065" t="s">
        <v>27</v>
      </c>
      <c r="N2065" t="s">
        <v>27</v>
      </c>
      <c r="O2065" t="s">
        <v>33</v>
      </c>
      <c r="P2065" t="s">
        <v>31</v>
      </c>
      <c r="Q2065">
        <v>120</v>
      </c>
      <c r="R2065" t="s">
        <v>31</v>
      </c>
      <c r="S2065" t="s">
        <v>31</v>
      </c>
      <c r="T2065" t="s">
        <v>31</v>
      </c>
    </row>
    <row r="2066" spans="1:20" hidden="1" x14ac:dyDescent="0.3">
      <c r="A2066" t="s">
        <v>258</v>
      </c>
      <c r="B2066" t="s">
        <v>28</v>
      </c>
      <c r="C2066" t="s">
        <v>29</v>
      </c>
      <c r="D2066" t="s">
        <v>64</v>
      </c>
      <c r="E2066">
        <v>2022</v>
      </c>
      <c r="F2066">
        <v>375000</v>
      </c>
      <c r="G2066" t="s">
        <v>31</v>
      </c>
      <c r="H2066" t="s">
        <v>2645</v>
      </c>
      <c r="I2066" t="s">
        <v>34</v>
      </c>
      <c r="J2066" t="s">
        <v>5504</v>
      </c>
      <c r="K2066" t="s">
        <v>31</v>
      </c>
      <c r="L2066" t="s">
        <v>37</v>
      </c>
      <c r="M2066" t="s">
        <v>27</v>
      </c>
      <c r="N2066" t="s">
        <v>27</v>
      </c>
      <c r="O2066" t="s">
        <v>27</v>
      </c>
      <c r="P2066" t="s">
        <v>31</v>
      </c>
      <c r="Q2066" t="s">
        <v>31</v>
      </c>
      <c r="R2066" t="s">
        <v>31</v>
      </c>
      <c r="S2066" t="s">
        <v>31</v>
      </c>
      <c r="T2066" t="s">
        <v>31</v>
      </c>
    </row>
    <row r="2067" spans="1:20" hidden="1" x14ac:dyDescent="0.3">
      <c r="A2067" t="s">
        <v>259</v>
      </c>
      <c r="B2067" t="s">
        <v>39</v>
      </c>
      <c r="C2067" t="s">
        <v>40</v>
      </c>
      <c r="D2067" t="s">
        <v>142</v>
      </c>
      <c r="E2067">
        <v>2022</v>
      </c>
      <c r="F2067" t="s">
        <v>31</v>
      </c>
      <c r="G2067" t="s">
        <v>31</v>
      </c>
      <c r="H2067" t="s">
        <v>2701</v>
      </c>
      <c r="I2067" t="s">
        <v>60</v>
      </c>
      <c r="J2067" t="s">
        <v>5505</v>
      </c>
      <c r="K2067" t="s">
        <v>31</v>
      </c>
      <c r="L2067" t="s">
        <v>31</v>
      </c>
      <c r="M2067" t="s">
        <v>27</v>
      </c>
      <c r="N2067" t="s">
        <v>27</v>
      </c>
      <c r="O2067" t="s">
        <v>27</v>
      </c>
      <c r="P2067" t="s">
        <v>31</v>
      </c>
      <c r="Q2067" t="s">
        <v>31</v>
      </c>
      <c r="R2067" t="s">
        <v>31</v>
      </c>
      <c r="S2067" t="s">
        <v>31</v>
      </c>
      <c r="T2067" t="s">
        <v>31</v>
      </c>
    </row>
    <row r="2068" spans="1:20" hidden="1" x14ac:dyDescent="0.3">
      <c r="A2068" t="s">
        <v>263</v>
      </c>
      <c r="B2068" t="s">
        <v>91</v>
      </c>
      <c r="C2068" t="s">
        <v>92</v>
      </c>
      <c r="D2068" t="s">
        <v>93</v>
      </c>
      <c r="E2068">
        <v>2022</v>
      </c>
      <c r="F2068">
        <v>250000</v>
      </c>
      <c r="G2068" t="s">
        <v>31</v>
      </c>
      <c r="H2068" t="s">
        <v>2645</v>
      </c>
      <c r="I2068" t="s">
        <v>34</v>
      </c>
      <c r="J2068" t="s">
        <v>5506</v>
      </c>
      <c r="K2068" t="s">
        <v>31</v>
      </c>
      <c r="L2068" t="s">
        <v>31</v>
      </c>
      <c r="M2068" t="s">
        <v>27</v>
      </c>
      <c r="N2068" t="s">
        <v>27</v>
      </c>
      <c r="O2068" t="s">
        <v>33</v>
      </c>
      <c r="P2068" t="s">
        <v>31</v>
      </c>
      <c r="Q2068">
        <v>6.4</v>
      </c>
      <c r="R2068">
        <v>40.524999999999999</v>
      </c>
      <c r="S2068">
        <v>124.423</v>
      </c>
      <c r="T2068" t="s">
        <v>31</v>
      </c>
    </row>
    <row r="2069" spans="1:20" hidden="1" x14ac:dyDescent="0.3">
      <c r="A2069" t="s">
        <v>264</v>
      </c>
      <c r="B2069" t="s">
        <v>28</v>
      </c>
      <c r="C2069" t="s">
        <v>29</v>
      </c>
      <c r="D2069" t="s">
        <v>189</v>
      </c>
      <c r="E2069">
        <v>2022</v>
      </c>
      <c r="F2069">
        <v>345000</v>
      </c>
      <c r="G2069" t="s">
        <v>31</v>
      </c>
      <c r="H2069" t="s">
        <v>2645</v>
      </c>
      <c r="I2069" t="s">
        <v>34</v>
      </c>
      <c r="J2069" t="s">
        <v>5507</v>
      </c>
      <c r="K2069" t="s">
        <v>31</v>
      </c>
      <c r="L2069" t="s">
        <v>31</v>
      </c>
      <c r="M2069" t="s">
        <v>27</v>
      </c>
      <c r="N2069" t="s">
        <v>27</v>
      </c>
      <c r="O2069" t="s">
        <v>27</v>
      </c>
      <c r="P2069" t="s">
        <v>31</v>
      </c>
      <c r="Q2069" t="s">
        <v>31</v>
      </c>
      <c r="R2069" t="s">
        <v>31</v>
      </c>
      <c r="S2069" t="s">
        <v>31</v>
      </c>
      <c r="T2069" t="s">
        <v>31</v>
      </c>
    </row>
    <row r="2070" spans="1:20" hidden="1" x14ac:dyDescent="0.3">
      <c r="A2070" t="s">
        <v>265</v>
      </c>
      <c r="B2070" t="s">
        <v>28</v>
      </c>
      <c r="C2070" t="s">
        <v>29</v>
      </c>
      <c r="D2070" t="s">
        <v>67</v>
      </c>
      <c r="E2070">
        <v>2022</v>
      </c>
      <c r="F2070">
        <v>2700000</v>
      </c>
      <c r="G2070" t="s">
        <v>31</v>
      </c>
      <c r="H2070" t="s">
        <v>2645</v>
      </c>
      <c r="I2070" t="s">
        <v>34</v>
      </c>
      <c r="J2070" t="s">
        <v>5508</v>
      </c>
      <c r="K2070" t="s">
        <v>5509</v>
      </c>
      <c r="L2070" t="s">
        <v>266</v>
      </c>
      <c r="M2070" t="s">
        <v>27</v>
      </c>
      <c r="N2070" t="s">
        <v>27</v>
      </c>
      <c r="O2070" t="s">
        <v>33</v>
      </c>
      <c r="P2070" t="s">
        <v>31</v>
      </c>
      <c r="Q2070">
        <v>120</v>
      </c>
      <c r="R2070" t="s">
        <v>31</v>
      </c>
      <c r="S2070" t="s">
        <v>31</v>
      </c>
      <c r="T2070" t="s">
        <v>31</v>
      </c>
    </row>
    <row r="2071" spans="1:20" hidden="1" x14ac:dyDescent="0.3">
      <c r="A2071" t="s">
        <v>267</v>
      </c>
      <c r="B2071" t="s">
        <v>39</v>
      </c>
      <c r="C2071" t="s">
        <v>40</v>
      </c>
      <c r="D2071" t="s">
        <v>41</v>
      </c>
      <c r="E2071">
        <v>2022</v>
      </c>
      <c r="F2071" t="s">
        <v>31</v>
      </c>
      <c r="G2071" t="s">
        <v>5510</v>
      </c>
      <c r="H2071" t="s">
        <v>2701</v>
      </c>
      <c r="I2071" t="s">
        <v>60</v>
      </c>
      <c r="J2071" t="s">
        <v>5511</v>
      </c>
      <c r="K2071" t="s">
        <v>31</v>
      </c>
      <c r="L2071" t="s">
        <v>31</v>
      </c>
      <c r="M2071" t="s">
        <v>27</v>
      </c>
      <c r="N2071" t="s">
        <v>27</v>
      </c>
      <c r="O2071" t="s">
        <v>33</v>
      </c>
      <c r="P2071" t="s">
        <v>31</v>
      </c>
      <c r="Q2071" t="s">
        <v>31</v>
      </c>
      <c r="R2071" t="s">
        <v>31</v>
      </c>
      <c r="S2071" t="s">
        <v>31</v>
      </c>
      <c r="T2071" t="s">
        <v>31</v>
      </c>
    </row>
    <row r="2072" spans="1:20" hidden="1" x14ac:dyDescent="0.3">
      <c r="A2072" t="s">
        <v>269</v>
      </c>
      <c r="B2072" t="s">
        <v>39</v>
      </c>
      <c r="C2072" t="s">
        <v>157</v>
      </c>
      <c r="D2072" t="s">
        <v>157</v>
      </c>
      <c r="E2072">
        <v>2022</v>
      </c>
      <c r="F2072">
        <v>22000000</v>
      </c>
      <c r="G2072" t="s">
        <v>5512</v>
      </c>
      <c r="H2072" t="s">
        <v>2645</v>
      </c>
      <c r="I2072" t="s">
        <v>34</v>
      </c>
      <c r="J2072" t="s">
        <v>5513</v>
      </c>
      <c r="K2072" t="s">
        <v>31</v>
      </c>
      <c r="L2072" t="s">
        <v>95</v>
      </c>
      <c r="M2072" t="s">
        <v>27</v>
      </c>
      <c r="N2072" t="s">
        <v>27</v>
      </c>
      <c r="O2072" t="s">
        <v>27</v>
      </c>
      <c r="P2072" t="s">
        <v>31</v>
      </c>
      <c r="Q2072" t="s">
        <v>31</v>
      </c>
      <c r="R2072" t="s">
        <v>31</v>
      </c>
      <c r="S2072" t="s">
        <v>31</v>
      </c>
      <c r="T2072" t="s">
        <v>31</v>
      </c>
    </row>
    <row r="2073" spans="1:20" hidden="1" x14ac:dyDescent="0.3">
      <c r="A2073" t="s">
        <v>1321</v>
      </c>
      <c r="B2073" t="s">
        <v>28</v>
      </c>
      <c r="C2073" t="s">
        <v>29</v>
      </c>
      <c r="D2073" t="s">
        <v>67</v>
      </c>
      <c r="E2073">
        <v>2022</v>
      </c>
      <c r="F2073">
        <v>525000</v>
      </c>
      <c r="G2073" t="s">
        <v>31</v>
      </c>
      <c r="H2073" t="s">
        <v>2645</v>
      </c>
      <c r="I2073" t="s">
        <v>34</v>
      </c>
      <c r="J2073" t="s">
        <v>5514</v>
      </c>
      <c r="K2073" t="s">
        <v>31</v>
      </c>
      <c r="L2073" t="s">
        <v>68</v>
      </c>
      <c r="M2073" t="s">
        <v>27</v>
      </c>
      <c r="N2073" t="s">
        <v>27</v>
      </c>
      <c r="O2073" t="s">
        <v>33</v>
      </c>
      <c r="P2073" t="s">
        <v>31</v>
      </c>
      <c r="Q2073" t="s">
        <v>31</v>
      </c>
      <c r="R2073" t="s">
        <v>31</v>
      </c>
      <c r="S2073" t="s">
        <v>31</v>
      </c>
      <c r="T2073" t="s">
        <v>31</v>
      </c>
    </row>
    <row r="2074" spans="1:20" x14ac:dyDescent="0.3">
      <c r="A2074" t="s">
        <v>1322</v>
      </c>
      <c r="B2074" t="s">
        <v>51</v>
      </c>
      <c r="C2074" t="s">
        <v>37</v>
      </c>
      <c r="D2074" t="s">
        <v>52</v>
      </c>
      <c r="E2074">
        <v>2022</v>
      </c>
      <c r="F2074">
        <v>90000</v>
      </c>
      <c r="G2074" t="s">
        <v>31</v>
      </c>
      <c r="H2074" t="s">
        <v>2656</v>
      </c>
      <c r="I2074" t="s">
        <v>119</v>
      </c>
      <c r="J2074" t="s">
        <v>2611</v>
      </c>
      <c r="K2074" t="s">
        <v>3993</v>
      </c>
      <c r="L2074" t="s">
        <v>54</v>
      </c>
      <c r="M2074" t="s">
        <v>27</v>
      </c>
      <c r="N2074" t="s">
        <v>27</v>
      </c>
      <c r="O2074" t="s">
        <v>27</v>
      </c>
      <c r="P2074" t="s">
        <v>31</v>
      </c>
      <c r="Q2074" t="s">
        <v>31</v>
      </c>
      <c r="R2074" t="s">
        <v>31</v>
      </c>
      <c r="S2074" t="s">
        <v>31</v>
      </c>
      <c r="T2074" t="s">
        <v>31</v>
      </c>
    </row>
    <row r="2075" spans="1:20" hidden="1" x14ac:dyDescent="0.3">
      <c r="A2075" t="s">
        <v>1323</v>
      </c>
      <c r="B2075" t="s">
        <v>28</v>
      </c>
      <c r="C2075" t="s">
        <v>29</v>
      </c>
      <c r="D2075" t="s">
        <v>97</v>
      </c>
      <c r="E2075">
        <v>2022</v>
      </c>
      <c r="F2075">
        <v>526000</v>
      </c>
      <c r="G2075" t="s">
        <v>31</v>
      </c>
      <c r="H2075" t="s">
        <v>2645</v>
      </c>
      <c r="I2075" t="s">
        <v>34</v>
      </c>
      <c r="J2075" t="s">
        <v>5515</v>
      </c>
      <c r="K2075" t="s">
        <v>31</v>
      </c>
      <c r="L2075" t="s">
        <v>31</v>
      </c>
      <c r="M2075" t="s">
        <v>27</v>
      </c>
      <c r="N2075" t="s">
        <v>27</v>
      </c>
      <c r="O2075" t="s">
        <v>27</v>
      </c>
      <c r="P2075" t="s">
        <v>31</v>
      </c>
      <c r="Q2075" t="s">
        <v>31</v>
      </c>
      <c r="R2075" t="s">
        <v>31</v>
      </c>
      <c r="S2075" t="s">
        <v>31</v>
      </c>
      <c r="T2075" t="s">
        <v>31</v>
      </c>
    </row>
    <row r="2076" spans="1:20" hidden="1" x14ac:dyDescent="0.3">
      <c r="A2076" t="s">
        <v>1324</v>
      </c>
      <c r="B2076" t="s">
        <v>51</v>
      </c>
      <c r="C2076" t="s">
        <v>37</v>
      </c>
      <c r="D2076" t="s">
        <v>56</v>
      </c>
      <c r="E2076">
        <v>2022</v>
      </c>
      <c r="F2076" t="s">
        <v>31</v>
      </c>
      <c r="G2076" t="s">
        <v>31</v>
      </c>
      <c r="H2076" t="s">
        <v>2678</v>
      </c>
      <c r="I2076" t="s">
        <v>53</v>
      </c>
      <c r="J2076" t="s">
        <v>5516</v>
      </c>
      <c r="K2076" t="s">
        <v>2649</v>
      </c>
      <c r="L2076" t="s">
        <v>54</v>
      </c>
      <c r="M2076" t="s">
        <v>27</v>
      </c>
      <c r="N2076" t="s">
        <v>27</v>
      </c>
      <c r="O2076" t="s">
        <v>27</v>
      </c>
      <c r="P2076" t="s">
        <v>31</v>
      </c>
      <c r="Q2076" t="s">
        <v>31</v>
      </c>
      <c r="R2076" t="s">
        <v>31</v>
      </c>
      <c r="S2076" t="s">
        <v>31</v>
      </c>
      <c r="T2076" t="s">
        <v>31</v>
      </c>
    </row>
    <row r="2077" spans="1:20" hidden="1" x14ac:dyDescent="0.3">
      <c r="A2077" t="s">
        <v>1325</v>
      </c>
      <c r="B2077" t="s">
        <v>51</v>
      </c>
      <c r="C2077" t="s">
        <v>37</v>
      </c>
      <c r="D2077" t="s">
        <v>52</v>
      </c>
      <c r="E2077">
        <v>2022</v>
      </c>
      <c r="F2077" t="s">
        <v>31</v>
      </c>
      <c r="G2077" t="s">
        <v>31</v>
      </c>
      <c r="H2077" t="s">
        <v>2749</v>
      </c>
      <c r="I2077" t="s">
        <v>45</v>
      </c>
      <c r="J2077" t="s">
        <v>5517</v>
      </c>
      <c r="K2077" t="s">
        <v>2649</v>
      </c>
      <c r="L2077" t="s">
        <v>31</v>
      </c>
      <c r="M2077" t="s">
        <v>27</v>
      </c>
      <c r="N2077" t="s">
        <v>27</v>
      </c>
      <c r="O2077" t="s">
        <v>27</v>
      </c>
      <c r="P2077" t="s">
        <v>31</v>
      </c>
      <c r="Q2077" t="s">
        <v>31</v>
      </c>
      <c r="R2077" t="s">
        <v>31</v>
      </c>
      <c r="S2077" t="s">
        <v>31</v>
      </c>
      <c r="T2077" t="s">
        <v>31</v>
      </c>
    </row>
    <row r="2078" spans="1:20" hidden="1" x14ac:dyDescent="0.3">
      <c r="A2078" t="s">
        <v>1326</v>
      </c>
      <c r="B2078" t="s">
        <v>51</v>
      </c>
      <c r="C2078" t="s">
        <v>37</v>
      </c>
      <c r="D2078" t="s">
        <v>52</v>
      </c>
      <c r="E2078">
        <v>2022</v>
      </c>
      <c r="F2078">
        <v>17000</v>
      </c>
      <c r="G2078" t="s">
        <v>31</v>
      </c>
      <c r="H2078" t="s">
        <v>2847</v>
      </c>
      <c r="I2078" t="s">
        <v>62</v>
      </c>
      <c r="J2078" t="s">
        <v>5518</v>
      </c>
      <c r="K2078" t="s">
        <v>31</v>
      </c>
      <c r="L2078" t="s">
        <v>54</v>
      </c>
      <c r="M2078" t="s">
        <v>27</v>
      </c>
      <c r="N2078" t="s">
        <v>27</v>
      </c>
      <c r="O2078" t="s">
        <v>27</v>
      </c>
      <c r="P2078" t="s">
        <v>31</v>
      </c>
      <c r="Q2078" t="s">
        <v>31</v>
      </c>
      <c r="R2078" t="s">
        <v>31</v>
      </c>
      <c r="S2078" t="s">
        <v>31</v>
      </c>
      <c r="T2078" t="s">
        <v>31</v>
      </c>
    </row>
    <row r="2079" spans="1:20" hidden="1" x14ac:dyDescent="0.3">
      <c r="A2079" t="s">
        <v>1327</v>
      </c>
      <c r="B2079" t="s">
        <v>51</v>
      </c>
      <c r="C2079" t="s">
        <v>2655</v>
      </c>
      <c r="D2079" t="s">
        <v>134</v>
      </c>
      <c r="E2079">
        <v>2022</v>
      </c>
      <c r="F2079" t="s">
        <v>31</v>
      </c>
      <c r="G2079" t="s">
        <v>31</v>
      </c>
      <c r="H2079" t="s">
        <v>2647</v>
      </c>
      <c r="I2079" t="s">
        <v>47</v>
      </c>
      <c r="J2079" t="s">
        <v>5519</v>
      </c>
      <c r="K2079" t="s">
        <v>2649</v>
      </c>
      <c r="L2079" t="s">
        <v>31</v>
      </c>
      <c r="M2079" t="s">
        <v>27</v>
      </c>
      <c r="N2079" t="s">
        <v>27</v>
      </c>
      <c r="O2079" t="s">
        <v>33</v>
      </c>
      <c r="P2079" t="s">
        <v>31</v>
      </c>
      <c r="Q2079" t="s">
        <v>31</v>
      </c>
      <c r="R2079" t="s">
        <v>31</v>
      </c>
      <c r="S2079" t="s">
        <v>31</v>
      </c>
      <c r="T2079" t="s">
        <v>31</v>
      </c>
    </row>
    <row r="2080" spans="1:20" hidden="1" x14ac:dyDescent="0.3">
      <c r="A2080" t="s">
        <v>1328</v>
      </c>
      <c r="B2080" t="s">
        <v>28</v>
      </c>
      <c r="C2080" t="s">
        <v>29</v>
      </c>
      <c r="D2080" t="s">
        <v>97</v>
      </c>
      <c r="E2080">
        <v>2022</v>
      </c>
      <c r="F2080">
        <v>820000</v>
      </c>
      <c r="G2080" t="s">
        <v>31</v>
      </c>
      <c r="H2080" t="s">
        <v>2645</v>
      </c>
      <c r="I2080" t="s">
        <v>34</v>
      </c>
      <c r="J2080" t="s">
        <v>5520</v>
      </c>
      <c r="K2080" t="s">
        <v>31</v>
      </c>
      <c r="L2080" t="s">
        <v>65</v>
      </c>
      <c r="M2080" t="s">
        <v>27</v>
      </c>
      <c r="N2080" t="s">
        <v>27</v>
      </c>
      <c r="O2080" t="s">
        <v>33</v>
      </c>
      <c r="P2080" t="s">
        <v>31</v>
      </c>
      <c r="Q2080">
        <v>275</v>
      </c>
      <c r="R2080" t="s">
        <v>31</v>
      </c>
      <c r="S2080" t="s">
        <v>31</v>
      </c>
      <c r="T2080" t="s">
        <v>31</v>
      </c>
    </row>
    <row r="2081" spans="1:20" hidden="1" x14ac:dyDescent="0.3">
      <c r="A2081" t="s">
        <v>1329</v>
      </c>
      <c r="B2081" t="s">
        <v>51</v>
      </c>
      <c r="C2081" t="s">
        <v>37</v>
      </c>
      <c r="D2081" t="s">
        <v>56</v>
      </c>
      <c r="E2081">
        <v>2022</v>
      </c>
      <c r="F2081" t="s">
        <v>31</v>
      </c>
      <c r="G2081" t="s">
        <v>31</v>
      </c>
      <c r="H2081" t="s">
        <v>2888</v>
      </c>
      <c r="I2081" t="s">
        <v>75</v>
      </c>
      <c r="J2081" t="s">
        <v>5521</v>
      </c>
      <c r="K2081" t="s">
        <v>2649</v>
      </c>
      <c r="L2081" t="s">
        <v>31</v>
      </c>
      <c r="M2081" t="s">
        <v>27</v>
      </c>
      <c r="N2081" t="s">
        <v>27</v>
      </c>
      <c r="O2081" t="s">
        <v>27</v>
      </c>
      <c r="P2081" t="s">
        <v>31</v>
      </c>
      <c r="Q2081" t="s">
        <v>31</v>
      </c>
      <c r="R2081" t="s">
        <v>31</v>
      </c>
      <c r="S2081" t="s">
        <v>31</v>
      </c>
      <c r="T2081" t="s">
        <v>31</v>
      </c>
    </row>
    <row r="2082" spans="1:20" hidden="1" x14ac:dyDescent="0.3">
      <c r="A2082" t="s">
        <v>1330</v>
      </c>
      <c r="B2082" t="s">
        <v>51</v>
      </c>
      <c r="C2082" t="s">
        <v>37</v>
      </c>
      <c r="D2082" t="s">
        <v>56</v>
      </c>
      <c r="E2082">
        <v>2022</v>
      </c>
      <c r="F2082" t="s">
        <v>31</v>
      </c>
      <c r="G2082" t="s">
        <v>31</v>
      </c>
      <c r="H2082" t="s">
        <v>2749</v>
      </c>
      <c r="I2082" t="s">
        <v>45</v>
      </c>
      <c r="J2082" t="s">
        <v>5522</v>
      </c>
      <c r="K2082" t="s">
        <v>2649</v>
      </c>
      <c r="L2082" t="s">
        <v>31</v>
      </c>
      <c r="M2082" t="s">
        <v>27</v>
      </c>
      <c r="N2082" t="s">
        <v>27</v>
      </c>
      <c r="O2082" t="s">
        <v>27</v>
      </c>
      <c r="P2082" t="s">
        <v>31</v>
      </c>
      <c r="Q2082" t="s">
        <v>31</v>
      </c>
      <c r="R2082" t="s">
        <v>31</v>
      </c>
      <c r="S2082" t="s">
        <v>31</v>
      </c>
      <c r="T2082" t="s">
        <v>31</v>
      </c>
    </row>
    <row r="2083" spans="1:20" hidden="1" x14ac:dyDescent="0.3">
      <c r="A2083" t="s">
        <v>1331</v>
      </c>
      <c r="B2083" t="s">
        <v>39</v>
      </c>
      <c r="C2083" t="s">
        <v>40</v>
      </c>
      <c r="D2083" t="s">
        <v>142</v>
      </c>
      <c r="E2083">
        <v>2022</v>
      </c>
      <c r="F2083" t="s">
        <v>31</v>
      </c>
      <c r="G2083" t="s">
        <v>31</v>
      </c>
      <c r="H2083" t="s">
        <v>2645</v>
      </c>
      <c r="I2083" t="s">
        <v>34</v>
      </c>
      <c r="J2083" t="s">
        <v>5523</v>
      </c>
      <c r="K2083" t="s">
        <v>5524</v>
      </c>
      <c r="L2083" t="s">
        <v>31</v>
      </c>
      <c r="M2083" t="s">
        <v>27</v>
      </c>
      <c r="N2083" t="s">
        <v>27</v>
      </c>
      <c r="O2083" t="s">
        <v>27</v>
      </c>
      <c r="P2083" t="s">
        <v>31</v>
      </c>
      <c r="Q2083" t="s">
        <v>31</v>
      </c>
      <c r="R2083" t="s">
        <v>31</v>
      </c>
      <c r="S2083" t="s">
        <v>31</v>
      </c>
      <c r="T2083" t="s">
        <v>31</v>
      </c>
    </row>
    <row r="2084" spans="1:20" hidden="1" x14ac:dyDescent="0.3">
      <c r="A2084" t="s">
        <v>1332</v>
      </c>
      <c r="B2084" t="s">
        <v>51</v>
      </c>
      <c r="C2084" t="s">
        <v>37</v>
      </c>
      <c r="D2084" t="s">
        <v>52</v>
      </c>
      <c r="E2084">
        <v>2022</v>
      </c>
      <c r="F2084" t="s">
        <v>31</v>
      </c>
      <c r="G2084" t="s">
        <v>31</v>
      </c>
      <c r="H2084" t="s">
        <v>2666</v>
      </c>
      <c r="I2084" t="s">
        <v>109</v>
      </c>
      <c r="J2084" t="s">
        <v>5525</v>
      </c>
      <c r="K2084" t="s">
        <v>3054</v>
      </c>
      <c r="L2084" t="s">
        <v>54</v>
      </c>
      <c r="M2084" t="s">
        <v>27</v>
      </c>
      <c r="N2084" t="s">
        <v>27</v>
      </c>
      <c r="O2084" t="s">
        <v>27</v>
      </c>
      <c r="P2084" t="s">
        <v>31</v>
      </c>
      <c r="Q2084" t="s">
        <v>31</v>
      </c>
      <c r="R2084" t="s">
        <v>31</v>
      </c>
      <c r="S2084" t="s">
        <v>31</v>
      </c>
      <c r="T2084" t="s">
        <v>31</v>
      </c>
    </row>
    <row r="2085" spans="1:20" hidden="1" x14ac:dyDescent="0.3">
      <c r="A2085" t="s">
        <v>1333</v>
      </c>
      <c r="B2085" t="s">
        <v>39</v>
      </c>
      <c r="C2085" t="s">
        <v>40</v>
      </c>
      <c r="D2085" t="s">
        <v>142</v>
      </c>
      <c r="E2085">
        <v>2022</v>
      </c>
      <c r="F2085">
        <v>155000</v>
      </c>
      <c r="G2085" t="s">
        <v>31</v>
      </c>
      <c r="H2085" t="s">
        <v>2645</v>
      </c>
      <c r="I2085" t="s">
        <v>34</v>
      </c>
      <c r="J2085" t="s">
        <v>5526</v>
      </c>
      <c r="K2085" t="s">
        <v>5527</v>
      </c>
      <c r="L2085" t="s">
        <v>31</v>
      </c>
      <c r="M2085" t="s">
        <v>27</v>
      </c>
      <c r="N2085" t="s">
        <v>27</v>
      </c>
      <c r="O2085" t="s">
        <v>27</v>
      </c>
      <c r="P2085" t="s">
        <v>31</v>
      </c>
      <c r="Q2085" t="s">
        <v>31</v>
      </c>
      <c r="R2085" t="s">
        <v>31</v>
      </c>
      <c r="S2085" t="s">
        <v>31</v>
      </c>
      <c r="T2085" t="s">
        <v>31</v>
      </c>
    </row>
    <row r="2086" spans="1:20" hidden="1" x14ac:dyDescent="0.3">
      <c r="A2086" t="s">
        <v>1334</v>
      </c>
      <c r="B2086" t="s">
        <v>28</v>
      </c>
      <c r="C2086" t="s">
        <v>29</v>
      </c>
      <c r="D2086" t="s">
        <v>189</v>
      </c>
      <c r="E2086">
        <v>2022</v>
      </c>
      <c r="F2086">
        <v>882000</v>
      </c>
      <c r="G2086" t="s">
        <v>31</v>
      </c>
      <c r="H2086" t="s">
        <v>2645</v>
      </c>
      <c r="I2086" t="s">
        <v>34</v>
      </c>
      <c r="J2086" t="s">
        <v>5528</v>
      </c>
      <c r="K2086" t="s">
        <v>31</v>
      </c>
      <c r="L2086" t="s">
        <v>65</v>
      </c>
      <c r="M2086" t="s">
        <v>27</v>
      </c>
      <c r="N2086" t="s">
        <v>27</v>
      </c>
      <c r="O2086" t="s">
        <v>27</v>
      </c>
      <c r="P2086" t="s">
        <v>31</v>
      </c>
      <c r="Q2086" t="s">
        <v>31</v>
      </c>
      <c r="R2086" t="s">
        <v>31</v>
      </c>
      <c r="S2086" t="s">
        <v>31</v>
      </c>
      <c r="T2086" t="s">
        <v>31</v>
      </c>
    </row>
    <row r="2087" spans="1:20" hidden="1" x14ac:dyDescent="0.3">
      <c r="A2087" t="s">
        <v>1335</v>
      </c>
      <c r="B2087" t="s">
        <v>28</v>
      </c>
      <c r="C2087" t="s">
        <v>29</v>
      </c>
      <c r="D2087" t="s">
        <v>189</v>
      </c>
      <c r="E2087">
        <v>2022</v>
      </c>
      <c r="F2087">
        <v>624000</v>
      </c>
      <c r="G2087" t="s">
        <v>31</v>
      </c>
      <c r="H2087" t="s">
        <v>2645</v>
      </c>
      <c r="I2087" t="s">
        <v>34</v>
      </c>
      <c r="J2087" t="s">
        <v>5529</v>
      </c>
      <c r="K2087" t="s">
        <v>31</v>
      </c>
      <c r="L2087" t="s">
        <v>65</v>
      </c>
      <c r="M2087" t="s">
        <v>27</v>
      </c>
      <c r="N2087" t="s">
        <v>27</v>
      </c>
      <c r="O2087" t="s">
        <v>27</v>
      </c>
      <c r="P2087" t="s">
        <v>31</v>
      </c>
      <c r="Q2087">
        <v>130</v>
      </c>
      <c r="R2087" t="s">
        <v>31</v>
      </c>
      <c r="S2087" t="s">
        <v>31</v>
      </c>
      <c r="T2087" t="s">
        <v>31</v>
      </c>
    </row>
    <row r="2088" spans="1:20" hidden="1" x14ac:dyDescent="0.3">
      <c r="A2088" t="s">
        <v>1336</v>
      </c>
      <c r="B2088" t="s">
        <v>28</v>
      </c>
      <c r="C2088" t="s">
        <v>29</v>
      </c>
      <c r="D2088" t="s">
        <v>97</v>
      </c>
      <c r="E2088">
        <v>2022</v>
      </c>
      <c r="F2088">
        <v>583000</v>
      </c>
      <c r="G2088" t="s">
        <v>31</v>
      </c>
      <c r="H2088" t="s">
        <v>2645</v>
      </c>
      <c r="I2088" t="s">
        <v>34</v>
      </c>
      <c r="J2088" t="s">
        <v>5530</v>
      </c>
      <c r="K2088" t="s">
        <v>31</v>
      </c>
      <c r="L2088" t="s">
        <v>65</v>
      </c>
      <c r="M2088" t="s">
        <v>27</v>
      </c>
      <c r="N2088" t="s">
        <v>27</v>
      </c>
      <c r="O2088" t="s">
        <v>27</v>
      </c>
      <c r="P2088" t="s">
        <v>31</v>
      </c>
      <c r="Q2088" t="s">
        <v>31</v>
      </c>
      <c r="R2088" t="s">
        <v>31</v>
      </c>
      <c r="S2088" t="s">
        <v>31</v>
      </c>
      <c r="T2088" t="s">
        <v>31</v>
      </c>
    </row>
    <row r="2089" spans="1:20" x14ac:dyDescent="0.3">
      <c r="A2089" t="s">
        <v>1337</v>
      </c>
      <c r="B2089" t="s">
        <v>51</v>
      </c>
      <c r="C2089" t="s">
        <v>37</v>
      </c>
      <c r="D2089" t="s">
        <v>52</v>
      </c>
      <c r="E2089">
        <v>2022</v>
      </c>
      <c r="F2089">
        <v>93000</v>
      </c>
      <c r="G2089" t="s">
        <v>31</v>
      </c>
      <c r="H2089" t="s">
        <v>2656</v>
      </c>
      <c r="I2089" t="s">
        <v>119</v>
      </c>
      <c r="J2089" t="s">
        <v>2612</v>
      </c>
      <c r="K2089" t="s">
        <v>2664</v>
      </c>
      <c r="L2089" t="s">
        <v>31</v>
      </c>
      <c r="M2089" t="s">
        <v>27</v>
      </c>
      <c r="N2089" t="s">
        <v>27</v>
      </c>
      <c r="O2089" t="s">
        <v>33</v>
      </c>
      <c r="P2089" t="s">
        <v>31</v>
      </c>
      <c r="Q2089" t="s">
        <v>31</v>
      </c>
      <c r="R2089" t="s">
        <v>31</v>
      </c>
      <c r="S2089" t="s">
        <v>31</v>
      </c>
      <c r="T2089" t="s">
        <v>31</v>
      </c>
    </row>
    <row r="2090" spans="1:20" hidden="1" x14ac:dyDescent="0.3">
      <c r="A2090" t="s">
        <v>1338</v>
      </c>
      <c r="B2090" t="s">
        <v>51</v>
      </c>
      <c r="C2090" t="s">
        <v>37</v>
      </c>
      <c r="D2090" t="s">
        <v>52</v>
      </c>
      <c r="E2090">
        <v>2022</v>
      </c>
      <c r="F2090" t="s">
        <v>31</v>
      </c>
      <c r="G2090" t="s">
        <v>31</v>
      </c>
      <c r="H2090" t="s">
        <v>2739</v>
      </c>
      <c r="I2090" t="s">
        <v>77</v>
      </c>
      <c r="J2090" t="s">
        <v>5531</v>
      </c>
      <c r="K2090" t="s">
        <v>5532</v>
      </c>
      <c r="L2090" t="s">
        <v>31</v>
      </c>
      <c r="M2090" t="s">
        <v>27</v>
      </c>
      <c r="N2090" t="s">
        <v>27</v>
      </c>
      <c r="O2090" t="s">
        <v>33</v>
      </c>
      <c r="P2090" t="s">
        <v>31</v>
      </c>
      <c r="Q2090" t="s">
        <v>31</v>
      </c>
      <c r="R2090" t="s">
        <v>31</v>
      </c>
      <c r="S2090" t="s">
        <v>31</v>
      </c>
      <c r="T2090" t="s">
        <v>31</v>
      </c>
    </row>
    <row r="2091" spans="1:20" hidden="1" x14ac:dyDescent="0.3">
      <c r="A2091" t="s">
        <v>1339</v>
      </c>
      <c r="B2091" t="s">
        <v>51</v>
      </c>
      <c r="C2091" t="s">
        <v>37</v>
      </c>
      <c r="D2091" t="s">
        <v>52</v>
      </c>
      <c r="E2091">
        <v>2022</v>
      </c>
      <c r="F2091">
        <v>204000</v>
      </c>
      <c r="G2091" t="s">
        <v>31</v>
      </c>
      <c r="H2091" t="s">
        <v>2719</v>
      </c>
      <c r="I2091" t="s">
        <v>90</v>
      </c>
      <c r="J2091" t="s">
        <v>5533</v>
      </c>
      <c r="K2091" t="s">
        <v>2664</v>
      </c>
      <c r="L2091" t="s">
        <v>54</v>
      </c>
      <c r="M2091" t="s">
        <v>27</v>
      </c>
      <c r="N2091" t="s">
        <v>27</v>
      </c>
      <c r="O2091" t="s">
        <v>27</v>
      </c>
      <c r="P2091" t="s">
        <v>31</v>
      </c>
      <c r="Q2091" t="s">
        <v>31</v>
      </c>
      <c r="R2091" t="s">
        <v>31</v>
      </c>
      <c r="S2091" t="s">
        <v>31</v>
      </c>
      <c r="T2091" t="s">
        <v>31</v>
      </c>
    </row>
    <row r="2092" spans="1:20" hidden="1" x14ac:dyDescent="0.3">
      <c r="A2092" t="s">
        <v>1340</v>
      </c>
      <c r="B2092" t="s">
        <v>51</v>
      </c>
      <c r="C2092" t="s">
        <v>37</v>
      </c>
      <c r="D2092" t="s">
        <v>52</v>
      </c>
      <c r="E2092">
        <v>2022</v>
      </c>
      <c r="F2092">
        <v>25000</v>
      </c>
      <c r="G2092" t="s">
        <v>31</v>
      </c>
      <c r="H2092" t="s">
        <v>2716</v>
      </c>
      <c r="I2092" t="s">
        <v>242</v>
      </c>
      <c r="J2092" t="s">
        <v>5534</v>
      </c>
      <c r="K2092" t="s">
        <v>2649</v>
      </c>
      <c r="L2092" t="s">
        <v>31</v>
      </c>
      <c r="M2092" t="s">
        <v>27</v>
      </c>
      <c r="N2092" t="s">
        <v>27</v>
      </c>
      <c r="O2092" t="s">
        <v>27</v>
      </c>
      <c r="P2092" t="s">
        <v>31</v>
      </c>
      <c r="Q2092" t="s">
        <v>31</v>
      </c>
      <c r="R2092" t="s">
        <v>31</v>
      </c>
      <c r="S2092" t="s">
        <v>31</v>
      </c>
      <c r="T2092" t="s">
        <v>31</v>
      </c>
    </row>
    <row r="2093" spans="1:20" hidden="1" x14ac:dyDescent="0.3">
      <c r="A2093" t="s">
        <v>1341</v>
      </c>
      <c r="B2093" t="s">
        <v>28</v>
      </c>
      <c r="C2093" t="s">
        <v>29</v>
      </c>
      <c r="D2093" t="s">
        <v>30</v>
      </c>
      <c r="E2093">
        <v>2022</v>
      </c>
      <c r="F2093" t="s">
        <v>31</v>
      </c>
      <c r="G2093" t="s">
        <v>31</v>
      </c>
      <c r="H2093" t="s">
        <v>2680</v>
      </c>
      <c r="I2093" t="s">
        <v>115</v>
      </c>
      <c r="J2093" t="s">
        <v>5535</v>
      </c>
      <c r="K2093" t="s">
        <v>31</v>
      </c>
      <c r="L2093" t="s">
        <v>37</v>
      </c>
      <c r="M2093" t="s">
        <v>27</v>
      </c>
      <c r="N2093" t="s">
        <v>27</v>
      </c>
      <c r="O2093" t="s">
        <v>27</v>
      </c>
      <c r="P2093" t="s">
        <v>31</v>
      </c>
      <c r="Q2093" t="s">
        <v>31</v>
      </c>
      <c r="R2093" t="s">
        <v>31</v>
      </c>
      <c r="S2093" t="s">
        <v>31</v>
      </c>
      <c r="T2093" t="s">
        <v>31</v>
      </c>
    </row>
    <row r="2094" spans="1:20" hidden="1" x14ac:dyDescent="0.3">
      <c r="A2094" t="s">
        <v>1342</v>
      </c>
      <c r="B2094" t="s">
        <v>51</v>
      </c>
      <c r="C2094" t="s">
        <v>37</v>
      </c>
      <c r="D2094" t="s">
        <v>121</v>
      </c>
      <c r="E2094">
        <v>2022</v>
      </c>
      <c r="F2094" t="s">
        <v>31</v>
      </c>
      <c r="G2094" t="s">
        <v>31</v>
      </c>
      <c r="H2094" t="s">
        <v>2666</v>
      </c>
      <c r="I2094" t="s">
        <v>109</v>
      </c>
      <c r="J2094" t="s">
        <v>5536</v>
      </c>
      <c r="K2094" t="s">
        <v>2649</v>
      </c>
      <c r="L2094" t="s">
        <v>54</v>
      </c>
      <c r="M2094" t="s">
        <v>27</v>
      </c>
      <c r="N2094" t="s">
        <v>27</v>
      </c>
      <c r="O2094" t="s">
        <v>27</v>
      </c>
      <c r="P2094" t="s">
        <v>31</v>
      </c>
      <c r="Q2094" t="s">
        <v>31</v>
      </c>
      <c r="R2094" t="s">
        <v>31</v>
      </c>
      <c r="S2094" t="s">
        <v>31</v>
      </c>
      <c r="T2094" t="s">
        <v>5537</v>
      </c>
    </row>
    <row r="2095" spans="1:20" hidden="1" x14ac:dyDescent="0.3">
      <c r="A2095" t="s">
        <v>1343</v>
      </c>
      <c r="B2095" t="s">
        <v>51</v>
      </c>
      <c r="C2095" t="s">
        <v>37</v>
      </c>
      <c r="D2095" t="s">
        <v>52</v>
      </c>
      <c r="E2095">
        <v>2022</v>
      </c>
      <c r="F2095">
        <v>1500000</v>
      </c>
      <c r="G2095" t="s">
        <v>5538</v>
      </c>
      <c r="H2095" t="s">
        <v>2645</v>
      </c>
      <c r="I2095" t="s">
        <v>34</v>
      </c>
      <c r="J2095" t="s">
        <v>5539</v>
      </c>
      <c r="K2095" t="s">
        <v>2649</v>
      </c>
      <c r="L2095" t="s">
        <v>31</v>
      </c>
      <c r="M2095" t="s">
        <v>27</v>
      </c>
      <c r="N2095" t="s">
        <v>27</v>
      </c>
      <c r="O2095" t="s">
        <v>33</v>
      </c>
      <c r="P2095" t="s">
        <v>31</v>
      </c>
      <c r="Q2095" t="s">
        <v>31</v>
      </c>
      <c r="R2095" t="s">
        <v>31</v>
      </c>
      <c r="S2095" t="s">
        <v>31</v>
      </c>
      <c r="T2095" t="s">
        <v>31</v>
      </c>
    </row>
    <row r="2096" spans="1:20" hidden="1" x14ac:dyDescent="0.3">
      <c r="A2096" t="s">
        <v>1344</v>
      </c>
      <c r="B2096" t="s">
        <v>51</v>
      </c>
      <c r="C2096" t="s">
        <v>37</v>
      </c>
      <c r="D2096" t="s">
        <v>52</v>
      </c>
      <c r="E2096">
        <v>2022</v>
      </c>
      <c r="F2096" t="s">
        <v>31</v>
      </c>
      <c r="G2096" t="s">
        <v>31</v>
      </c>
      <c r="H2096" t="s">
        <v>2709</v>
      </c>
      <c r="I2096" t="s">
        <v>70</v>
      </c>
      <c r="J2096" t="s">
        <v>5540</v>
      </c>
      <c r="K2096" t="s">
        <v>2649</v>
      </c>
      <c r="L2096" t="s">
        <v>31</v>
      </c>
      <c r="M2096" t="s">
        <v>27</v>
      </c>
      <c r="N2096" t="s">
        <v>27</v>
      </c>
      <c r="O2096" t="s">
        <v>27</v>
      </c>
      <c r="P2096" t="s">
        <v>31</v>
      </c>
      <c r="Q2096" t="s">
        <v>31</v>
      </c>
      <c r="R2096" t="s">
        <v>31</v>
      </c>
      <c r="S2096" t="s">
        <v>31</v>
      </c>
      <c r="T2096" t="s">
        <v>31</v>
      </c>
    </row>
    <row r="2097" spans="1:20" hidden="1" x14ac:dyDescent="0.3">
      <c r="A2097" t="s">
        <v>1345</v>
      </c>
      <c r="B2097" t="s">
        <v>51</v>
      </c>
      <c r="C2097" t="s">
        <v>37</v>
      </c>
      <c r="D2097" t="s">
        <v>56</v>
      </c>
      <c r="E2097">
        <v>2022</v>
      </c>
      <c r="F2097" t="s">
        <v>31</v>
      </c>
      <c r="G2097" t="s">
        <v>31</v>
      </c>
      <c r="H2097" t="s">
        <v>2672</v>
      </c>
      <c r="I2097" t="s">
        <v>73</v>
      </c>
      <c r="J2097" t="s">
        <v>5541</v>
      </c>
      <c r="K2097" t="s">
        <v>2649</v>
      </c>
      <c r="L2097" t="s">
        <v>31</v>
      </c>
      <c r="M2097" t="s">
        <v>27</v>
      </c>
      <c r="N2097" t="s">
        <v>27</v>
      </c>
      <c r="O2097" t="s">
        <v>27</v>
      </c>
      <c r="P2097" t="s">
        <v>31</v>
      </c>
      <c r="Q2097" t="s">
        <v>31</v>
      </c>
      <c r="R2097" t="s">
        <v>31</v>
      </c>
      <c r="S2097" t="s">
        <v>31</v>
      </c>
      <c r="T2097" t="s">
        <v>31</v>
      </c>
    </row>
    <row r="2098" spans="1:20" hidden="1" x14ac:dyDescent="0.3">
      <c r="A2098" t="s">
        <v>1346</v>
      </c>
      <c r="B2098" t="s">
        <v>51</v>
      </c>
      <c r="C2098" t="s">
        <v>2655</v>
      </c>
      <c r="D2098" t="s">
        <v>134</v>
      </c>
      <c r="E2098">
        <v>2022</v>
      </c>
      <c r="F2098" t="s">
        <v>31</v>
      </c>
      <c r="G2098" t="s">
        <v>31</v>
      </c>
      <c r="H2098" t="s">
        <v>2709</v>
      </c>
      <c r="I2098" t="s">
        <v>70</v>
      </c>
      <c r="J2098" t="s">
        <v>5542</v>
      </c>
      <c r="K2098" t="s">
        <v>31</v>
      </c>
      <c r="L2098" t="s">
        <v>37</v>
      </c>
      <c r="M2098" t="s">
        <v>27</v>
      </c>
      <c r="N2098" t="s">
        <v>27</v>
      </c>
      <c r="O2098" t="s">
        <v>27</v>
      </c>
      <c r="P2098" t="s">
        <v>31</v>
      </c>
      <c r="Q2098" t="s">
        <v>31</v>
      </c>
      <c r="R2098" t="s">
        <v>31</v>
      </c>
      <c r="S2098" t="s">
        <v>31</v>
      </c>
      <c r="T2098" t="s">
        <v>31</v>
      </c>
    </row>
    <row r="2099" spans="1:20" hidden="1" x14ac:dyDescent="0.3">
      <c r="A2099" t="s">
        <v>1347</v>
      </c>
      <c r="B2099" t="s">
        <v>51</v>
      </c>
      <c r="C2099" t="s">
        <v>2655</v>
      </c>
      <c r="D2099" t="s">
        <v>134</v>
      </c>
      <c r="E2099">
        <v>2022</v>
      </c>
      <c r="F2099" t="s">
        <v>31</v>
      </c>
      <c r="G2099" t="s">
        <v>31</v>
      </c>
      <c r="H2099" t="s">
        <v>2647</v>
      </c>
      <c r="I2099" t="s">
        <v>47</v>
      </c>
      <c r="J2099" t="s">
        <v>5543</v>
      </c>
      <c r="K2099" t="s">
        <v>2649</v>
      </c>
      <c r="L2099" t="s">
        <v>31</v>
      </c>
      <c r="M2099" t="s">
        <v>27</v>
      </c>
      <c r="N2099" t="s">
        <v>27</v>
      </c>
      <c r="O2099" t="s">
        <v>27</v>
      </c>
      <c r="P2099" t="s">
        <v>31</v>
      </c>
      <c r="Q2099" t="s">
        <v>31</v>
      </c>
      <c r="R2099" t="s">
        <v>31</v>
      </c>
      <c r="S2099" t="s">
        <v>31</v>
      </c>
      <c r="T2099" t="s">
        <v>31</v>
      </c>
    </row>
    <row r="2100" spans="1:20" hidden="1" x14ac:dyDescent="0.3">
      <c r="A2100" t="s">
        <v>1348</v>
      </c>
      <c r="B2100" t="s">
        <v>51</v>
      </c>
      <c r="C2100" t="s">
        <v>37</v>
      </c>
      <c r="D2100" t="s">
        <v>52</v>
      </c>
      <c r="E2100">
        <v>2022</v>
      </c>
      <c r="F2100" t="s">
        <v>31</v>
      </c>
      <c r="G2100" t="s">
        <v>31</v>
      </c>
      <c r="H2100" t="s">
        <v>2647</v>
      </c>
      <c r="I2100" t="s">
        <v>47</v>
      </c>
      <c r="J2100" t="s">
        <v>5544</v>
      </c>
      <c r="K2100" t="s">
        <v>2649</v>
      </c>
      <c r="L2100" t="s">
        <v>54</v>
      </c>
      <c r="M2100" t="s">
        <v>27</v>
      </c>
      <c r="N2100" t="s">
        <v>27</v>
      </c>
      <c r="O2100" t="s">
        <v>27</v>
      </c>
      <c r="P2100" t="s">
        <v>31</v>
      </c>
      <c r="Q2100" t="s">
        <v>31</v>
      </c>
      <c r="R2100" t="s">
        <v>31</v>
      </c>
      <c r="S2100" t="s">
        <v>31</v>
      </c>
      <c r="T2100" t="s">
        <v>31</v>
      </c>
    </row>
    <row r="2101" spans="1:20" hidden="1" x14ac:dyDescent="0.3">
      <c r="A2101" t="s">
        <v>1349</v>
      </c>
      <c r="B2101" t="s">
        <v>28</v>
      </c>
      <c r="C2101" t="s">
        <v>29</v>
      </c>
      <c r="D2101" t="s">
        <v>189</v>
      </c>
      <c r="E2101">
        <v>2022</v>
      </c>
      <c r="F2101">
        <v>1000000</v>
      </c>
      <c r="G2101" t="s">
        <v>31</v>
      </c>
      <c r="H2101" t="s">
        <v>2645</v>
      </c>
      <c r="I2101" t="s">
        <v>34</v>
      </c>
      <c r="J2101" t="s">
        <v>5545</v>
      </c>
      <c r="K2101" t="s">
        <v>31</v>
      </c>
      <c r="L2101" t="s">
        <v>82</v>
      </c>
      <c r="M2101" t="s">
        <v>27</v>
      </c>
      <c r="N2101" t="s">
        <v>27</v>
      </c>
      <c r="O2101" t="s">
        <v>33</v>
      </c>
      <c r="P2101" t="s">
        <v>31</v>
      </c>
      <c r="Q2101" t="s">
        <v>31</v>
      </c>
      <c r="R2101" t="s">
        <v>31</v>
      </c>
      <c r="S2101" t="s">
        <v>31</v>
      </c>
      <c r="T2101" t="s">
        <v>31</v>
      </c>
    </row>
    <row r="2102" spans="1:20" x14ac:dyDescent="0.3">
      <c r="A2102" t="s">
        <v>1938</v>
      </c>
      <c r="B2102" t="s">
        <v>51</v>
      </c>
      <c r="C2102" t="s">
        <v>37</v>
      </c>
      <c r="D2102" t="s">
        <v>52</v>
      </c>
      <c r="E2102">
        <v>2022</v>
      </c>
      <c r="F2102">
        <v>72000</v>
      </c>
      <c r="G2102" t="s">
        <v>31</v>
      </c>
      <c r="H2102" t="s">
        <v>2656</v>
      </c>
      <c r="I2102" t="s">
        <v>119</v>
      </c>
      <c r="J2102" t="s">
        <v>2625</v>
      </c>
      <c r="K2102" t="s">
        <v>2649</v>
      </c>
      <c r="L2102" t="s">
        <v>54</v>
      </c>
      <c r="M2102" t="s">
        <v>27</v>
      </c>
      <c r="N2102" t="s">
        <v>27</v>
      </c>
      <c r="O2102" t="s">
        <v>27</v>
      </c>
      <c r="P2102" t="s">
        <v>31</v>
      </c>
      <c r="Q2102" t="s">
        <v>31</v>
      </c>
      <c r="R2102" t="s">
        <v>31</v>
      </c>
      <c r="S2102" t="s">
        <v>31</v>
      </c>
      <c r="T2102" t="s">
        <v>31</v>
      </c>
    </row>
    <row r="2103" spans="1:20" hidden="1" x14ac:dyDescent="0.3">
      <c r="A2103" t="s">
        <v>1939</v>
      </c>
      <c r="B2103" t="s">
        <v>28</v>
      </c>
      <c r="C2103" t="s">
        <v>29</v>
      </c>
      <c r="D2103" t="s">
        <v>30</v>
      </c>
      <c r="E2103">
        <v>2022</v>
      </c>
      <c r="F2103" t="s">
        <v>31</v>
      </c>
      <c r="G2103" t="s">
        <v>31</v>
      </c>
      <c r="H2103" t="s">
        <v>2675</v>
      </c>
      <c r="I2103" t="s">
        <v>81</v>
      </c>
      <c r="J2103" t="s">
        <v>31</v>
      </c>
      <c r="K2103" t="s">
        <v>31</v>
      </c>
      <c r="L2103" t="s">
        <v>37</v>
      </c>
      <c r="M2103" t="s">
        <v>27</v>
      </c>
      <c r="N2103" t="s">
        <v>27</v>
      </c>
      <c r="O2103" t="s">
        <v>27</v>
      </c>
      <c r="P2103" t="s">
        <v>31</v>
      </c>
      <c r="Q2103" t="s">
        <v>31</v>
      </c>
      <c r="R2103" t="s">
        <v>31</v>
      </c>
      <c r="S2103" t="s">
        <v>31</v>
      </c>
      <c r="T2103" t="s">
        <v>31</v>
      </c>
    </row>
    <row r="2104" spans="1:20" hidden="1" x14ac:dyDescent="0.3">
      <c r="A2104" t="s">
        <v>1940</v>
      </c>
      <c r="B2104" t="s">
        <v>51</v>
      </c>
      <c r="C2104" t="s">
        <v>37</v>
      </c>
      <c r="D2104" t="s">
        <v>52</v>
      </c>
      <c r="E2104">
        <v>2022</v>
      </c>
      <c r="F2104">
        <v>53000</v>
      </c>
      <c r="G2104" t="s">
        <v>5546</v>
      </c>
      <c r="H2104" t="s">
        <v>2666</v>
      </c>
      <c r="I2104" t="s">
        <v>109</v>
      </c>
      <c r="J2104" t="s">
        <v>5547</v>
      </c>
      <c r="K2104" t="s">
        <v>2649</v>
      </c>
      <c r="L2104" t="s">
        <v>31</v>
      </c>
      <c r="M2104" t="s">
        <v>27</v>
      </c>
      <c r="N2104" t="s">
        <v>27</v>
      </c>
      <c r="O2104" t="s">
        <v>27</v>
      </c>
      <c r="P2104" t="s">
        <v>31</v>
      </c>
      <c r="Q2104" t="s">
        <v>31</v>
      </c>
      <c r="R2104" t="s">
        <v>31</v>
      </c>
      <c r="S2104" t="s">
        <v>31</v>
      </c>
      <c r="T2104" t="s">
        <v>31</v>
      </c>
    </row>
    <row r="2105" spans="1:20" hidden="1" x14ac:dyDescent="0.3">
      <c r="A2105" t="s">
        <v>1941</v>
      </c>
      <c r="B2105" t="s">
        <v>51</v>
      </c>
      <c r="C2105" t="s">
        <v>37</v>
      </c>
      <c r="D2105" t="s">
        <v>52</v>
      </c>
      <c r="E2105">
        <v>2022</v>
      </c>
      <c r="F2105" t="s">
        <v>31</v>
      </c>
      <c r="G2105" t="s">
        <v>31</v>
      </c>
      <c r="H2105" t="s">
        <v>2888</v>
      </c>
      <c r="I2105" t="s">
        <v>75</v>
      </c>
      <c r="J2105" t="s">
        <v>31</v>
      </c>
      <c r="K2105" t="s">
        <v>31</v>
      </c>
      <c r="L2105" t="s">
        <v>31</v>
      </c>
      <c r="M2105" t="s">
        <v>27</v>
      </c>
      <c r="N2105" t="s">
        <v>27</v>
      </c>
      <c r="O2105" t="s">
        <v>27</v>
      </c>
      <c r="P2105" t="s">
        <v>31</v>
      </c>
      <c r="Q2105" t="s">
        <v>31</v>
      </c>
      <c r="R2105" t="s">
        <v>31</v>
      </c>
      <c r="S2105" t="s">
        <v>31</v>
      </c>
      <c r="T2105" t="s">
        <v>31</v>
      </c>
    </row>
    <row r="2106" spans="1:20" hidden="1" x14ac:dyDescent="0.3">
      <c r="A2106" t="s">
        <v>1942</v>
      </c>
      <c r="B2106" t="s">
        <v>28</v>
      </c>
      <c r="C2106" t="s">
        <v>29</v>
      </c>
      <c r="D2106" t="s">
        <v>97</v>
      </c>
      <c r="E2106">
        <v>2022</v>
      </c>
      <c r="F2106">
        <v>3000000</v>
      </c>
      <c r="G2106" t="s">
        <v>31</v>
      </c>
      <c r="H2106" t="s">
        <v>2645</v>
      </c>
      <c r="I2106" t="s">
        <v>34</v>
      </c>
      <c r="J2106" t="s">
        <v>5548</v>
      </c>
      <c r="K2106" t="s">
        <v>31</v>
      </c>
      <c r="L2106" t="s">
        <v>65</v>
      </c>
      <c r="M2106" t="s">
        <v>27</v>
      </c>
      <c r="N2106" t="s">
        <v>27</v>
      </c>
      <c r="O2106" t="s">
        <v>33</v>
      </c>
      <c r="P2106" t="s">
        <v>31</v>
      </c>
      <c r="Q2106" t="s">
        <v>31</v>
      </c>
      <c r="R2106" t="s">
        <v>31</v>
      </c>
      <c r="S2106" t="s">
        <v>31</v>
      </c>
      <c r="T2106" t="s">
        <v>31</v>
      </c>
    </row>
    <row r="2107" spans="1:20" hidden="1" x14ac:dyDescent="0.3">
      <c r="A2107" t="s">
        <v>1943</v>
      </c>
      <c r="B2107" t="s">
        <v>51</v>
      </c>
      <c r="C2107" t="s">
        <v>2655</v>
      </c>
      <c r="D2107" t="s">
        <v>134</v>
      </c>
      <c r="E2107">
        <v>2022</v>
      </c>
      <c r="F2107" t="s">
        <v>31</v>
      </c>
      <c r="G2107" t="s">
        <v>31</v>
      </c>
      <c r="H2107" t="s">
        <v>2678</v>
      </c>
      <c r="I2107" t="s">
        <v>53</v>
      </c>
      <c r="J2107" t="s">
        <v>5549</v>
      </c>
      <c r="K2107" t="s">
        <v>2649</v>
      </c>
      <c r="L2107" t="s">
        <v>37</v>
      </c>
      <c r="M2107" t="s">
        <v>27</v>
      </c>
      <c r="N2107" t="s">
        <v>27</v>
      </c>
      <c r="O2107" t="s">
        <v>27</v>
      </c>
      <c r="P2107" t="s">
        <v>31</v>
      </c>
      <c r="Q2107" t="s">
        <v>31</v>
      </c>
      <c r="R2107" t="s">
        <v>31</v>
      </c>
      <c r="S2107" t="s">
        <v>31</v>
      </c>
      <c r="T2107" t="s">
        <v>31</v>
      </c>
    </row>
    <row r="2108" spans="1:20" hidden="1" x14ac:dyDescent="0.3">
      <c r="A2108" t="s">
        <v>1945</v>
      </c>
      <c r="B2108" t="s">
        <v>28</v>
      </c>
      <c r="C2108" t="s">
        <v>29</v>
      </c>
      <c r="D2108" t="s">
        <v>64</v>
      </c>
      <c r="E2108">
        <v>2022</v>
      </c>
      <c r="F2108">
        <v>1300000</v>
      </c>
      <c r="G2108" t="s">
        <v>5550</v>
      </c>
      <c r="H2108" t="s">
        <v>2645</v>
      </c>
      <c r="I2108" t="s">
        <v>34</v>
      </c>
      <c r="J2108" t="s">
        <v>5551</v>
      </c>
      <c r="K2108" t="s">
        <v>31</v>
      </c>
      <c r="L2108" t="s">
        <v>100</v>
      </c>
      <c r="M2108" t="s">
        <v>27</v>
      </c>
      <c r="N2108" t="s">
        <v>27</v>
      </c>
      <c r="O2108" t="s">
        <v>27</v>
      </c>
      <c r="P2108" t="s">
        <v>31</v>
      </c>
      <c r="Q2108">
        <v>177</v>
      </c>
      <c r="R2108" t="s">
        <v>31</v>
      </c>
      <c r="S2108" t="s">
        <v>31</v>
      </c>
      <c r="T2108" t="s">
        <v>31</v>
      </c>
    </row>
    <row r="2109" spans="1:20" x14ac:dyDescent="0.3">
      <c r="A2109" t="s">
        <v>1946</v>
      </c>
      <c r="B2109" t="s">
        <v>51</v>
      </c>
      <c r="C2109" t="s">
        <v>37</v>
      </c>
      <c r="D2109" t="s">
        <v>52</v>
      </c>
      <c r="E2109">
        <v>2022</v>
      </c>
      <c r="F2109">
        <v>136000</v>
      </c>
      <c r="G2109" t="s">
        <v>31</v>
      </c>
      <c r="H2109" t="s">
        <v>2656</v>
      </c>
      <c r="I2109" t="s">
        <v>119</v>
      </c>
      <c r="J2109" t="s">
        <v>2626</v>
      </c>
      <c r="K2109" t="s">
        <v>2649</v>
      </c>
      <c r="L2109" t="s">
        <v>54</v>
      </c>
      <c r="M2109" t="s">
        <v>27</v>
      </c>
      <c r="N2109" t="s">
        <v>27</v>
      </c>
      <c r="O2109" t="s">
        <v>27</v>
      </c>
      <c r="P2109" t="s">
        <v>31</v>
      </c>
      <c r="Q2109" t="s">
        <v>31</v>
      </c>
      <c r="R2109" t="s">
        <v>31</v>
      </c>
      <c r="S2109" t="s">
        <v>31</v>
      </c>
      <c r="T2109" t="s">
        <v>31</v>
      </c>
    </row>
    <row r="2110" spans="1:20" hidden="1" x14ac:dyDescent="0.3">
      <c r="A2110" t="s">
        <v>1947</v>
      </c>
      <c r="B2110" t="s">
        <v>51</v>
      </c>
      <c r="C2110" t="s">
        <v>37</v>
      </c>
      <c r="D2110" t="s">
        <v>52</v>
      </c>
      <c r="E2110">
        <v>2022</v>
      </c>
      <c r="F2110" t="s">
        <v>31</v>
      </c>
      <c r="G2110" t="s">
        <v>5552</v>
      </c>
      <c r="H2110" t="s">
        <v>2647</v>
      </c>
      <c r="I2110" t="s">
        <v>47</v>
      </c>
      <c r="J2110" t="s">
        <v>5553</v>
      </c>
      <c r="K2110" t="s">
        <v>31</v>
      </c>
      <c r="L2110" t="s">
        <v>54</v>
      </c>
      <c r="M2110" t="s">
        <v>27</v>
      </c>
      <c r="N2110" t="s">
        <v>27</v>
      </c>
      <c r="O2110" t="s">
        <v>27</v>
      </c>
      <c r="P2110" t="s">
        <v>31</v>
      </c>
      <c r="Q2110" t="s">
        <v>31</v>
      </c>
      <c r="R2110" t="s">
        <v>31</v>
      </c>
      <c r="S2110" t="s">
        <v>31</v>
      </c>
      <c r="T2110" t="s">
        <v>31</v>
      </c>
    </row>
    <row r="2111" spans="1:20" hidden="1" x14ac:dyDescent="0.3">
      <c r="A2111" t="s">
        <v>1948</v>
      </c>
      <c r="B2111" t="s">
        <v>28</v>
      </c>
      <c r="C2111" t="s">
        <v>29</v>
      </c>
      <c r="D2111" t="s">
        <v>97</v>
      </c>
      <c r="E2111">
        <v>2022</v>
      </c>
      <c r="F2111">
        <v>3200000</v>
      </c>
      <c r="G2111" t="s">
        <v>31</v>
      </c>
      <c r="H2111" t="s">
        <v>2645</v>
      </c>
      <c r="I2111" t="s">
        <v>34</v>
      </c>
      <c r="J2111" t="s">
        <v>5554</v>
      </c>
      <c r="K2111" t="s">
        <v>31</v>
      </c>
      <c r="L2111" t="s">
        <v>31</v>
      </c>
      <c r="M2111" t="s">
        <v>27</v>
      </c>
      <c r="N2111" t="s">
        <v>27</v>
      </c>
      <c r="O2111" t="s">
        <v>27</v>
      </c>
      <c r="P2111" t="s">
        <v>31</v>
      </c>
      <c r="Q2111" t="s">
        <v>31</v>
      </c>
      <c r="R2111" t="s">
        <v>31</v>
      </c>
      <c r="S2111" t="s">
        <v>31</v>
      </c>
      <c r="T2111" t="s">
        <v>31</v>
      </c>
    </row>
    <row r="2112" spans="1:20" hidden="1" x14ac:dyDescent="0.3">
      <c r="A2112" t="s">
        <v>1949</v>
      </c>
      <c r="B2112" t="s">
        <v>28</v>
      </c>
      <c r="C2112" t="s">
        <v>29</v>
      </c>
      <c r="D2112" t="s">
        <v>97</v>
      </c>
      <c r="E2112">
        <v>2022</v>
      </c>
      <c r="F2112">
        <v>2800000</v>
      </c>
      <c r="G2112" t="s">
        <v>5555</v>
      </c>
      <c r="H2112" t="s">
        <v>2645</v>
      </c>
      <c r="I2112" t="s">
        <v>34</v>
      </c>
      <c r="J2112" t="s">
        <v>5556</v>
      </c>
      <c r="K2112" t="s">
        <v>31</v>
      </c>
      <c r="L2112" t="s">
        <v>100</v>
      </c>
      <c r="M2112" t="s">
        <v>27</v>
      </c>
      <c r="N2112" t="s">
        <v>27</v>
      </c>
      <c r="O2112" t="s">
        <v>27</v>
      </c>
      <c r="P2112" t="s">
        <v>31</v>
      </c>
      <c r="Q2112">
        <v>265</v>
      </c>
      <c r="R2112" t="s">
        <v>31</v>
      </c>
      <c r="S2112" t="s">
        <v>31</v>
      </c>
      <c r="T2112" t="s">
        <v>31</v>
      </c>
    </row>
    <row r="2113" spans="1:20" hidden="1" x14ac:dyDescent="0.3">
      <c r="A2113" t="s">
        <v>1950</v>
      </c>
      <c r="B2113" t="s">
        <v>51</v>
      </c>
      <c r="C2113" t="s">
        <v>37</v>
      </c>
      <c r="D2113" t="s">
        <v>52</v>
      </c>
      <c r="E2113">
        <v>2022</v>
      </c>
      <c r="F2113" t="s">
        <v>31</v>
      </c>
      <c r="G2113" t="s">
        <v>31</v>
      </c>
      <c r="H2113" t="s">
        <v>2647</v>
      </c>
      <c r="I2113" t="s">
        <v>47</v>
      </c>
      <c r="J2113" t="s">
        <v>5557</v>
      </c>
      <c r="K2113" t="s">
        <v>2649</v>
      </c>
      <c r="L2113" t="s">
        <v>54</v>
      </c>
      <c r="M2113" t="s">
        <v>27</v>
      </c>
      <c r="N2113" t="s">
        <v>27</v>
      </c>
      <c r="O2113" t="s">
        <v>27</v>
      </c>
      <c r="P2113" t="s">
        <v>31</v>
      </c>
      <c r="Q2113" t="s">
        <v>31</v>
      </c>
      <c r="R2113" t="s">
        <v>31</v>
      </c>
      <c r="S2113" t="s">
        <v>31</v>
      </c>
      <c r="T2113" t="s">
        <v>31</v>
      </c>
    </row>
    <row r="2114" spans="1:20" hidden="1" x14ac:dyDescent="0.3">
      <c r="A2114" t="s">
        <v>1951</v>
      </c>
      <c r="B2114" t="s">
        <v>28</v>
      </c>
      <c r="C2114" t="s">
        <v>29</v>
      </c>
      <c r="D2114" t="s">
        <v>189</v>
      </c>
      <c r="E2114">
        <v>2022</v>
      </c>
      <c r="F2114" t="s">
        <v>31</v>
      </c>
      <c r="G2114" t="s">
        <v>31</v>
      </c>
      <c r="H2114" t="s">
        <v>2739</v>
      </c>
      <c r="I2114" t="s">
        <v>77</v>
      </c>
      <c r="J2114" t="s">
        <v>5558</v>
      </c>
      <c r="K2114" t="s">
        <v>31</v>
      </c>
      <c r="L2114" t="s">
        <v>37</v>
      </c>
      <c r="M2114" t="s">
        <v>27</v>
      </c>
      <c r="N2114" t="s">
        <v>33</v>
      </c>
      <c r="O2114" t="s">
        <v>33</v>
      </c>
      <c r="P2114" t="s">
        <v>31</v>
      </c>
      <c r="Q2114" t="s">
        <v>31</v>
      </c>
      <c r="R2114" t="s">
        <v>31</v>
      </c>
      <c r="S2114" t="s">
        <v>31</v>
      </c>
      <c r="T2114" t="s">
        <v>31</v>
      </c>
    </row>
    <row r="2115" spans="1:20" hidden="1" x14ac:dyDescent="0.3">
      <c r="A2115" t="s">
        <v>1952</v>
      </c>
      <c r="B2115" t="s">
        <v>39</v>
      </c>
      <c r="C2115" t="s">
        <v>40</v>
      </c>
      <c r="D2115" t="s">
        <v>142</v>
      </c>
      <c r="E2115">
        <v>2022</v>
      </c>
      <c r="F2115" t="s">
        <v>31</v>
      </c>
      <c r="G2115" t="s">
        <v>31</v>
      </c>
      <c r="H2115" t="s">
        <v>2645</v>
      </c>
      <c r="I2115" t="s">
        <v>34</v>
      </c>
      <c r="J2115" t="s">
        <v>5559</v>
      </c>
      <c r="K2115" t="s">
        <v>5560</v>
      </c>
      <c r="L2115" t="s">
        <v>31</v>
      </c>
      <c r="M2115" t="s">
        <v>27</v>
      </c>
      <c r="N2115" t="s">
        <v>27</v>
      </c>
      <c r="O2115" t="s">
        <v>33</v>
      </c>
      <c r="P2115" t="s">
        <v>31</v>
      </c>
      <c r="Q2115" t="s">
        <v>31</v>
      </c>
      <c r="R2115" t="s">
        <v>31</v>
      </c>
      <c r="S2115" t="s">
        <v>31</v>
      </c>
      <c r="T2115" t="s">
        <v>31</v>
      </c>
    </row>
    <row r="2116" spans="1:20" hidden="1" x14ac:dyDescent="0.3">
      <c r="A2116" t="s">
        <v>1953</v>
      </c>
      <c r="B2116" t="s">
        <v>51</v>
      </c>
      <c r="C2116" t="s">
        <v>37</v>
      </c>
      <c r="D2116" t="s">
        <v>52</v>
      </c>
      <c r="E2116">
        <v>2022</v>
      </c>
      <c r="F2116" t="s">
        <v>31</v>
      </c>
      <c r="G2116" t="s">
        <v>5561</v>
      </c>
      <c r="H2116" t="s">
        <v>2709</v>
      </c>
      <c r="I2116" t="s">
        <v>70</v>
      </c>
      <c r="J2116" t="s">
        <v>5562</v>
      </c>
      <c r="K2116" t="s">
        <v>2664</v>
      </c>
      <c r="L2116" t="s">
        <v>31</v>
      </c>
      <c r="M2116" t="s">
        <v>27</v>
      </c>
      <c r="N2116" t="s">
        <v>27</v>
      </c>
      <c r="O2116" t="s">
        <v>33</v>
      </c>
      <c r="P2116" t="s">
        <v>31</v>
      </c>
      <c r="Q2116" t="s">
        <v>31</v>
      </c>
      <c r="R2116" t="s">
        <v>31</v>
      </c>
      <c r="S2116" t="s">
        <v>31</v>
      </c>
      <c r="T2116" t="s">
        <v>31</v>
      </c>
    </row>
    <row r="2117" spans="1:20" hidden="1" x14ac:dyDescent="0.3">
      <c r="A2117" t="s">
        <v>1954</v>
      </c>
      <c r="B2117" t="s">
        <v>51</v>
      </c>
      <c r="C2117" t="s">
        <v>37</v>
      </c>
      <c r="D2117" t="s">
        <v>52</v>
      </c>
      <c r="E2117">
        <v>2022</v>
      </c>
      <c r="F2117">
        <v>21000</v>
      </c>
      <c r="G2117" t="s">
        <v>31</v>
      </c>
      <c r="H2117" t="s">
        <v>3482</v>
      </c>
      <c r="I2117" t="s">
        <v>1925</v>
      </c>
      <c r="J2117" t="s">
        <v>5563</v>
      </c>
      <c r="K2117" t="s">
        <v>2649</v>
      </c>
      <c r="L2117" t="s">
        <v>31</v>
      </c>
      <c r="M2117" t="s">
        <v>27</v>
      </c>
      <c r="N2117" t="s">
        <v>27</v>
      </c>
      <c r="O2117" t="s">
        <v>33</v>
      </c>
      <c r="P2117" t="s">
        <v>31</v>
      </c>
      <c r="Q2117" t="s">
        <v>31</v>
      </c>
      <c r="R2117" t="s">
        <v>31</v>
      </c>
      <c r="S2117" t="s">
        <v>31</v>
      </c>
      <c r="T2117" t="s">
        <v>31</v>
      </c>
    </row>
    <row r="2118" spans="1:20" hidden="1" x14ac:dyDescent="0.3">
      <c r="A2118" t="s">
        <v>1955</v>
      </c>
      <c r="B2118" t="s">
        <v>28</v>
      </c>
      <c r="C2118" t="s">
        <v>29</v>
      </c>
      <c r="D2118" t="s">
        <v>30</v>
      </c>
      <c r="E2118">
        <v>2022</v>
      </c>
      <c r="F2118">
        <v>51000</v>
      </c>
      <c r="G2118" t="s">
        <v>5564</v>
      </c>
      <c r="H2118" t="s">
        <v>2672</v>
      </c>
      <c r="I2118" t="s">
        <v>73</v>
      </c>
      <c r="J2118" t="s">
        <v>5565</v>
      </c>
      <c r="K2118" t="s">
        <v>31</v>
      </c>
      <c r="L2118" t="s">
        <v>82</v>
      </c>
      <c r="M2118" t="s">
        <v>27</v>
      </c>
      <c r="N2118" t="s">
        <v>27</v>
      </c>
      <c r="O2118" t="s">
        <v>27</v>
      </c>
      <c r="P2118" t="s">
        <v>31</v>
      </c>
      <c r="Q2118">
        <v>16</v>
      </c>
      <c r="R2118" t="s">
        <v>31</v>
      </c>
      <c r="S2118" t="s">
        <v>31</v>
      </c>
      <c r="T2118" t="s">
        <v>31</v>
      </c>
    </row>
    <row r="2119" spans="1:20" hidden="1" x14ac:dyDescent="0.3">
      <c r="A2119" t="s">
        <v>1956</v>
      </c>
      <c r="B2119" t="s">
        <v>51</v>
      </c>
      <c r="C2119" t="s">
        <v>37</v>
      </c>
      <c r="D2119" t="s">
        <v>52</v>
      </c>
      <c r="E2119">
        <v>2022</v>
      </c>
      <c r="F2119" t="s">
        <v>31</v>
      </c>
      <c r="G2119" t="s">
        <v>31</v>
      </c>
      <c r="H2119" t="s">
        <v>2672</v>
      </c>
      <c r="I2119" t="s">
        <v>73</v>
      </c>
      <c r="J2119" t="s">
        <v>5566</v>
      </c>
      <c r="K2119" t="s">
        <v>2649</v>
      </c>
      <c r="L2119" t="s">
        <v>31</v>
      </c>
      <c r="M2119" t="s">
        <v>27</v>
      </c>
      <c r="N2119" t="s">
        <v>27</v>
      </c>
      <c r="O2119" t="s">
        <v>33</v>
      </c>
      <c r="P2119" t="s">
        <v>31</v>
      </c>
      <c r="Q2119" t="s">
        <v>31</v>
      </c>
      <c r="R2119" t="s">
        <v>31</v>
      </c>
      <c r="S2119" t="s">
        <v>31</v>
      </c>
      <c r="T2119" t="s">
        <v>31</v>
      </c>
    </row>
    <row r="2120" spans="1:20" hidden="1" x14ac:dyDescent="0.3">
      <c r="A2120" t="s">
        <v>1957</v>
      </c>
      <c r="B2120" t="s">
        <v>28</v>
      </c>
      <c r="C2120" t="s">
        <v>29</v>
      </c>
      <c r="D2120" t="s">
        <v>30</v>
      </c>
      <c r="E2120">
        <v>2022</v>
      </c>
      <c r="F2120" t="s">
        <v>31</v>
      </c>
      <c r="G2120" t="s">
        <v>5480</v>
      </c>
      <c r="H2120" t="s">
        <v>2695</v>
      </c>
      <c r="I2120" t="s">
        <v>161</v>
      </c>
      <c r="J2120" t="s">
        <v>5567</v>
      </c>
      <c r="K2120" t="s">
        <v>31</v>
      </c>
      <c r="L2120" t="s">
        <v>37</v>
      </c>
      <c r="M2120" t="s">
        <v>27</v>
      </c>
      <c r="N2120" t="s">
        <v>27</v>
      </c>
      <c r="O2120" t="s">
        <v>27</v>
      </c>
      <c r="P2120" t="s">
        <v>31</v>
      </c>
      <c r="Q2120" t="s">
        <v>31</v>
      </c>
      <c r="R2120" t="s">
        <v>31</v>
      </c>
      <c r="S2120" t="s">
        <v>31</v>
      </c>
      <c r="T2120" t="s">
        <v>31</v>
      </c>
    </row>
    <row r="2121" spans="1:20" hidden="1" x14ac:dyDescent="0.3">
      <c r="A2121" t="s">
        <v>1958</v>
      </c>
      <c r="B2121" t="s">
        <v>28</v>
      </c>
      <c r="C2121" t="s">
        <v>29</v>
      </c>
      <c r="D2121" t="s">
        <v>30</v>
      </c>
      <c r="E2121">
        <v>2022</v>
      </c>
      <c r="F2121">
        <v>17000</v>
      </c>
      <c r="G2121" t="s">
        <v>5480</v>
      </c>
      <c r="H2121" t="s">
        <v>2680</v>
      </c>
      <c r="I2121" t="s">
        <v>115</v>
      </c>
      <c r="J2121" t="s">
        <v>5568</v>
      </c>
      <c r="K2121" t="s">
        <v>31</v>
      </c>
      <c r="L2121" t="s">
        <v>37</v>
      </c>
      <c r="M2121" t="s">
        <v>27</v>
      </c>
      <c r="N2121" t="s">
        <v>27</v>
      </c>
      <c r="O2121" t="s">
        <v>27</v>
      </c>
      <c r="P2121" t="s">
        <v>31</v>
      </c>
      <c r="Q2121">
        <v>70</v>
      </c>
      <c r="R2121" t="s">
        <v>31</v>
      </c>
      <c r="S2121" t="s">
        <v>31</v>
      </c>
      <c r="T2121" t="s">
        <v>31</v>
      </c>
    </row>
    <row r="2122" spans="1:20" hidden="1" x14ac:dyDescent="0.3">
      <c r="A2122" t="s">
        <v>1959</v>
      </c>
      <c r="B2122" t="s">
        <v>28</v>
      </c>
      <c r="C2122" t="s">
        <v>29</v>
      </c>
      <c r="D2122" t="s">
        <v>30</v>
      </c>
      <c r="E2122">
        <v>2022</v>
      </c>
      <c r="F2122" t="s">
        <v>31</v>
      </c>
      <c r="G2122" t="s">
        <v>31</v>
      </c>
      <c r="H2122" t="s">
        <v>2672</v>
      </c>
      <c r="I2122" t="s">
        <v>73</v>
      </c>
      <c r="J2122" t="s">
        <v>5569</v>
      </c>
      <c r="K2122" t="s">
        <v>31</v>
      </c>
      <c r="L2122" t="s">
        <v>82</v>
      </c>
      <c r="M2122" t="s">
        <v>27</v>
      </c>
      <c r="N2122" t="s">
        <v>27</v>
      </c>
      <c r="O2122" t="s">
        <v>27</v>
      </c>
      <c r="P2122" t="s">
        <v>31</v>
      </c>
      <c r="Q2122" t="s">
        <v>31</v>
      </c>
      <c r="R2122" t="s">
        <v>31</v>
      </c>
      <c r="S2122" t="s">
        <v>31</v>
      </c>
      <c r="T2122" t="s">
        <v>31</v>
      </c>
    </row>
    <row r="2123" spans="1:20" hidden="1" x14ac:dyDescent="0.3">
      <c r="A2123" t="s">
        <v>1960</v>
      </c>
      <c r="B2123" t="s">
        <v>51</v>
      </c>
      <c r="C2123" t="s">
        <v>37</v>
      </c>
      <c r="D2123" t="s">
        <v>52</v>
      </c>
      <c r="E2123">
        <v>2022</v>
      </c>
      <c r="F2123" t="s">
        <v>31</v>
      </c>
      <c r="G2123" t="s">
        <v>5570</v>
      </c>
      <c r="H2123" t="s">
        <v>2647</v>
      </c>
      <c r="I2123" t="s">
        <v>47</v>
      </c>
      <c r="J2123" t="s">
        <v>5571</v>
      </c>
      <c r="K2123" t="s">
        <v>2649</v>
      </c>
      <c r="L2123" t="s">
        <v>402</v>
      </c>
      <c r="M2123" t="s">
        <v>27</v>
      </c>
      <c r="N2123" t="s">
        <v>27</v>
      </c>
      <c r="O2123" t="s">
        <v>27</v>
      </c>
      <c r="P2123" t="s">
        <v>31</v>
      </c>
      <c r="Q2123" t="s">
        <v>31</v>
      </c>
      <c r="R2123" t="s">
        <v>31</v>
      </c>
      <c r="S2123" t="s">
        <v>31</v>
      </c>
      <c r="T2123" t="s">
        <v>31</v>
      </c>
    </row>
    <row r="2124" spans="1:20" hidden="1" x14ac:dyDescent="0.3">
      <c r="A2124" t="s">
        <v>1961</v>
      </c>
      <c r="B2124" t="s">
        <v>28</v>
      </c>
      <c r="C2124" t="s">
        <v>29</v>
      </c>
      <c r="D2124" t="s">
        <v>30</v>
      </c>
      <c r="E2124">
        <v>2022</v>
      </c>
      <c r="F2124" t="s">
        <v>31</v>
      </c>
      <c r="G2124" t="s">
        <v>5572</v>
      </c>
      <c r="H2124" t="s">
        <v>2672</v>
      </c>
      <c r="I2124" t="s">
        <v>73</v>
      </c>
      <c r="J2124" t="s">
        <v>5573</v>
      </c>
      <c r="K2124" t="s">
        <v>31</v>
      </c>
      <c r="L2124" t="s">
        <v>82</v>
      </c>
      <c r="M2124" t="s">
        <v>27</v>
      </c>
      <c r="N2124" t="s">
        <v>27</v>
      </c>
      <c r="O2124" t="s">
        <v>27</v>
      </c>
      <c r="P2124" t="s">
        <v>31</v>
      </c>
      <c r="Q2124">
        <v>215</v>
      </c>
      <c r="R2124" t="s">
        <v>31</v>
      </c>
      <c r="S2124" t="s">
        <v>31</v>
      </c>
      <c r="T2124" t="s">
        <v>31</v>
      </c>
    </row>
    <row r="2125" spans="1:20" hidden="1" x14ac:dyDescent="0.3">
      <c r="A2125" t="s">
        <v>1962</v>
      </c>
      <c r="B2125" t="s">
        <v>28</v>
      </c>
      <c r="C2125" t="s">
        <v>29</v>
      </c>
      <c r="D2125" t="s">
        <v>64</v>
      </c>
      <c r="E2125">
        <v>2022</v>
      </c>
      <c r="F2125" t="s">
        <v>31</v>
      </c>
      <c r="G2125" t="s">
        <v>31</v>
      </c>
      <c r="H2125" t="s">
        <v>2709</v>
      </c>
      <c r="I2125" t="s">
        <v>70</v>
      </c>
      <c r="J2125" t="s">
        <v>5574</v>
      </c>
      <c r="K2125" t="s">
        <v>31</v>
      </c>
      <c r="L2125" t="s">
        <v>104</v>
      </c>
      <c r="M2125" t="s">
        <v>27</v>
      </c>
      <c r="N2125" t="s">
        <v>27</v>
      </c>
      <c r="O2125" t="s">
        <v>27</v>
      </c>
      <c r="P2125" t="s">
        <v>31</v>
      </c>
      <c r="Q2125" t="s">
        <v>31</v>
      </c>
      <c r="R2125" t="s">
        <v>31</v>
      </c>
      <c r="S2125" t="s">
        <v>31</v>
      </c>
      <c r="T2125" t="s">
        <v>31</v>
      </c>
    </row>
    <row r="2126" spans="1:20" hidden="1" x14ac:dyDescent="0.3">
      <c r="A2126" t="s">
        <v>1963</v>
      </c>
      <c r="B2126" t="s">
        <v>51</v>
      </c>
      <c r="C2126" t="s">
        <v>37</v>
      </c>
      <c r="D2126" t="s">
        <v>52</v>
      </c>
      <c r="E2126">
        <v>2022</v>
      </c>
      <c r="F2126" t="s">
        <v>31</v>
      </c>
      <c r="G2126" t="s">
        <v>31</v>
      </c>
      <c r="H2126" t="s">
        <v>2709</v>
      </c>
      <c r="I2126" t="s">
        <v>70</v>
      </c>
      <c r="J2126" t="s">
        <v>5575</v>
      </c>
      <c r="K2126" t="s">
        <v>2649</v>
      </c>
      <c r="L2126" t="s">
        <v>31</v>
      </c>
      <c r="M2126" t="s">
        <v>27</v>
      </c>
      <c r="N2126" t="s">
        <v>27</v>
      </c>
      <c r="O2126" t="s">
        <v>27</v>
      </c>
      <c r="P2126" t="s">
        <v>31</v>
      </c>
      <c r="Q2126" t="s">
        <v>31</v>
      </c>
      <c r="R2126" t="s">
        <v>31</v>
      </c>
      <c r="S2126" t="s">
        <v>31</v>
      </c>
      <c r="T2126" t="s">
        <v>31</v>
      </c>
    </row>
    <row r="2127" spans="1:20" hidden="1" x14ac:dyDescent="0.3">
      <c r="A2127" t="s">
        <v>1964</v>
      </c>
      <c r="B2127" t="s">
        <v>51</v>
      </c>
      <c r="C2127" t="s">
        <v>2655</v>
      </c>
      <c r="D2127" t="s">
        <v>134</v>
      </c>
      <c r="E2127">
        <v>2022</v>
      </c>
      <c r="F2127" t="s">
        <v>31</v>
      </c>
      <c r="G2127" t="s">
        <v>31</v>
      </c>
      <c r="H2127" t="s">
        <v>2647</v>
      </c>
      <c r="I2127" t="s">
        <v>47</v>
      </c>
      <c r="J2127" t="s">
        <v>5576</v>
      </c>
      <c r="K2127" t="s">
        <v>2649</v>
      </c>
      <c r="L2127" t="s">
        <v>31</v>
      </c>
      <c r="M2127" t="s">
        <v>27</v>
      </c>
      <c r="N2127" t="s">
        <v>27</v>
      </c>
      <c r="O2127" t="s">
        <v>27</v>
      </c>
      <c r="P2127" t="s">
        <v>31</v>
      </c>
      <c r="Q2127" t="s">
        <v>31</v>
      </c>
      <c r="R2127" t="s">
        <v>31</v>
      </c>
      <c r="S2127" t="s">
        <v>31</v>
      </c>
      <c r="T2127" t="s">
        <v>31</v>
      </c>
    </row>
    <row r="2128" spans="1:20" hidden="1" x14ac:dyDescent="0.3">
      <c r="A2128" t="s">
        <v>1965</v>
      </c>
      <c r="B2128" t="s">
        <v>51</v>
      </c>
      <c r="C2128" t="s">
        <v>37</v>
      </c>
      <c r="D2128" t="s">
        <v>52</v>
      </c>
      <c r="E2128">
        <v>2022</v>
      </c>
      <c r="F2128" t="s">
        <v>31</v>
      </c>
      <c r="G2128" t="s">
        <v>31</v>
      </c>
      <c r="H2128" t="s">
        <v>2709</v>
      </c>
      <c r="I2128" t="s">
        <v>70</v>
      </c>
      <c r="J2128" t="s">
        <v>5577</v>
      </c>
      <c r="K2128" t="s">
        <v>2649</v>
      </c>
      <c r="L2128" t="s">
        <v>54</v>
      </c>
      <c r="M2128" t="s">
        <v>27</v>
      </c>
      <c r="N2128" t="s">
        <v>27</v>
      </c>
      <c r="O2128" t="s">
        <v>27</v>
      </c>
      <c r="P2128" t="s">
        <v>31</v>
      </c>
      <c r="Q2128" t="s">
        <v>31</v>
      </c>
      <c r="R2128" t="s">
        <v>31</v>
      </c>
      <c r="S2128" t="s">
        <v>31</v>
      </c>
      <c r="T2128" t="s">
        <v>31</v>
      </c>
    </row>
    <row r="2129" spans="1:20" hidden="1" x14ac:dyDescent="0.3">
      <c r="A2129" t="s">
        <v>1966</v>
      </c>
      <c r="B2129" t="s">
        <v>28</v>
      </c>
      <c r="C2129" t="s">
        <v>29</v>
      </c>
      <c r="D2129" t="s">
        <v>67</v>
      </c>
      <c r="E2129">
        <v>2022</v>
      </c>
      <c r="F2129">
        <v>179000</v>
      </c>
      <c r="G2129" t="s">
        <v>31</v>
      </c>
      <c r="H2129" t="s">
        <v>2739</v>
      </c>
      <c r="I2129" t="s">
        <v>77</v>
      </c>
      <c r="J2129" t="s">
        <v>5035</v>
      </c>
      <c r="K2129" t="s">
        <v>31</v>
      </c>
      <c r="L2129" t="s">
        <v>31</v>
      </c>
      <c r="M2129" t="s">
        <v>27</v>
      </c>
      <c r="N2129" t="s">
        <v>27</v>
      </c>
      <c r="O2129" t="s">
        <v>27</v>
      </c>
      <c r="P2129" t="s">
        <v>31</v>
      </c>
      <c r="Q2129" t="s">
        <v>31</v>
      </c>
      <c r="R2129" t="s">
        <v>31</v>
      </c>
      <c r="S2129" t="s">
        <v>31</v>
      </c>
      <c r="T2129" t="s">
        <v>31</v>
      </c>
    </row>
    <row r="2130" spans="1:20" hidden="1" x14ac:dyDescent="0.3">
      <c r="A2130" t="s">
        <v>1967</v>
      </c>
      <c r="B2130" t="s">
        <v>39</v>
      </c>
      <c r="C2130" t="s">
        <v>157</v>
      </c>
      <c r="D2130" t="s">
        <v>157</v>
      </c>
      <c r="E2130">
        <v>2022</v>
      </c>
      <c r="F2130">
        <v>4000000</v>
      </c>
      <c r="G2130" t="s">
        <v>31</v>
      </c>
      <c r="H2130" t="s">
        <v>2656</v>
      </c>
      <c r="I2130" t="s">
        <v>119</v>
      </c>
      <c r="J2130" t="s">
        <v>31</v>
      </c>
      <c r="K2130" t="s">
        <v>31</v>
      </c>
      <c r="L2130" t="s">
        <v>31</v>
      </c>
      <c r="M2130" t="s">
        <v>27</v>
      </c>
      <c r="N2130" t="s">
        <v>27</v>
      </c>
      <c r="O2130" t="s">
        <v>27</v>
      </c>
      <c r="P2130" t="s">
        <v>31</v>
      </c>
      <c r="Q2130" t="s">
        <v>31</v>
      </c>
      <c r="R2130" t="s">
        <v>31</v>
      </c>
      <c r="S2130" t="s">
        <v>31</v>
      </c>
      <c r="T2130" t="s">
        <v>31</v>
      </c>
    </row>
    <row r="2131" spans="1:20" hidden="1" x14ac:dyDescent="0.3">
      <c r="A2131" t="s">
        <v>2022</v>
      </c>
      <c r="B2131" t="s">
        <v>51</v>
      </c>
      <c r="C2131" t="s">
        <v>37</v>
      </c>
      <c r="D2131" t="s">
        <v>56</v>
      </c>
      <c r="E2131">
        <v>2022</v>
      </c>
      <c r="F2131" t="s">
        <v>31</v>
      </c>
      <c r="G2131" t="s">
        <v>5578</v>
      </c>
      <c r="H2131" t="s">
        <v>3184</v>
      </c>
      <c r="I2131" t="s">
        <v>246</v>
      </c>
      <c r="J2131" t="s">
        <v>5579</v>
      </c>
      <c r="K2131" t="s">
        <v>2649</v>
      </c>
      <c r="L2131" t="s">
        <v>31</v>
      </c>
      <c r="M2131" t="s">
        <v>27</v>
      </c>
      <c r="N2131" t="s">
        <v>27</v>
      </c>
      <c r="O2131" t="s">
        <v>27</v>
      </c>
      <c r="P2131" t="s">
        <v>31</v>
      </c>
      <c r="Q2131" t="s">
        <v>31</v>
      </c>
      <c r="R2131" t="s">
        <v>31</v>
      </c>
      <c r="S2131" t="s">
        <v>31</v>
      </c>
      <c r="T2131" t="s">
        <v>31</v>
      </c>
    </row>
    <row r="2132" spans="1:20" hidden="1" x14ac:dyDescent="0.3">
      <c r="A2132" t="s">
        <v>2028</v>
      </c>
      <c r="B2132" t="s">
        <v>91</v>
      </c>
      <c r="C2132" t="s">
        <v>2712</v>
      </c>
      <c r="D2132" t="s">
        <v>105</v>
      </c>
      <c r="E2132">
        <v>2022</v>
      </c>
      <c r="F2132" t="s">
        <v>31</v>
      </c>
      <c r="G2132" t="s">
        <v>5580</v>
      </c>
      <c r="H2132" t="s">
        <v>2678</v>
      </c>
      <c r="I2132" t="s">
        <v>53</v>
      </c>
      <c r="J2132" t="s">
        <v>5581</v>
      </c>
      <c r="K2132" t="s">
        <v>31</v>
      </c>
      <c r="L2132" t="s">
        <v>2029</v>
      </c>
      <c r="M2132" t="s">
        <v>27</v>
      </c>
      <c r="N2132" t="s">
        <v>27</v>
      </c>
      <c r="O2132" t="s">
        <v>33</v>
      </c>
      <c r="P2132" t="s">
        <v>31</v>
      </c>
      <c r="Q2132" t="s">
        <v>31</v>
      </c>
      <c r="R2132" t="s">
        <v>31</v>
      </c>
      <c r="S2132" t="s">
        <v>31</v>
      </c>
      <c r="T2132" t="s">
        <v>31</v>
      </c>
    </row>
    <row r="2133" spans="1:20" hidden="1" x14ac:dyDescent="0.3">
      <c r="A2133" t="s">
        <v>2030</v>
      </c>
      <c r="B2133" t="s">
        <v>91</v>
      </c>
      <c r="C2133" t="s">
        <v>92</v>
      </c>
      <c r="D2133" t="s">
        <v>93</v>
      </c>
      <c r="E2133">
        <v>2022</v>
      </c>
      <c r="F2133" t="s">
        <v>31</v>
      </c>
      <c r="G2133" t="s">
        <v>5582</v>
      </c>
      <c r="H2133" t="s">
        <v>2749</v>
      </c>
      <c r="I2133" t="s">
        <v>45</v>
      </c>
      <c r="J2133" t="s">
        <v>5583</v>
      </c>
      <c r="K2133" t="s">
        <v>31</v>
      </c>
      <c r="L2133" t="s">
        <v>31</v>
      </c>
      <c r="M2133" t="s">
        <v>27</v>
      </c>
      <c r="N2133" t="s">
        <v>27</v>
      </c>
      <c r="O2133" t="s">
        <v>27</v>
      </c>
      <c r="P2133" t="s">
        <v>31</v>
      </c>
      <c r="Q2133">
        <v>5.3</v>
      </c>
      <c r="R2133">
        <v>18.494</v>
      </c>
      <c r="S2133">
        <v>-73.3</v>
      </c>
      <c r="T2133" t="s">
        <v>31</v>
      </c>
    </row>
    <row r="2134" spans="1:20" hidden="1" x14ac:dyDescent="0.3">
      <c r="A2134" t="s">
        <v>2031</v>
      </c>
      <c r="B2134" t="s">
        <v>51</v>
      </c>
      <c r="C2134" t="s">
        <v>37</v>
      </c>
      <c r="D2134" t="s">
        <v>52</v>
      </c>
      <c r="E2134">
        <v>2022</v>
      </c>
      <c r="F2134" t="s">
        <v>31</v>
      </c>
      <c r="G2134" t="s">
        <v>31</v>
      </c>
      <c r="H2134" t="s">
        <v>2753</v>
      </c>
      <c r="I2134" t="s">
        <v>49</v>
      </c>
      <c r="J2134" t="s">
        <v>5584</v>
      </c>
      <c r="K2134" t="s">
        <v>2649</v>
      </c>
      <c r="L2134" t="s">
        <v>31</v>
      </c>
      <c r="M2134" t="s">
        <v>27</v>
      </c>
      <c r="N2134" t="s">
        <v>27</v>
      </c>
      <c r="O2134" t="s">
        <v>27</v>
      </c>
      <c r="P2134" t="s">
        <v>31</v>
      </c>
      <c r="Q2134" t="s">
        <v>31</v>
      </c>
      <c r="R2134" t="s">
        <v>31</v>
      </c>
      <c r="S2134" t="s">
        <v>31</v>
      </c>
      <c r="T2134" t="s">
        <v>31</v>
      </c>
    </row>
    <row r="2135" spans="1:20" x14ac:dyDescent="0.3">
      <c r="A2135" t="s">
        <v>2032</v>
      </c>
      <c r="B2135" t="s">
        <v>51</v>
      </c>
      <c r="C2135" t="s">
        <v>37</v>
      </c>
      <c r="D2135" t="s">
        <v>52</v>
      </c>
      <c r="E2135">
        <v>2022</v>
      </c>
      <c r="F2135">
        <v>27000</v>
      </c>
      <c r="G2135" t="s">
        <v>31</v>
      </c>
      <c r="H2135" t="s">
        <v>2656</v>
      </c>
      <c r="I2135" t="s">
        <v>119</v>
      </c>
      <c r="J2135" t="s">
        <v>2630</v>
      </c>
      <c r="K2135" t="s">
        <v>2649</v>
      </c>
      <c r="L2135" t="s">
        <v>54</v>
      </c>
      <c r="M2135" t="s">
        <v>27</v>
      </c>
      <c r="N2135" t="s">
        <v>27</v>
      </c>
      <c r="O2135" t="s">
        <v>33</v>
      </c>
      <c r="P2135" t="s">
        <v>31</v>
      </c>
      <c r="Q2135" t="s">
        <v>31</v>
      </c>
      <c r="R2135" t="s">
        <v>31</v>
      </c>
      <c r="S2135" t="s">
        <v>31</v>
      </c>
      <c r="T2135" t="s">
        <v>31</v>
      </c>
    </row>
    <row r="2136" spans="1:20" hidden="1" x14ac:dyDescent="0.3">
      <c r="A2136" t="s">
        <v>2033</v>
      </c>
      <c r="B2136" t="s">
        <v>51</v>
      </c>
      <c r="C2136" t="s">
        <v>37</v>
      </c>
      <c r="D2136" t="s">
        <v>52</v>
      </c>
      <c r="E2136">
        <v>2022</v>
      </c>
      <c r="F2136" t="s">
        <v>31</v>
      </c>
      <c r="G2136" t="s">
        <v>31</v>
      </c>
      <c r="H2136" t="s">
        <v>2669</v>
      </c>
      <c r="I2136" t="s">
        <v>111</v>
      </c>
      <c r="J2136" t="s">
        <v>5585</v>
      </c>
      <c r="K2136" t="s">
        <v>2649</v>
      </c>
      <c r="L2136" t="s">
        <v>31</v>
      </c>
      <c r="M2136" t="s">
        <v>27</v>
      </c>
      <c r="N2136" t="s">
        <v>27</v>
      </c>
      <c r="O2136" t="s">
        <v>27</v>
      </c>
      <c r="P2136" t="s">
        <v>31</v>
      </c>
      <c r="Q2136" t="s">
        <v>31</v>
      </c>
      <c r="R2136" t="s">
        <v>31</v>
      </c>
      <c r="S2136" t="s">
        <v>31</v>
      </c>
      <c r="T2136" t="s">
        <v>31</v>
      </c>
    </row>
    <row r="2137" spans="1:20" hidden="1" x14ac:dyDescent="0.3">
      <c r="A2137" t="s">
        <v>2034</v>
      </c>
      <c r="B2137" t="s">
        <v>51</v>
      </c>
      <c r="C2137" t="s">
        <v>37</v>
      </c>
      <c r="D2137" t="s">
        <v>52</v>
      </c>
      <c r="E2137">
        <v>2022</v>
      </c>
      <c r="F2137">
        <v>11000</v>
      </c>
      <c r="G2137" t="s">
        <v>31</v>
      </c>
      <c r="H2137" t="s">
        <v>2647</v>
      </c>
      <c r="I2137" t="s">
        <v>47</v>
      </c>
      <c r="J2137" t="s">
        <v>5586</v>
      </c>
      <c r="K2137" t="s">
        <v>2649</v>
      </c>
      <c r="L2137" t="s">
        <v>54</v>
      </c>
      <c r="M2137" t="s">
        <v>27</v>
      </c>
      <c r="N2137" t="s">
        <v>27</v>
      </c>
      <c r="O2137" t="s">
        <v>27</v>
      </c>
      <c r="P2137" t="s">
        <v>31</v>
      </c>
      <c r="Q2137" t="s">
        <v>31</v>
      </c>
      <c r="R2137" t="s">
        <v>31</v>
      </c>
      <c r="S2137" t="s">
        <v>31</v>
      </c>
      <c r="T2137" t="s">
        <v>31</v>
      </c>
    </row>
    <row r="2138" spans="1:20" hidden="1" x14ac:dyDescent="0.3">
      <c r="A2138" t="s">
        <v>2035</v>
      </c>
      <c r="B2138" t="s">
        <v>51</v>
      </c>
      <c r="C2138" t="s">
        <v>37</v>
      </c>
      <c r="D2138" t="s">
        <v>52</v>
      </c>
      <c r="E2138">
        <v>2022</v>
      </c>
      <c r="F2138" t="s">
        <v>31</v>
      </c>
      <c r="G2138" t="s">
        <v>31</v>
      </c>
      <c r="H2138" t="s">
        <v>2666</v>
      </c>
      <c r="I2138" t="s">
        <v>109</v>
      </c>
      <c r="J2138" t="s">
        <v>5587</v>
      </c>
      <c r="K2138" t="s">
        <v>2649</v>
      </c>
      <c r="L2138" t="s">
        <v>54</v>
      </c>
      <c r="M2138" t="s">
        <v>27</v>
      </c>
      <c r="N2138" t="s">
        <v>27</v>
      </c>
      <c r="O2138" t="s">
        <v>27</v>
      </c>
      <c r="P2138" t="s">
        <v>31</v>
      </c>
      <c r="Q2138" t="s">
        <v>31</v>
      </c>
      <c r="R2138" t="s">
        <v>31</v>
      </c>
      <c r="S2138" t="s">
        <v>31</v>
      </c>
      <c r="T2138" t="s">
        <v>31</v>
      </c>
    </row>
    <row r="2139" spans="1:20" hidden="1" x14ac:dyDescent="0.3">
      <c r="A2139" t="s">
        <v>2036</v>
      </c>
      <c r="B2139" t="s">
        <v>51</v>
      </c>
      <c r="C2139" t="s">
        <v>37</v>
      </c>
      <c r="D2139" t="s">
        <v>52</v>
      </c>
      <c r="E2139">
        <v>2022</v>
      </c>
      <c r="F2139" t="s">
        <v>31</v>
      </c>
      <c r="G2139" t="s">
        <v>31</v>
      </c>
      <c r="H2139" t="s">
        <v>2647</v>
      </c>
      <c r="I2139" t="s">
        <v>47</v>
      </c>
      <c r="J2139" t="s">
        <v>5588</v>
      </c>
      <c r="K2139" t="s">
        <v>3054</v>
      </c>
      <c r="L2139" t="s">
        <v>54</v>
      </c>
      <c r="M2139" t="s">
        <v>27</v>
      </c>
      <c r="N2139" t="s">
        <v>27</v>
      </c>
      <c r="O2139" t="s">
        <v>27</v>
      </c>
      <c r="P2139" t="s">
        <v>31</v>
      </c>
      <c r="Q2139" t="s">
        <v>31</v>
      </c>
      <c r="R2139" t="s">
        <v>31</v>
      </c>
      <c r="S2139" t="s">
        <v>31</v>
      </c>
      <c r="T2139" t="s">
        <v>31</v>
      </c>
    </row>
    <row r="2140" spans="1:20" hidden="1" x14ac:dyDescent="0.3">
      <c r="A2140" t="s">
        <v>2037</v>
      </c>
      <c r="B2140" t="s">
        <v>51</v>
      </c>
      <c r="C2140" t="s">
        <v>37</v>
      </c>
      <c r="D2140" t="s">
        <v>52</v>
      </c>
      <c r="E2140">
        <v>2022</v>
      </c>
      <c r="F2140" t="s">
        <v>31</v>
      </c>
      <c r="G2140" t="s">
        <v>31</v>
      </c>
      <c r="H2140" t="s">
        <v>2647</v>
      </c>
      <c r="I2140" t="s">
        <v>47</v>
      </c>
      <c r="J2140" t="s">
        <v>5589</v>
      </c>
      <c r="K2140" t="s">
        <v>2649</v>
      </c>
      <c r="L2140" t="s">
        <v>54</v>
      </c>
      <c r="M2140" t="s">
        <v>27</v>
      </c>
      <c r="N2140" t="s">
        <v>27</v>
      </c>
      <c r="O2140" t="s">
        <v>27</v>
      </c>
      <c r="P2140" t="s">
        <v>31</v>
      </c>
      <c r="Q2140" t="s">
        <v>31</v>
      </c>
      <c r="R2140" t="s">
        <v>31</v>
      </c>
      <c r="S2140" t="s">
        <v>31</v>
      </c>
      <c r="T2140" t="s">
        <v>31</v>
      </c>
    </row>
    <row r="2141" spans="1:20" hidden="1" x14ac:dyDescent="0.3">
      <c r="A2141" t="s">
        <v>2038</v>
      </c>
      <c r="B2141" t="s">
        <v>51</v>
      </c>
      <c r="C2141" t="s">
        <v>37</v>
      </c>
      <c r="D2141" t="s">
        <v>52</v>
      </c>
      <c r="E2141">
        <v>2022</v>
      </c>
      <c r="F2141" t="s">
        <v>31</v>
      </c>
      <c r="G2141" t="s">
        <v>5546</v>
      </c>
      <c r="H2141" t="s">
        <v>2666</v>
      </c>
      <c r="I2141" t="s">
        <v>109</v>
      </c>
      <c r="J2141" t="s">
        <v>5590</v>
      </c>
      <c r="K2141" t="s">
        <v>31</v>
      </c>
      <c r="L2141" t="s">
        <v>31</v>
      </c>
      <c r="M2141" t="s">
        <v>27</v>
      </c>
      <c r="N2141" t="s">
        <v>27</v>
      </c>
      <c r="O2141" t="s">
        <v>33</v>
      </c>
      <c r="P2141" t="s">
        <v>31</v>
      </c>
      <c r="Q2141" t="s">
        <v>31</v>
      </c>
      <c r="R2141" t="s">
        <v>31</v>
      </c>
      <c r="S2141" t="s">
        <v>31</v>
      </c>
      <c r="T2141" t="s">
        <v>31</v>
      </c>
    </row>
    <row r="2142" spans="1:20" hidden="1" x14ac:dyDescent="0.3">
      <c r="A2142" t="s">
        <v>2039</v>
      </c>
      <c r="B2142" t="s">
        <v>28</v>
      </c>
      <c r="C2142" t="s">
        <v>29</v>
      </c>
      <c r="D2142" t="s">
        <v>189</v>
      </c>
      <c r="E2142">
        <v>2022</v>
      </c>
      <c r="F2142">
        <v>1200000</v>
      </c>
      <c r="G2142" t="s">
        <v>31</v>
      </c>
      <c r="H2142" t="s">
        <v>2645</v>
      </c>
      <c r="I2142" t="s">
        <v>34</v>
      </c>
      <c r="J2142" t="s">
        <v>5591</v>
      </c>
      <c r="K2142" t="s">
        <v>31</v>
      </c>
      <c r="L2142" t="s">
        <v>100</v>
      </c>
      <c r="M2142" t="s">
        <v>27</v>
      </c>
      <c r="N2142" t="s">
        <v>27</v>
      </c>
      <c r="O2142" t="s">
        <v>33</v>
      </c>
      <c r="P2142" t="s">
        <v>31</v>
      </c>
      <c r="Q2142" t="s">
        <v>31</v>
      </c>
      <c r="R2142" t="s">
        <v>31</v>
      </c>
      <c r="S2142" t="s">
        <v>31</v>
      </c>
      <c r="T2142" t="s">
        <v>31</v>
      </c>
    </row>
    <row r="2143" spans="1:20" hidden="1" x14ac:dyDescent="0.3">
      <c r="A2143" t="s">
        <v>2040</v>
      </c>
      <c r="B2143" t="s">
        <v>51</v>
      </c>
      <c r="C2143" t="s">
        <v>37</v>
      </c>
      <c r="D2143" t="s">
        <v>52</v>
      </c>
      <c r="E2143">
        <v>2022</v>
      </c>
      <c r="F2143">
        <v>36000</v>
      </c>
      <c r="G2143" t="s">
        <v>31</v>
      </c>
      <c r="H2143" t="s">
        <v>2739</v>
      </c>
      <c r="I2143" t="s">
        <v>77</v>
      </c>
      <c r="J2143" t="s">
        <v>5592</v>
      </c>
      <c r="K2143" t="s">
        <v>5593</v>
      </c>
      <c r="L2143" t="s">
        <v>31</v>
      </c>
      <c r="M2143" t="s">
        <v>27</v>
      </c>
      <c r="N2143" t="s">
        <v>27</v>
      </c>
      <c r="O2143" t="s">
        <v>33</v>
      </c>
      <c r="P2143" t="s">
        <v>31</v>
      </c>
      <c r="Q2143" t="s">
        <v>31</v>
      </c>
      <c r="R2143" t="s">
        <v>31</v>
      </c>
      <c r="S2143" t="s">
        <v>31</v>
      </c>
      <c r="T2143" t="s">
        <v>31</v>
      </c>
    </row>
    <row r="2144" spans="1:20" hidden="1" x14ac:dyDescent="0.3">
      <c r="A2144" t="s">
        <v>2041</v>
      </c>
      <c r="B2144" t="s">
        <v>51</v>
      </c>
      <c r="C2144" t="s">
        <v>37</v>
      </c>
      <c r="D2144" t="s">
        <v>52</v>
      </c>
      <c r="E2144">
        <v>2022</v>
      </c>
      <c r="F2144" t="s">
        <v>31</v>
      </c>
      <c r="G2144" t="s">
        <v>31</v>
      </c>
      <c r="H2144" t="s">
        <v>3306</v>
      </c>
      <c r="I2144" t="s">
        <v>604</v>
      </c>
      <c r="J2144" t="s">
        <v>5594</v>
      </c>
      <c r="K2144" t="s">
        <v>2649</v>
      </c>
      <c r="L2144" t="s">
        <v>31</v>
      </c>
      <c r="M2144" t="s">
        <v>27</v>
      </c>
      <c r="N2144" t="s">
        <v>27</v>
      </c>
      <c r="O2144" t="s">
        <v>27</v>
      </c>
      <c r="P2144" t="s">
        <v>31</v>
      </c>
      <c r="Q2144" t="s">
        <v>31</v>
      </c>
      <c r="R2144" t="s">
        <v>31</v>
      </c>
      <c r="S2144" t="s">
        <v>31</v>
      </c>
      <c r="T2144" t="s">
        <v>5595</v>
      </c>
    </row>
    <row r="2145" spans="1:20" x14ac:dyDescent="0.3">
      <c r="A2145" t="s">
        <v>2042</v>
      </c>
      <c r="B2145" t="s">
        <v>51</v>
      </c>
      <c r="C2145" t="s">
        <v>37</v>
      </c>
      <c r="D2145" t="s">
        <v>52</v>
      </c>
      <c r="E2145">
        <v>2022</v>
      </c>
      <c r="F2145">
        <v>459000</v>
      </c>
      <c r="G2145" t="s">
        <v>31</v>
      </c>
      <c r="H2145" t="s">
        <v>2656</v>
      </c>
      <c r="I2145" t="s">
        <v>119</v>
      </c>
      <c r="J2145" t="s">
        <v>2631</v>
      </c>
      <c r="K2145" t="s">
        <v>2649</v>
      </c>
      <c r="L2145" t="s">
        <v>54</v>
      </c>
      <c r="M2145" t="s">
        <v>27</v>
      </c>
      <c r="N2145" t="s">
        <v>27</v>
      </c>
      <c r="O2145" t="s">
        <v>33</v>
      </c>
      <c r="P2145" t="s">
        <v>31</v>
      </c>
      <c r="Q2145" t="s">
        <v>31</v>
      </c>
      <c r="R2145" t="s">
        <v>31</v>
      </c>
      <c r="S2145" t="s">
        <v>31</v>
      </c>
      <c r="T2145" t="s">
        <v>5596</v>
      </c>
    </row>
    <row r="2146" spans="1:20" hidden="1" x14ac:dyDescent="0.3">
      <c r="A2146" t="s">
        <v>2043</v>
      </c>
      <c r="B2146" t="s">
        <v>28</v>
      </c>
      <c r="C2146" t="s">
        <v>29</v>
      </c>
      <c r="D2146" t="s">
        <v>222</v>
      </c>
      <c r="E2146">
        <v>2022</v>
      </c>
      <c r="F2146" t="s">
        <v>31</v>
      </c>
      <c r="G2146" t="s">
        <v>5492</v>
      </c>
      <c r="H2146" t="s">
        <v>2739</v>
      </c>
      <c r="I2146" t="s">
        <v>77</v>
      </c>
      <c r="J2146" t="s">
        <v>5597</v>
      </c>
      <c r="K2146" t="s">
        <v>31</v>
      </c>
      <c r="L2146" t="s">
        <v>31</v>
      </c>
      <c r="M2146" t="s">
        <v>27</v>
      </c>
      <c r="N2146" t="s">
        <v>27</v>
      </c>
      <c r="O2146" t="s">
        <v>27</v>
      </c>
      <c r="P2146" t="s">
        <v>31</v>
      </c>
      <c r="Q2146" t="s">
        <v>31</v>
      </c>
      <c r="R2146" t="s">
        <v>31</v>
      </c>
      <c r="S2146" t="s">
        <v>31</v>
      </c>
      <c r="T2146" t="s">
        <v>31</v>
      </c>
    </row>
    <row r="2147" spans="1:20" hidden="1" x14ac:dyDescent="0.3">
      <c r="A2147" t="s">
        <v>2044</v>
      </c>
      <c r="B2147" t="s">
        <v>51</v>
      </c>
      <c r="C2147" t="s">
        <v>37</v>
      </c>
      <c r="D2147" t="s">
        <v>52</v>
      </c>
      <c r="E2147">
        <v>2022</v>
      </c>
      <c r="F2147" t="s">
        <v>31</v>
      </c>
      <c r="G2147" t="s">
        <v>31</v>
      </c>
      <c r="H2147" t="s">
        <v>2645</v>
      </c>
      <c r="I2147" t="s">
        <v>34</v>
      </c>
      <c r="J2147" t="s">
        <v>5598</v>
      </c>
      <c r="K2147" t="s">
        <v>5599</v>
      </c>
      <c r="L2147" t="s">
        <v>54</v>
      </c>
      <c r="M2147" t="s">
        <v>27</v>
      </c>
      <c r="N2147" t="s">
        <v>27</v>
      </c>
      <c r="O2147" t="s">
        <v>27</v>
      </c>
      <c r="P2147" t="s">
        <v>31</v>
      </c>
      <c r="Q2147" t="s">
        <v>31</v>
      </c>
      <c r="R2147" t="s">
        <v>31</v>
      </c>
      <c r="S2147" t="s">
        <v>31</v>
      </c>
      <c r="T2147" t="s">
        <v>31</v>
      </c>
    </row>
    <row r="2148" spans="1:20" hidden="1" x14ac:dyDescent="0.3">
      <c r="A2148" t="s">
        <v>2045</v>
      </c>
      <c r="B2148" t="s">
        <v>28</v>
      </c>
      <c r="C2148" t="s">
        <v>29</v>
      </c>
      <c r="D2148" t="s">
        <v>30</v>
      </c>
      <c r="E2148">
        <v>2022</v>
      </c>
      <c r="F2148" t="s">
        <v>31</v>
      </c>
      <c r="G2148" t="s">
        <v>31</v>
      </c>
      <c r="H2148" t="s">
        <v>2716</v>
      </c>
      <c r="I2148" t="s">
        <v>242</v>
      </c>
      <c r="J2148" t="s">
        <v>5600</v>
      </c>
      <c r="K2148" t="s">
        <v>31</v>
      </c>
      <c r="L2148" t="s">
        <v>31</v>
      </c>
      <c r="M2148" t="s">
        <v>27</v>
      </c>
      <c r="N2148" t="s">
        <v>27</v>
      </c>
      <c r="O2148" t="s">
        <v>27</v>
      </c>
      <c r="P2148" t="s">
        <v>31</v>
      </c>
      <c r="Q2148" t="s">
        <v>31</v>
      </c>
      <c r="R2148" t="s">
        <v>31</v>
      </c>
      <c r="S2148" t="s">
        <v>31</v>
      </c>
      <c r="T2148" t="s">
        <v>31</v>
      </c>
    </row>
    <row r="2149" spans="1:20" x14ac:dyDescent="0.3">
      <c r="A2149" t="s">
        <v>2046</v>
      </c>
      <c r="B2149" t="s">
        <v>51</v>
      </c>
      <c r="C2149" t="s">
        <v>37</v>
      </c>
      <c r="D2149" t="s">
        <v>52</v>
      </c>
      <c r="E2149">
        <v>2022</v>
      </c>
      <c r="F2149">
        <v>264000</v>
      </c>
      <c r="G2149" t="s">
        <v>31</v>
      </c>
      <c r="H2149" t="s">
        <v>2656</v>
      </c>
      <c r="I2149" t="s">
        <v>119</v>
      </c>
      <c r="J2149" t="s">
        <v>2632</v>
      </c>
      <c r="K2149" t="s">
        <v>2649</v>
      </c>
      <c r="L2149" t="s">
        <v>31</v>
      </c>
      <c r="M2149" t="s">
        <v>27</v>
      </c>
      <c r="N2149" t="s">
        <v>27</v>
      </c>
      <c r="O2149" t="s">
        <v>33</v>
      </c>
      <c r="P2149" t="s">
        <v>31</v>
      </c>
      <c r="Q2149" t="s">
        <v>31</v>
      </c>
      <c r="R2149" t="s">
        <v>31</v>
      </c>
      <c r="S2149" t="s">
        <v>31</v>
      </c>
      <c r="T2149" t="s">
        <v>31</v>
      </c>
    </row>
    <row r="2150" spans="1:20" hidden="1" x14ac:dyDescent="0.3">
      <c r="A2150" t="s">
        <v>2047</v>
      </c>
      <c r="B2150" t="s">
        <v>91</v>
      </c>
      <c r="C2150" t="s">
        <v>92</v>
      </c>
      <c r="D2150" t="s">
        <v>93</v>
      </c>
      <c r="E2150">
        <v>2022</v>
      </c>
      <c r="F2150" t="s">
        <v>31</v>
      </c>
      <c r="G2150" t="s">
        <v>31</v>
      </c>
      <c r="H2150" t="s">
        <v>2678</v>
      </c>
      <c r="I2150" t="s">
        <v>53</v>
      </c>
      <c r="J2150" t="s">
        <v>5601</v>
      </c>
      <c r="K2150" t="s">
        <v>31</v>
      </c>
      <c r="L2150" t="s">
        <v>31</v>
      </c>
      <c r="M2150" t="s">
        <v>27</v>
      </c>
      <c r="N2150" t="s">
        <v>27</v>
      </c>
      <c r="O2150" t="s">
        <v>27</v>
      </c>
      <c r="P2150" t="s">
        <v>31</v>
      </c>
      <c r="Q2150">
        <v>5.5</v>
      </c>
      <c r="R2150">
        <v>-16.783000000000001</v>
      </c>
      <c r="S2150">
        <v>-71.31</v>
      </c>
      <c r="T2150" t="s">
        <v>31</v>
      </c>
    </row>
    <row r="2151" spans="1:20" hidden="1" x14ac:dyDescent="0.3">
      <c r="A2151" t="s">
        <v>2048</v>
      </c>
      <c r="B2151" t="s">
        <v>39</v>
      </c>
      <c r="C2151" t="s">
        <v>40</v>
      </c>
      <c r="D2151" t="s">
        <v>142</v>
      </c>
      <c r="E2151">
        <v>2022</v>
      </c>
      <c r="F2151">
        <v>151000</v>
      </c>
      <c r="G2151" t="s">
        <v>31</v>
      </c>
      <c r="H2151" t="s">
        <v>2645</v>
      </c>
      <c r="I2151" t="s">
        <v>34</v>
      </c>
      <c r="J2151" t="s">
        <v>5602</v>
      </c>
      <c r="K2151" t="s">
        <v>5603</v>
      </c>
      <c r="L2151" t="s">
        <v>95</v>
      </c>
      <c r="M2151" t="s">
        <v>27</v>
      </c>
      <c r="N2151" t="s">
        <v>27</v>
      </c>
      <c r="O2151" t="s">
        <v>27</v>
      </c>
      <c r="P2151" t="s">
        <v>31</v>
      </c>
      <c r="Q2151" t="s">
        <v>31</v>
      </c>
      <c r="R2151" t="s">
        <v>31</v>
      </c>
      <c r="S2151" t="s">
        <v>31</v>
      </c>
      <c r="T2151" t="s">
        <v>31</v>
      </c>
    </row>
    <row r="2152" spans="1:20" hidden="1" x14ac:dyDescent="0.3">
      <c r="A2152" t="s">
        <v>2049</v>
      </c>
      <c r="B2152" t="s">
        <v>28</v>
      </c>
      <c r="C2152" t="s">
        <v>29</v>
      </c>
      <c r="D2152" t="s">
        <v>30</v>
      </c>
      <c r="E2152">
        <v>2022</v>
      </c>
      <c r="F2152" t="s">
        <v>31</v>
      </c>
      <c r="G2152" t="s">
        <v>5495</v>
      </c>
      <c r="H2152" t="s">
        <v>2739</v>
      </c>
      <c r="I2152" t="s">
        <v>77</v>
      </c>
      <c r="J2152" t="s">
        <v>5604</v>
      </c>
      <c r="K2152" t="s">
        <v>31</v>
      </c>
      <c r="L2152" t="s">
        <v>31</v>
      </c>
      <c r="M2152" t="s">
        <v>27</v>
      </c>
      <c r="N2152" t="s">
        <v>27</v>
      </c>
      <c r="O2152" t="s">
        <v>27</v>
      </c>
      <c r="P2152" t="s">
        <v>31</v>
      </c>
      <c r="Q2152" t="s">
        <v>31</v>
      </c>
      <c r="R2152" t="s">
        <v>31</v>
      </c>
      <c r="S2152" t="s">
        <v>31</v>
      </c>
      <c r="T2152" t="s">
        <v>31</v>
      </c>
    </row>
    <row r="2153" spans="1:20" hidden="1" x14ac:dyDescent="0.3">
      <c r="A2153" t="s">
        <v>2050</v>
      </c>
      <c r="B2153" t="s">
        <v>28</v>
      </c>
      <c r="C2153" t="s">
        <v>29</v>
      </c>
      <c r="D2153" t="s">
        <v>30</v>
      </c>
      <c r="E2153">
        <v>2022</v>
      </c>
      <c r="F2153" t="s">
        <v>31</v>
      </c>
      <c r="G2153" t="s">
        <v>5495</v>
      </c>
      <c r="H2153" t="s">
        <v>2888</v>
      </c>
      <c r="I2153" t="s">
        <v>75</v>
      </c>
      <c r="J2153" t="s">
        <v>5605</v>
      </c>
      <c r="K2153" t="s">
        <v>31</v>
      </c>
      <c r="L2153" t="s">
        <v>54</v>
      </c>
      <c r="M2153" t="s">
        <v>27</v>
      </c>
      <c r="N2153" t="s">
        <v>27</v>
      </c>
      <c r="O2153" t="s">
        <v>33</v>
      </c>
      <c r="P2153" t="s">
        <v>31</v>
      </c>
      <c r="Q2153">
        <v>150</v>
      </c>
      <c r="R2153" t="s">
        <v>31</v>
      </c>
      <c r="S2153" t="s">
        <v>31</v>
      </c>
      <c r="T2153" t="s">
        <v>31</v>
      </c>
    </row>
    <row r="2154" spans="1:20" hidden="1" x14ac:dyDescent="0.3">
      <c r="A2154" t="s">
        <v>2051</v>
      </c>
      <c r="B2154" t="s">
        <v>28</v>
      </c>
      <c r="C2154" t="s">
        <v>29</v>
      </c>
      <c r="D2154" t="s">
        <v>30</v>
      </c>
      <c r="E2154">
        <v>2022</v>
      </c>
      <c r="F2154" t="s">
        <v>31</v>
      </c>
      <c r="G2154" t="s">
        <v>5495</v>
      </c>
      <c r="H2154" t="s">
        <v>3198</v>
      </c>
      <c r="I2154" t="s">
        <v>211</v>
      </c>
      <c r="J2154" t="s">
        <v>31</v>
      </c>
      <c r="K2154" t="s">
        <v>31</v>
      </c>
      <c r="L2154" t="s">
        <v>37</v>
      </c>
      <c r="M2154" t="s">
        <v>27</v>
      </c>
      <c r="N2154" t="s">
        <v>27</v>
      </c>
      <c r="O2154" t="s">
        <v>27</v>
      </c>
      <c r="P2154" t="s">
        <v>31</v>
      </c>
      <c r="Q2154" t="s">
        <v>31</v>
      </c>
      <c r="R2154" t="s">
        <v>31</v>
      </c>
      <c r="S2154" t="s">
        <v>31</v>
      </c>
      <c r="T2154" t="s">
        <v>31</v>
      </c>
    </row>
    <row r="2155" spans="1:20" hidden="1" x14ac:dyDescent="0.3">
      <c r="A2155" t="s">
        <v>2052</v>
      </c>
      <c r="B2155" t="s">
        <v>28</v>
      </c>
      <c r="C2155" t="s">
        <v>29</v>
      </c>
      <c r="D2155" t="s">
        <v>30</v>
      </c>
      <c r="E2155">
        <v>2022</v>
      </c>
      <c r="F2155">
        <v>100000000</v>
      </c>
      <c r="G2155" t="s">
        <v>5496</v>
      </c>
      <c r="H2155" t="s">
        <v>2645</v>
      </c>
      <c r="I2155" t="s">
        <v>34</v>
      </c>
      <c r="J2155" t="s">
        <v>5606</v>
      </c>
      <c r="K2155" t="s">
        <v>31</v>
      </c>
      <c r="L2155" t="s">
        <v>37</v>
      </c>
      <c r="M2155" t="s">
        <v>27</v>
      </c>
      <c r="N2155" t="s">
        <v>27</v>
      </c>
      <c r="O2155" t="s">
        <v>33</v>
      </c>
      <c r="P2155" t="s">
        <v>31</v>
      </c>
      <c r="Q2155">
        <v>240</v>
      </c>
      <c r="R2155" t="s">
        <v>31</v>
      </c>
      <c r="S2155" t="s">
        <v>31</v>
      </c>
      <c r="T2155" t="s">
        <v>31</v>
      </c>
    </row>
    <row r="2156" spans="1:20" hidden="1" x14ac:dyDescent="0.3">
      <c r="A2156" t="s">
        <v>2053</v>
      </c>
      <c r="B2156" t="s">
        <v>51</v>
      </c>
      <c r="C2156" t="s">
        <v>37</v>
      </c>
      <c r="D2156" t="s">
        <v>52</v>
      </c>
      <c r="E2156">
        <v>2022</v>
      </c>
      <c r="F2156" t="s">
        <v>31</v>
      </c>
      <c r="G2156" t="s">
        <v>31</v>
      </c>
      <c r="H2156" t="s">
        <v>2709</v>
      </c>
      <c r="I2156" t="s">
        <v>70</v>
      </c>
      <c r="J2156" t="s">
        <v>5607</v>
      </c>
      <c r="K2156" t="s">
        <v>2649</v>
      </c>
      <c r="L2156" t="s">
        <v>31</v>
      </c>
      <c r="M2156" t="s">
        <v>27</v>
      </c>
      <c r="N2156" t="s">
        <v>27</v>
      </c>
      <c r="O2156" t="s">
        <v>27</v>
      </c>
      <c r="P2156" t="s">
        <v>31</v>
      </c>
      <c r="Q2156" t="s">
        <v>31</v>
      </c>
      <c r="R2156" t="s">
        <v>31</v>
      </c>
      <c r="S2156" t="s">
        <v>31</v>
      </c>
      <c r="T2156" t="s">
        <v>31</v>
      </c>
    </row>
    <row r="2157" spans="1:20" hidden="1" x14ac:dyDescent="0.3">
      <c r="A2157" t="s">
        <v>2054</v>
      </c>
      <c r="B2157" t="s">
        <v>28</v>
      </c>
      <c r="C2157" t="s">
        <v>29</v>
      </c>
      <c r="D2157" t="s">
        <v>30</v>
      </c>
      <c r="E2157">
        <v>2022</v>
      </c>
      <c r="F2157" t="s">
        <v>31</v>
      </c>
      <c r="G2157" t="s">
        <v>5480</v>
      </c>
      <c r="H2157" t="s">
        <v>2719</v>
      </c>
      <c r="I2157" t="s">
        <v>90</v>
      </c>
      <c r="J2157" t="s">
        <v>5608</v>
      </c>
      <c r="K2157" t="s">
        <v>31</v>
      </c>
      <c r="L2157" t="s">
        <v>82</v>
      </c>
      <c r="M2157" t="s">
        <v>27</v>
      </c>
      <c r="N2157" t="s">
        <v>27</v>
      </c>
      <c r="O2157" t="s">
        <v>33</v>
      </c>
      <c r="P2157" t="s">
        <v>31</v>
      </c>
      <c r="Q2157" t="s">
        <v>31</v>
      </c>
      <c r="R2157" t="s">
        <v>31</v>
      </c>
      <c r="S2157" t="s">
        <v>31</v>
      </c>
      <c r="T2157" t="s">
        <v>31</v>
      </c>
    </row>
    <row r="2158" spans="1:20" hidden="1" x14ac:dyDescent="0.3">
      <c r="A2158" t="s">
        <v>2055</v>
      </c>
      <c r="B2158" t="s">
        <v>51</v>
      </c>
      <c r="C2158" t="s">
        <v>37</v>
      </c>
      <c r="D2158" t="s">
        <v>52</v>
      </c>
      <c r="E2158">
        <v>2022</v>
      </c>
      <c r="F2158" t="s">
        <v>31</v>
      </c>
      <c r="G2158" t="s">
        <v>5609</v>
      </c>
      <c r="H2158" t="s">
        <v>2753</v>
      </c>
      <c r="I2158" t="s">
        <v>49</v>
      </c>
      <c r="J2158" t="s">
        <v>5610</v>
      </c>
      <c r="K2158" t="s">
        <v>31</v>
      </c>
      <c r="L2158" t="s">
        <v>31</v>
      </c>
      <c r="M2158" t="s">
        <v>27</v>
      </c>
      <c r="N2158" t="s">
        <v>27</v>
      </c>
      <c r="O2158" t="s">
        <v>27</v>
      </c>
      <c r="P2158" t="s">
        <v>31</v>
      </c>
      <c r="Q2158" t="s">
        <v>31</v>
      </c>
      <c r="R2158" t="s">
        <v>31</v>
      </c>
      <c r="S2158" t="s">
        <v>31</v>
      </c>
      <c r="T2158" t="s">
        <v>5611</v>
      </c>
    </row>
    <row r="2159" spans="1:20" hidden="1" x14ac:dyDescent="0.3">
      <c r="A2159" t="s">
        <v>2056</v>
      </c>
      <c r="B2159" t="s">
        <v>51</v>
      </c>
      <c r="C2159" t="s">
        <v>37</v>
      </c>
      <c r="D2159" t="s">
        <v>52</v>
      </c>
      <c r="E2159">
        <v>2022</v>
      </c>
      <c r="F2159" t="s">
        <v>31</v>
      </c>
      <c r="G2159" t="s">
        <v>31</v>
      </c>
      <c r="H2159" t="s">
        <v>2647</v>
      </c>
      <c r="I2159" t="s">
        <v>47</v>
      </c>
      <c r="J2159" t="s">
        <v>5612</v>
      </c>
      <c r="K2159" t="s">
        <v>2649</v>
      </c>
      <c r="L2159" t="s">
        <v>54</v>
      </c>
      <c r="M2159" t="s">
        <v>27</v>
      </c>
      <c r="N2159" t="s">
        <v>27</v>
      </c>
      <c r="O2159" t="s">
        <v>27</v>
      </c>
      <c r="P2159" t="s">
        <v>31</v>
      </c>
      <c r="Q2159" t="s">
        <v>31</v>
      </c>
      <c r="R2159" t="s">
        <v>31</v>
      </c>
      <c r="S2159" t="s">
        <v>31</v>
      </c>
      <c r="T2159" t="s">
        <v>31</v>
      </c>
    </row>
    <row r="2160" spans="1:20" hidden="1" x14ac:dyDescent="0.3">
      <c r="A2160" t="s">
        <v>2057</v>
      </c>
      <c r="B2160" t="s">
        <v>28</v>
      </c>
      <c r="C2160" t="s">
        <v>29</v>
      </c>
      <c r="D2160" t="s">
        <v>30</v>
      </c>
      <c r="E2160">
        <v>2022</v>
      </c>
      <c r="F2160">
        <v>100000</v>
      </c>
      <c r="G2160" t="s">
        <v>31</v>
      </c>
      <c r="H2160" t="s">
        <v>2706</v>
      </c>
      <c r="I2160" t="s">
        <v>32</v>
      </c>
      <c r="J2160" t="s">
        <v>5613</v>
      </c>
      <c r="K2160" t="s">
        <v>31</v>
      </c>
      <c r="L2160" t="s">
        <v>31</v>
      </c>
      <c r="M2160" t="s">
        <v>27</v>
      </c>
      <c r="N2160" t="s">
        <v>33</v>
      </c>
      <c r="O2160" t="s">
        <v>27</v>
      </c>
      <c r="P2160" t="s">
        <v>31</v>
      </c>
      <c r="Q2160">
        <v>120</v>
      </c>
      <c r="R2160" t="s">
        <v>31</v>
      </c>
      <c r="S2160" t="s">
        <v>31</v>
      </c>
      <c r="T2160" t="s">
        <v>31</v>
      </c>
    </row>
    <row r="2161" spans="1:20" hidden="1" x14ac:dyDescent="0.3">
      <c r="A2161" t="s">
        <v>2058</v>
      </c>
      <c r="B2161" t="s">
        <v>51</v>
      </c>
      <c r="C2161" t="s">
        <v>37</v>
      </c>
      <c r="D2161" t="s">
        <v>52</v>
      </c>
      <c r="E2161">
        <v>2022</v>
      </c>
      <c r="F2161" t="s">
        <v>31</v>
      </c>
      <c r="G2161" t="s">
        <v>31</v>
      </c>
      <c r="H2161" t="s">
        <v>2656</v>
      </c>
      <c r="I2161" t="s">
        <v>119</v>
      </c>
      <c r="J2161" t="s">
        <v>5614</v>
      </c>
      <c r="K2161" t="s">
        <v>2649</v>
      </c>
      <c r="L2161" t="s">
        <v>31</v>
      </c>
      <c r="M2161" t="s">
        <v>27</v>
      </c>
      <c r="N2161" t="s">
        <v>27</v>
      </c>
      <c r="O2161" t="s">
        <v>27</v>
      </c>
      <c r="P2161" t="s">
        <v>31</v>
      </c>
      <c r="Q2161" t="s">
        <v>31</v>
      </c>
      <c r="R2161" t="s">
        <v>31</v>
      </c>
      <c r="S2161" t="s">
        <v>31</v>
      </c>
      <c r="T2161" t="s">
        <v>31</v>
      </c>
    </row>
    <row r="2162" spans="1:20" hidden="1" x14ac:dyDescent="0.3">
      <c r="A2162" t="s">
        <v>2059</v>
      </c>
      <c r="B2162" t="s">
        <v>51</v>
      </c>
      <c r="C2162" t="s">
        <v>37</v>
      </c>
      <c r="D2162" t="s">
        <v>121</v>
      </c>
      <c r="E2162">
        <v>2022</v>
      </c>
      <c r="F2162" t="s">
        <v>31</v>
      </c>
      <c r="G2162" t="s">
        <v>5615</v>
      </c>
      <c r="H2162" t="s">
        <v>3186</v>
      </c>
      <c r="I2162" t="s">
        <v>561</v>
      </c>
      <c r="J2162" t="s">
        <v>5616</v>
      </c>
      <c r="K2162" t="s">
        <v>2649</v>
      </c>
      <c r="L2162" t="s">
        <v>54</v>
      </c>
      <c r="M2162" t="s">
        <v>27</v>
      </c>
      <c r="N2162" t="s">
        <v>27</v>
      </c>
      <c r="O2162" t="s">
        <v>27</v>
      </c>
      <c r="P2162" t="s">
        <v>31</v>
      </c>
      <c r="Q2162" t="s">
        <v>31</v>
      </c>
      <c r="R2162" t="s">
        <v>31</v>
      </c>
      <c r="S2162" t="s">
        <v>31</v>
      </c>
      <c r="T2162" t="s">
        <v>5617</v>
      </c>
    </row>
    <row r="2163" spans="1:20" hidden="1" x14ac:dyDescent="0.3">
      <c r="A2163" t="s">
        <v>2060</v>
      </c>
      <c r="B2163" t="s">
        <v>51</v>
      </c>
      <c r="C2163" t="s">
        <v>37</v>
      </c>
      <c r="D2163" t="s">
        <v>52</v>
      </c>
      <c r="E2163">
        <v>2022</v>
      </c>
      <c r="F2163" t="s">
        <v>31</v>
      </c>
      <c r="G2163" t="s">
        <v>31</v>
      </c>
      <c r="H2163" t="s">
        <v>2656</v>
      </c>
      <c r="I2163" t="s">
        <v>119</v>
      </c>
      <c r="J2163" t="s">
        <v>5618</v>
      </c>
      <c r="K2163" t="s">
        <v>2649</v>
      </c>
      <c r="L2163" t="s">
        <v>54</v>
      </c>
      <c r="M2163" t="s">
        <v>27</v>
      </c>
      <c r="N2163" t="s">
        <v>27</v>
      </c>
      <c r="O2163" t="s">
        <v>33</v>
      </c>
      <c r="P2163" t="s">
        <v>31</v>
      </c>
      <c r="Q2163" t="s">
        <v>31</v>
      </c>
      <c r="R2163" t="s">
        <v>31</v>
      </c>
      <c r="S2163" t="s">
        <v>31</v>
      </c>
      <c r="T2163" t="s">
        <v>5619</v>
      </c>
    </row>
    <row r="2164" spans="1:20" hidden="1" x14ac:dyDescent="0.3">
      <c r="A2164" t="s">
        <v>2119</v>
      </c>
      <c r="B2164" t="s">
        <v>51</v>
      </c>
      <c r="C2164" t="s">
        <v>37</v>
      </c>
      <c r="D2164" t="s">
        <v>52</v>
      </c>
      <c r="E2164">
        <v>2022</v>
      </c>
      <c r="F2164" t="s">
        <v>31</v>
      </c>
      <c r="G2164" t="s">
        <v>31</v>
      </c>
      <c r="H2164" t="s">
        <v>2774</v>
      </c>
      <c r="I2164" t="s">
        <v>166</v>
      </c>
      <c r="J2164" t="s">
        <v>5620</v>
      </c>
      <c r="K2164" t="s">
        <v>2649</v>
      </c>
      <c r="L2164" t="s">
        <v>31</v>
      </c>
      <c r="M2164" t="s">
        <v>27</v>
      </c>
      <c r="N2164" t="s">
        <v>27</v>
      </c>
      <c r="O2164" t="s">
        <v>27</v>
      </c>
      <c r="P2164" t="s">
        <v>31</v>
      </c>
      <c r="Q2164" t="s">
        <v>31</v>
      </c>
      <c r="R2164" t="s">
        <v>31</v>
      </c>
      <c r="S2164" t="s">
        <v>31</v>
      </c>
      <c r="T2164" t="s">
        <v>5621</v>
      </c>
    </row>
    <row r="2165" spans="1:20" hidden="1" x14ac:dyDescent="0.3">
      <c r="A2165" t="s">
        <v>270</v>
      </c>
      <c r="B2165" t="s">
        <v>28</v>
      </c>
      <c r="C2165" t="s">
        <v>29</v>
      </c>
      <c r="D2165" t="s">
        <v>97</v>
      </c>
      <c r="E2165">
        <v>2023</v>
      </c>
      <c r="F2165">
        <v>770000</v>
      </c>
      <c r="G2165" t="s">
        <v>5622</v>
      </c>
      <c r="H2165" t="s">
        <v>2645</v>
      </c>
      <c r="I2165" t="s">
        <v>34</v>
      </c>
      <c r="J2165" t="s">
        <v>5623</v>
      </c>
      <c r="K2165" t="s">
        <v>31</v>
      </c>
      <c r="L2165" t="s">
        <v>31</v>
      </c>
      <c r="M2165" t="s">
        <v>27</v>
      </c>
      <c r="N2165" t="s">
        <v>27</v>
      </c>
      <c r="O2165" t="s">
        <v>33</v>
      </c>
      <c r="P2165" t="s">
        <v>31</v>
      </c>
      <c r="Q2165">
        <v>145</v>
      </c>
      <c r="R2165" t="s">
        <v>31</v>
      </c>
      <c r="S2165" t="s">
        <v>31</v>
      </c>
      <c r="T2165" t="s">
        <v>31</v>
      </c>
    </row>
    <row r="2166" spans="1:20" hidden="1" x14ac:dyDescent="0.3">
      <c r="A2166" t="s">
        <v>277</v>
      </c>
      <c r="B2166" t="s">
        <v>28</v>
      </c>
      <c r="C2166" t="s">
        <v>2685</v>
      </c>
      <c r="D2166" t="s">
        <v>278</v>
      </c>
      <c r="E2166">
        <v>2023</v>
      </c>
      <c r="F2166">
        <v>385000</v>
      </c>
      <c r="G2166" t="s">
        <v>31</v>
      </c>
      <c r="H2166" t="s">
        <v>2645</v>
      </c>
      <c r="I2166" t="s">
        <v>34</v>
      </c>
      <c r="J2166" t="s">
        <v>5624</v>
      </c>
      <c r="K2166" t="s">
        <v>31</v>
      </c>
      <c r="L2166" t="s">
        <v>279</v>
      </c>
      <c r="M2166" t="s">
        <v>27</v>
      </c>
      <c r="N2166" t="s">
        <v>27</v>
      </c>
      <c r="O2166" t="s">
        <v>27</v>
      </c>
      <c r="P2166" t="s">
        <v>31</v>
      </c>
      <c r="Q2166">
        <v>-50</v>
      </c>
      <c r="R2166" t="s">
        <v>31</v>
      </c>
      <c r="S2166" t="s">
        <v>31</v>
      </c>
      <c r="T2166" t="s">
        <v>31</v>
      </c>
    </row>
    <row r="2167" spans="1:20" hidden="1" x14ac:dyDescent="0.3">
      <c r="A2167" t="s">
        <v>280</v>
      </c>
      <c r="B2167" t="s">
        <v>51</v>
      </c>
      <c r="C2167" t="s">
        <v>37</v>
      </c>
      <c r="D2167" t="s">
        <v>52</v>
      </c>
      <c r="E2167">
        <v>2023</v>
      </c>
      <c r="F2167" t="s">
        <v>31</v>
      </c>
      <c r="G2167" t="s">
        <v>31</v>
      </c>
      <c r="H2167" t="s">
        <v>2669</v>
      </c>
      <c r="I2167" t="s">
        <v>111</v>
      </c>
      <c r="J2167" t="s">
        <v>5625</v>
      </c>
      <c r="K2167" t="s">
        <v>2649</v>
      </c>
      <c r="L2167" t="s">
        <v>31</v>
      </c>
      <c r="M2167" t="s">
        <v>27</v>
      </c>
      <c r="N2167" t="s">
        <v>27</v>
      </c>
      <c r="O2167" t="s">
        <v>27</v>
      </c>
      <c r="P2167" t="s">
        <v>31</v>
      </c>
      <c r="Q2167" t="s">
        <v>31</v>
      </c>
      <c r="R2167" t="s">
        <v>31</v>
      </c>
      <c r="S2167" t="s">
        <v>31</v>
      </c>
      <c r="T2167" t="s">
        <v>5626</v>
      </c>
    </row>
    <row r="2168" spans="1:20" hidden="1" x14ac:dyDescent="0.3">
      <c r="A2168" t="s">
        <v>282</v>
      </c>
      <c r="B2168" t="s">
        <v>51</v>
      </c>
      <c r="C2168" t="s">
        <v>37</v>
      </c>
      <c r="D2168" t="s">
        <v>56</v>
      </c>
      <c r="E2168">
        <v>2023</v>
      </c>
      <c r="F2168" t="s">
        <v>31</v>
      </c>
      <c r="G2168" t="s">
        <v>5627</v>
      </c>
      <c r="H2168" t="s">
        <v>2769</v>
      </c>
      <c r="I2168" t="s">
        <v>117</v>
      </c>
      <c r="J2168" t="s">
        <v>5628</v>
      </c>
      <c r="K2168" t="s">
        <v>2649</v>
      </c>
      <c r="L2168" t="s">
        <v>31</v>
      </c>
      <c r="M2168" t="s">
        <v>27</v>
      </c>
      <c r="N2168" t="s">
        <v>27</v>
      </c>
      <c r="O2168" t="s">
        <v>33</v>
      </c>
      <c r="P2168" t="s">
        <v>31</v>
      </c>
      <c r="Q2168" t="s">
        <v>31</v>
      </c>
      <c r="R2168" t="s">
        <v>31</v>
      </c>
      <c r="S2168" t="s">
        <v>31</v>
      </c>
      <c r="T2168" t="s">
        <v>31</v>
      </c>
    </row>
    <row r="2169" spans="1:20" hidden="1" x14ac:dyDescent="0.3">
      <c r="A2169" t="s">
        <v>283</v>
      </c>
      <c r="B2169" t="s">
        <v>28</v>
      </c>
      <c r="C2169" t="s">
        <v>29</v>
      </c>
      <c r="D2169" t="s">
        <v>189</v>
      </c>
      <c r="E2169">
        <v>2023</v>
      </c>
      <c r="F2169">
        <v>6000000</v>
      </c>
      <c r="G2169" t="s">
        <v>31</v>
      </c>
      <c r="H2169" t="s">
        <v>2645</v>
      </c>
      <c r="I2169" t="s">
        <v>34</v>
      </c>
      <c r="J2169" t="s">
        <v>5629</v>
      </c>
      <c r="K2169" t="s">
        <v>31</v>
      </c>
      <c r="L2169" t="s">
        <v>31</v>
      </c>
      <c r="M2169" t="s">
        <v>27</v>
      </c>
      <c r="N2169" t="s">
        <v>27</v>
      </c>
      <c r="O2169" t="s">
        <v>27</v>
      </c>
      <c r="P2169" t="s">
        <v>31</v>
      </c>
      <c r="Q2169" t="s">
        <v>31</v>
      </c>
      <c r="R2169" t="s">
        <v>31</v>
      </c>
      <c r="S2169" t="s">
        <v>31</v>
      </c>
      <c r="T2169" t="s">
        <v>31</v>
      </c>
    </row>
    <row r="2170" spans="1:20" hidden="1" x14ac:dyDescent="0.3">
      <c r="A2170" t="s">
        <v>286</v>
      </c>
      <c r="B2170" t="s">
        <v>28</v>
      </c>
      <c r="C2170" t="s">
        <v>29</v>
      </c>
      <c r="D2170" t="s">
        <v>64</v>
      </c>
      <c r="E2170">
        <v>2023</v>
      </c>
      <c r="F2170">
        <v>255000</v>
      </c>
      <c r="G2170" t="s">
        <v>31</v>
      </c>
      <c r="H2170" t="s">
        <v>2645</v>
      </c>
      <c r="I2170" t="s">
        <v>34</v>
      </c>
      <c r="J2170" t="s">
        <v>5630</v>
      </c>
      <c r="K2170" t="s">
        <v>31</v>
      </c>
      <c r="L2170" t="s">
        <v>287</v>
      </c>
      <c r="M2170" t="s">
        <v>27</v>
      </c>
      <c r="N2170" t="s">
        <v>27</v>
      </c>
      <c r="O2170" t="s">
        <v>33</v>
      </c>
      <c r="P2170" t="s">
        <v>31</v>
      </c>
      <c r="Q2170" t="s">
        <v>31</v>
      </c>
      <c r="R2170" t="s">
        <v>31</v>
      </c>
      <c r="S2170" t="s">
        <v>31</v>
      </c>
      <c r="T2170" t="s">
        <v>31</v>
      </c>
    </row>
    <row r="2171" spans="1:20" x14ac:dyDescent="0.3">
      <c r="A2171" t="s">
        <v>291</v>
      </c>
      <c r="B2171" t="s">
        <v>51</v>
      </c>
      <c r="C2171" t="s">
        <v>37</v>
      </c>
      <c r="D2171" t="s">
        <v>52</v>
      </c>
      <c r="E2171">
        <v>2023</v>
      </c>
      <c r="F2171">
        <v>20000</v>
      </c>
      <c r="G2171" t="s">
        <v>31</v>
      </c>
      <c r="H2171" t="s">
        <v>2656</v>
      </c>
      <c r="I2171" t="s">
        <v>119</v>
      </c>
      <c r="J2171" t="s">
        <v>2586</v>
      </c>
      <c r="K2171" t="s">
        <v>2649</v>
      </c>
      <c r="L2171" t="s">
        <v>54</v>
      </c>
      <c r="M2171" t="s">
        <v>27</v>
      </c>
      <c r="N2171" t="s">
        <v>27</v>
      </c>
      <c r="O2171" t="s">
        <v>33</v>
      </c>
      <c r="P2171" t="s">
        <v>31</v>
      </c>
      <c r="Q2171" t="s">
        <v>31</v>
      </c>
      <c r="R2171" t="s">
        <v>31</v>
      </c>
      <c r="S2171" t="s">
        <v>31</v>
      </c>
      <c r="T2171" t="s">
        <v>31</v>
      </c>
    </row>
    <row r="2172" spans="1:20" hidden="1" x14ac:dyDescent="0.3">
      <c r="A2172" t="s">
        <v>294</v>
      </c>
      <c r="B2172" t="s">
        <v>51</v>
      </c>
      <c r="C2172" t="s">
        <v>37</v>
      </c>
      <c r="D2172" t="s">
        <v>52</v>
      </c>
      <c r="E2172">
        <v>2023</v>
      </c>
      <c r="F2172" t="s">
        <v>31</v>
      </c>
      <c r="G2172" t="s">
        <v>31</v>
      </c>
      <c r="H2172" t="s">
        <v>2647</v>
      </c>
      <c r="I2172" t="s">
        <v>47</v>
      </c>
      <c r="J2172" t="s">
        <v>5631</v>
      </c>
      <c r="K2172" t="s">
        <v>2649</v>
      </c>
      <c r="L2172" t="s">
        <v>54</v>
      </c>
      <c r="M2172" t="s">
        <v>27</v>
      </c>
      <c r="N2172" t="s">
        <v>27</v>
      </c>
      <c r="O2172" t="s">
        <v>27</v>
      </c>
      <c r="P2172" t="s">
        <v>31</v>
      </c>
      <c r="Q2172" t="s">
        <v>31</v>
      </c>
      <c r="R2172" t="s">
        <v>31</v>
      </c>
      <c r="S2172" t="s">
        <v>31</v>
      </c>
      <c r="T2172" t="s">
        <v>31</v>
      </c>
    </row>
    <row r="2173" spans="1:20" hidden="1" x14ac:dyDescent="0.3">
      <c r="A2173" t="s">
        <v>295</v>
      </c>
      <c r="B2173" t="s">
        <v>28</v>
      </c>
      <c r="C2173" t="s">
        <v>29</v>
      </c>
      <c r="D2173" t="s">
        <v>189</v>
      </c>
      <c r="E2173">
        <v>2023</v>
      </c>
      <c r="F2173">
        <v>2950000</v>
      </c>
      <c r="G2173" t="s">
        <v>31</v>
      </c>
      <c r="H2173" t="s">
        <v>2645</v>
      </c>
      <c r="I2173" t="s">
        <v>34</v>
      </c>
      <c r="J2173" t="s">
        <v>5632</v>
      </c>
      <c r="K2173" t="s">
        <v>31</v>
      </c>
      <c r="L2173" t="s">
        <v>65</v>
      </c>
      <c r="M2173" t="s">
        <v>27</v>
      </c>
      <c r="N2173" t="s">
        <v>27</v>
      </c>
      <c r="O2173" t="s">
        <v>27</v>
      </c>
      <c r="P2173" t="s">
        <v>31</v>
      </c>
      <c r="Q2173" t="s">
        <v>31</v>
      </c>
      <c r="R2173" t="s">
        <v>31</v>
      </c>
      <c r="S2173" t="s">
        <v>31</v>
      </c>
      <c r="T2173" t="s">
        <v>31</v>
      </c>
    </row>
    <row r="2174" spans="1:20" hidden="1" x14ac:dyDescent="0.3">
      <c r="A2174" t="s">
        <v>297</v>
      </c>
      <c r="B2174" t="s">
        <v>51</v>
      </c>
      <c r="C2174" t="s">
        <v>37</v>
      </c>
      <c r="D2174" t="s">
        <v>52</v>
      </c>
      <c r="E2174">
        <v>2023</v>
      </c>
      <c r="F2174" t="s">
        <v>31</v>
      </c>
      <c r="G2174" t="s">
        <v>31</v>
      </c>
      <c r="H2174" t="s">
        <v>2739</v>
      </c>
      <c r="I2174" t="s">
        <v>77</v>
      </c>
      <c r="J2174" t="s">
        <v>5633</v>
      </c>
      <c r="K2174" t="s">
        <v>2649</v>
      </c>
      <c r="L2174" t="s">
        <v>29</v>
      </c>
      <c r="M2174" t="s">
        <v>27</v>
      </c>
      <c r="N2174" t="s">
        <v>27</v>
      </c>
      <c r="O2174" t="s">
        <v>33</v>
      </c>
      <c r="P2174" t="s">
        <v>31</v>
      </c>
      <c r="Q2174" t="s">
        <v>31</v>
      </c>
      <c r="R2174" t="s">
        <v>31</v>
      </c>
      <c r="S2174" t="s">
        <v>31</v>
      </c>
      <c r="T2174" t="s">
        <v>31</v>
      </c>
    </row>
    <row r="2175" spans="1:20" hidden="1" x14ac:dyDescent="0.3">
      <c r="A2175" t="s">
        <v>299</v>
      </c>
      <c r="B2175" t="s">
        <v>39</v>
      </c>
      <c r="C2175" t="s">
        <v>40</v>
      </c>
      <c r="D2175" t="s">
        <v>41</v>
      </c>
      <c r="E2175">
        <v>2023</v>
      </c>
      <c r="F2175">
        <v>200000</v>
      </c>
      <c r="G2175" t="s">
        <v>5634</v>
      </c>
      <c r="H2175" t="s">
        <v>2739</v>
      </c>
      <c r="I2175" t="s">
        <v>77</v>
      </c>
      <c r="J2175" t="s">
        <v>5635</v>
      </c>
      <c r="K2175" t="s">
        <v>5636</v>
      </c>
      <c r="L2175" t="s">
        <v>300</v>
      </c>
      <c r="M2175" t="s">
        <v>27</v>
      </c>
      <c r="N2175" t="s">
        <v>27</v>
      </c>
      <c r="O2175" t="s">
        <v>33</v>
      </c>
      <c r="P2175" t="s">
        <v>31</v>
      </c>
      <c r="Q2175" t="s">
        <v>31</v>
      </c>
      <c r="R2175" t="s">
        <v>31</v>
      </c>
      <c r="S2175" t="s">
        <v>31</v>
      </c>
      <c r="T2175" t="s">
        <v>31</v>
      </c>
    </row>
    <row r="2176" spans="1:20" hidden="1" x14ac:dyDescent="0.3">
      <c r="A2176" t="s">
        <v>303</v>
      </c>
      <c r="B2176" t="s">
        <v>91</v>
      </c>
      <c r="C2176" t="s">
        <v>2712</v>
      </c>
      <c r="D2176" t="s">
        <v>105</v>
      </c>
      <c r="E2176">
        <v>2023</v>
      </c>
      <c r="F2176" t="s">
        <v>31</v>
      </c>
      <c r="G2176" t="s">
        <v>31</v>
      </c>
      <c r="H2176" t="s">
        <v>2719</v>
      </c>
      <c r="I2176" t="s">
        <v>90</v>
      </c>
      <c r="J2176" t="s">
        <v>5637</v>
      </c>
      <c r="K2176" t="s">
        <v>31</v>
      </c>
      <c r="L2176" t="s">
        <v>31</v>
      </c>
      <c r="M2176" t="s">
        <v>27</v>
      </c>
      <c r="N2176" t="s">
        <v>27</v>
      </c>
      <c r="O2176" t="s">
        <v>27</v>
      </c>
      <c r="P2176" t="s">
        <v>31</v>
      </c>
      <c r="Q2176" t="s">
        <v>31</v>
      </c>
      <c r="R2176" t="s">
        <v>31</v>
      </c>
      <c r="S2176" t="s">
        <v>31</v>
      </c>
      <c r="T2176" t="s">
        <v>31</v>
      </c>
    </row>
    <row r="2177" spans="1:20" hidden="1" x14ac:dyDescent="0.3">
      <c r="A2177" t="s">
        <v>305</v>
      </c>
      <c r="B2177" t="s">
        <v>28</v>
      </c>
      <c r="C2177" t="s">
        <v>29</v>
      </c>
      <c r="D2177" t="s">
        <v>189</v>
      </c>
      <c r="E2177">
        <v>2023</v>
      </c>
      <c r="F2177">
        <v>3800000</v>
      </c>
      <c r="G2177" t="s">
        <v>31</v>
      </c>
      <c r="H2177" t="s">
        <v>2645</v>
      </c>
      <c r="I2177" t="s">
        <v>34</v>
      </c>
      <c r="J2177" t="s">
        <v>5638</v>
      </c>
      <c r="K2177" t="s">
        <v>31</v>
      </c>
      <c r="L2177" t="s">
        <v>262</v>
      </c>
      <c r="M2177" t="s">
        <v>27</v>
      </c>
      <c r="N2177" t="s">
        <v>27</v>
      </c>
      <c r="O2177" t="s">
        <v>27</v>
      </c>
      <c r="P2177" t="s">
        <v>31</v>
      </c>
      <c r="Q2177" t="s">
        <v>31</v>
      </c>
      <c r="R2177" t="s">
        <v>31</v>
      </c>
      <c r="S2177" t="s">
        <v>31</v>
      </c>
      <c r="T2177" t="s">
        <v>31</v>
      </c>
    </row>
    <row r="2178" spans="1:20" x14ac:dyDescent="0.3">
      <c r="A2178" t="s">
        <v>306</v>
      </c>
      <c r="B2178" t="s">
        <v>51</v>
      </c>
      <c r="C2178" t="s">
        <v>37</v>
      </c>
      <c r="D2178" t="s">
        <v>52</v>
      </c>
      <c r="E2178">
        <v>2023</v>
      </c>
      <c r="F2178">
        <v>205000</v>
      </c>
      <c r="G2178" t="s">
        <v>31</v>
      </c>
      <c r="H2178" t="s">
        <v>2656</v>
      </c>
      <c r="I2178" t="s">
        <v>119</v>
      </c>
      <c r="J2178" t="s">
        <v>2588</v>
      </c>
      <c r="K2178" t="s">
        <v>31</v>
      </c>
      <c r="L2178" t="s">
        <v>29</v>
      </c>
      <c r="M2178" t="s">
        <v>27</v>
      </c>
      <c r="N2178" t="s">
        <v>27</v>
      </c>
      <c r="O2178" t="s">
        <v>27</v>
      </c>
      <c r="P2178" t="s">
        <v>31</v>
      </c>
      <c r="Q2178" t="s">
        <v>31</v>
      </c>
      <c r="R2178" t="s">
        <v>31</v>
      </c>
      <c r="S2178" t="s">
        <v>31</v>
      </c>
      <c r="T2178" t="s">
        <v>31</v>
      </c>
    </row>
    <row r="2179" spans="1:20" hidden="1" x14ac:dyDescent="0.3">
      <c r="A2179" t="s">
        <v>309</v>
      </c>
      <c r="B2179" t="s">
        <v>51</v>
      </c>
      <c r="C2179" t="s">
        <v>37</v>
      </c>
      <c r="D2179" t="s">
        <v>52</v>
      </c>
      <c r="E2179">
        <v>2023</v>
      </c>
      <c r="F2179" t="s">
        <v>31</v>
      </c>
      <c r="G2179" t="s">
        <v>5639</v>
      </c>
      <c r="H2179" t="s">
        <v>2716</v>
      </c>
      <c r="I2179" t="s">
        <v>242</v>
      </c>
      <c r="J2179" t="s">
        <v>5640</v>
      </c>
      <c r="K2179" t="s">
        <v>2649</v>
      </c>
      <c r="L2179" t="s">
        <v>31</v>
      </c>
      <c r="M2179" t="s">
        <v>27</v>
      </c>
      <c r="N2179" t="s">
        <v>27</v>
      </c>
      <c r="O2179" t="s">
        <v>27</v>
      </c>
      <c r="P2179" t="s">
        <v>31</v>
      </c>
      <c r="Q2179" t="s">
        <v>31</v>
      </c>
      <c r="R2179" t="s">
        <v>31</v>
      </c>
      <c r="S2179" t="s">
        <v>31</v>
      </c>
      <c r="T2179" t="s">
        <v>31</v>
      </c>
    </row>
    <row r="2180" spans="1:20" hidden="1" x14ac:dyDescent="0.3">
      <c r="A2180" t="s">
        <v>310</v>
      </c>
      <c r="B2180" t="s">
        <v>51</v>
      </c>
      <c r="C2180" t="s">
        <v>37</v>
      </c>
      <c r="D2180" t="s">
        <v>52</v>
      </c>
      <c r="E2180">
        <v>2023</v>
      </c>
      <c r="F2180">
        <v>420000</v>
      </c>
      <c r="G2180" t="s">
        <v>31</v>
      </c>
      <c r="H2180" t="s">
        <v>2749</v>
      </c>
      <c r="I2180" t="s">
        <v>45</v>
      </c>
      <c r="J2180" t="s">
        <v>5641</v>
      </c>
      <c r="K2180" t="s">
        <v>5642</v>
      </c>
      <c r="L2180" t="s">
        <v>138</v>
      </c>
      <c r="M2180" t="s">
        <v>27</v>
      </c>
      <c r="N2180" t="s">
        <v>27</v>
      </c>
      <c r="O2180" t="s">
        <v>27</v>
      </c>
      <c r="P2180" t="s">
        <v>31</v>
      </c>
      <c r="Q2180" t="s">
        <v>31</v>
      </c>
      <c r="R2180" t="s">
        <v>31</v>
      </c>
      <c r="S2180" t="s">
        <v>31</v>
      </c>
      <c r="T2180" t="s">
        <v>31</v>
      </c>
    </row>
    <row r="2181" spans="1:20" hidden="1" x14ac:dyDescent="0.3">
      <c r="A2181" t="s">
        <v>311</v>
      </c>
      <c r="B2181" t="s">
        <v>28</v>
      </c>
      <c r="C2181" t="s">
        <v>2685</v>
      </c>
      <c r="D2181" t="s">
        <v>95</v>
      </c>
      <c r="E2181">
        <v>2023</v>
      </c>
      <c r="F2181" t="s">
        <v>31</v>
      </c>
      <c r="G2181" t="s">
        <v>31</v>
      </c>
      <c r="H2181" t="s">
        <v>2645</v>
      </c>
      <c r="I2181" t="s">
        <v>34</v>
      </c>
      <c r="J2181" t="s">
        <v>5643</v>
      </c>
      <c r="K2181" t="s">
        <v>31</v>
      </c>
      <c r="L2181" t="s">
        <v>176</v>
      </c>
      <c r="M2181" t="s">
        <v>27</v>
      </c>
      <c r="N2181" t="s">
        <v>27</v>
      </c>
      <c r="O2181" t="s">
        <v>27</v>
      </c>
      <c r="P2181" t="s">
        <v>31</v>
      </c>
      <c r="Q2181">
        <v>56.7</v>
      </c>
      <c r="R2181" t="s">
        <v>31</v>
      </c>
      <c r="S2181" t="s">
        <v>31</v>
      </c>
      <c r="T2181" t="s">
        <v>31</v>
      </c>
    </row>
    <row r="2182" spans="1:20" hidden="1" x14ac:dyDescent="0.3">
      <c r="A2182" t="s">
        <v>312</v>
      </c>
      <c r="B2182" t="s">
        <v>43</v>
      </c>
      <c r="C2182" t="s">
        <v>2665</v>
      </c>
      <c r="D2182" t="s">
        <v>114</v>
      </c>
      <c r="E2182">
        <v>2023</v>
      </c>
      <c r="F2182" t="s">
        <v>31</v>
      </c>
      <c r="G2182" t="s">
        <v>5644</v>
      </c>
      <c r="H2182" t="s">
        <v>2678</v>
      </c>
      <c r="I2182" t="s">
        <v>53</v>
      </c>
      <c r="J2182" t="s">
        <v>5645</v>
      </c>
      <c r="K2182" t="s">
        <v>31</v>
      </c>
      <c r="L2182" t="s">
        <v>31</v>
      </c>
      <c r="M2182" t="s">
        <v>27</v>
      </c>
      <c r="N2182" t="s">
        <v>27</v>
      </c>
      <c r="O2182" t="s">
        <v>33</v>
      </c>
      <c r="P2182" t="s">
        <v>31</v>
      </c>
      <c r="Q2182" t="s">
        <v>31</v>
      </c>
      <c r="R2182" t="s">
        <v>31</v>
      </c>
      <c r="S2182" t="s">
        <v>31</v>
      </c>
      <c r="T2182" t="s">
        <v>31</v>
      </c>
    </row>
    <row r="2183" spans="1:20" hidden="1" x14ac:dyDescent="0.3">
      <c r="A2183" t="s">
        <v>314</v>
      </c>
      <c r="B2183" t="s">
        <v>51</v>
      </c>
      <c r="C2183" t="s">
        <v>37</v>
      </c>
      <c r="D2183" t="s">
        <v>52</v>
      </c>
      <c r="E2183">
        <v>2023</v>
      </c>
      <c r="F2183" t="s">
        <v>31</v>
      </c>
      <c r="G2183" t="s">
        <v>31</v>
      </c>
      <c r="H2183" t="s">
        <v>2656</v>
      </c>
      <c r="I2183" t="s">
        <v>119</v>
      </c>
      <c r="J2183" t="s">
        <v>5646</v>
      </c>
      <c r="K2183" t="s">
        <v>2649</v>
      </c>
      <c r="L2183" t="s">
        <v>315</v>
      </c>
      <c r="M2183" t="s">
        <v>27</v>
      </c>
      <c r="N2183" t="s">
        <v>27</v>
      </c>
      <c r="O2183" t="s">
        <v>27</v>
      </c>
      <c r="P2183" t="s">
        <v>31</v>
      </c>
      <c r="Q2183" t="s">
        <v>31</v>
      </c>
      <c r="R2183" t="s">
        <v>31</v>
      </c>
      <c r="S2183" t="s">
        <v>31</v>
      </c>
      <c r="T2183" t="s">
        <v>31</v>
      </c>
    </row>
    <row r="2184" spans="1:20" hidden="1" x14ac:dyDescent="0.3">
      <c r="A2184" t="s">
        <v>319</v>
      </c>
      <c r="B2184" t="s">
        <v>51</v>
      </c>
      <c r="C2184" t="s">
        <v>2655</v>
      </c>
      <c r="D2184" t="s">
        <v>134</v>
      </c>
      <c r="E2184">
        <v>2023</v>
      </c>
      <c r="F2184" t="s">
        <v>31</v>
      </c>
      <c r="G2184" t="s">
        <v>31</v>
      </c>
      <c r="H2184" t="s">
        <v>2647</v>
      </c>
      <c r="I2184" t="s">
        <v>47</v>
      </c>
      <c r="J2184" t="s">
        <v>5647</v>
      </c>
      <c r="K2184" t="s">
        <v>2649</v>
      </c>
      <c r="L2184" t="s">
        <v>315</v>
      </c>
      <c r="M2184" t="s">
        <v>27</v>
      </c>
      <c r="N2184" t="s">
        <v>27</v>
      </c>
      <c r="O2184" t="s">
        <v>27</v>
      </c>
      <c r="P2184" t="s">
        <v>31</v>
      </c>
      <c r="Q2184" t="s">
        <v>31</v>
      </c>
      <c r="R2184" t="s">
        <v>31</v>
      </c>
      <c r="S2184" t="s">
        <v>31</v>
      </c>
      <c r="T2184" t="s">
        <v>31</v>
      </c>
    </row>
    <row r="2185" spans="1:20" hidden="1" x14ac:dyDescent="0.3">
      <c r="A2185" t="s">
        <v>323</v>
      </c>
      <c r="B2185" t="s">
        <v>51</v>
      </c>
      <c r="C2185" t="s">
        <v>37</v>
      </c>
      <c r="D2185" t="s">
        <v>52</v>
      </c>
      <c r="E2185">
        <v>2023</v>
      </c>
      <c r="F2185">
        <v>1100000</v>
      </c>
      <c r="G2185" t="s">
        <v>5648</v>
      </c>
      <c r="H2185" t="s">
        <v>2701</v>
      </c>
      <c r="I2185" t="s">
        <v>60</v>
      </c>
      <c r="J2185" t="s">
        <v>5649</v>
      </c>
      <c r="K2185" t="s">
        <v>2649</v>
      </c>
      <c r="L2185" t="s">
        <v>54</v>
      </c>
      <c r="M2185" t="s">
        <v>27</v>
      </c>
      <c r="N2185" t="s">
        <v>27</v>
      </c>
      <c r="O2185" t="s">
        <v>33</v>
      </c>
      <c r="P2185" t="s">
        <v>31</v>
      </c>
      <c r="Q2185" t="s">
        <v>31</v>
      </c>
      <c r="R2185" t="s">
        <v>31</v>
      </c>
      <c r="S2185" t="s">
        <v>31</v>
      </c>
      <c r="T2185" t="s">
        <v>31</v>
      </c>
    </row>
    <row r="2186" spans="1:20" hidden="1" x14ac:dyDescent="0.3">
      <c r="A2186" t="s">
        <v>326</v>
      </c>
      <c r="B2186" t="s">
        <v>51</v>
      </c>
      <c r="C2186" t="s">
        <v>37</v>
      </c>
      <c r="D2186" t="s">
        <v>56</v>
      </c>
      <c r="E2186">
        <v>2023</v>
      </c>
      <c r="F2186" t="s">
        <v>31</v>
      </c>
      <c r="G2186" t="s">
        <v>31</v>
      </c>
      <c r="H2186" t="s">
        <v>2672</v>
      </c>
      <c r="I2186" t="s">
        <v>73</v>
      </c>
      <c r="J2186" t="s">
        <v>5650</v>
      </c>
      <c r="K2186" t="s">
        <v>2649</v>
      </c>
      <c r="L2186" t="s">
        <v>31</v>
      </c>
      <c r="M2186" t="s">
        <v>27</v>
      </c>
      <c r="N2186" t="s">
        <v>27</v>
      </c>
      <c r="O2186" t="s">
        <v>27</v>
      </c>
      <c r="P2186" t="s">
        <v>31</v>
      </c>
      <c r="Q2186" t="s">
        <v>31</v>
      </c>
      <c r="R2186" t="s">
        <v>31</v>
      </c>
      <c r="S2186" t="s">
        <v>31</v>
      </c>
      <c r="T2186" t="s">
        <v>5651</v>
      </c>
    </row>
    <row r="2187" spans="1:20" hidden="1" x14ac:dyDescent="0.3">
      <c r="A2187" t="s">
        <v>327</v>
      </c>
      <c r="B2187" t="s">
        <v>51</v>
      </c>
      <c r="C2187" t="s">
        <v>37</v>
      </c>
      <c r="D2187" t="s">
        <v>52</v>
      </c>
      <c r="E2187">
        <v>2023</v>
      </c>
      <c r="F2187" t="s">
        <v>31</v>
      </c>
      <c r="G2187" t="s">
        <v>31</v>
      </c>
      <c r="H2187" t="s">
        <v>2645</v>
      </c>
      <c r="I2187" t="s">
        <v>34</v>
      </c>
      <c r="J2187" t="s">
        <v>5652</v>
      </c>
      <c r="K2187" t="s">
        <v>5653</v>
      </c>
      <c r="L2187" t="s">
        <v>29</v>
      </c>
      <c r="M2187" t="s">
        <v>27</v>
      </c>
      <c r="N2187" t="s">
        <v>27</v>
      </c>
      <c r="O2187" t="s">
        <v>33</v>
      </c>
      <c r="P2187" t="s">
        <v>31</v>
      </c>
      <c r="Q2187" t="s">
        <v>31</v>
      </c>
      <c r="R2187" t="s">
        <v>31</v>
      </c>
      <c r="S2187" t="s">
        <v>31</v>
      </c>
      <c r="T2187" t="s">
        <v>31</v>
      </c>
    </row>
    <row r="2188" spans="1:20" hidden="1" x14ac:dyDescent="0.3">
      <c r="A2188" t="s">
        <v>328</v>
      </c>
      <c r="B2188" t="s">
        <v>28</v>
      </c>
      <c r="C2188" t="s">
        <v>29</v>
      </c>
      <c r="D2188" t="s">
        <v>30</v>
      </c>
      <c r="E2188">
        <v>2023</v>
      </c>
      <c r="F2188" t="s">
        <v>31</v>
      </c>
      <c r="G2188" t="s">
        <v>31</v>
      </c>
      <c r="H2188" t="s">
        <v>2680</v>
      </c>
      <c r="I2188" t="s">
        <v>115</v>
      </c>
      <c r="J2188" t="s">
        <v>31</v>
      </c>
      <c r="K2188" t="s">
        <v>31</v>
      </c>
      <c r="L2188" t="s">
        <v>37</v>
      </c>
      <c r="M2188" t="s">
        <v>27</v>
      </c>
      <c r="N2188" t="s">
        <v>27</v>
      </c>
      <c r="O2188" t="s">
        <v>33</v>
      </c>
      <c r="P2188" t="s">
        <v>31</v>
      </c>
      <c r="Q2188" t="s">
        <v>31</v>
      </c>
      <c r="R2188" t="s">
        <v>31</v>
      </c>
      <c r="S2188" t="s">
        <v>31</v>
      </c>
      <c r="T2188" t="s">
        <v>31</v>
      </c>
    </row>
    <row r="2189" spans="1:20" hidden="1" x14ac:dyDescent="0.3">
      <c r="A2189" t="s">
        <v>331</v>
      </c>
      <c r="B2189" t="s">
        <v>28</v>
      </c>
      <c r="C2189" t="s">
        <v>29</v>
      </c>
      <c r="D2189" t="s">
        <v>64</v>
      </c>
      <c r="E2189">
        <v>2023</v>
      </c>
      <c r="F2189">
        <v>1600000</v>
      </c>
      <c r="G2189" t="s">
        <v>31</v>
      </c>
      <c r="H2189" t="s">
        <v>2645</v>
      </c>
      <c r="I2189" t="s">
        <v>34</v>
      </c>
      <c r="J2189" t="s">
        <v>5654</v>
      </c>
      <c r="K2189" t="s">
        <v>31</v>
      </c>
      <c r="L2189" t="s">
        <v>332</v>
      </c>
      <c r="M2189" t="s">
        <v>27</v>
      </c>
      <c r="N2189" t="s">
        <v>27</v>
      </c>
      <c r="O2189" t="s">
        <v>27</v>
      </c>
      <c r="P2189" t="s">
        <v>31</v>
      </c>
      <c r="Q2189" t="s">
        <v>31</v>
      </c>
      <c r="R2189" t="s">
        <v>31</v>
      </c>
      <c r="S2189" t="s">
        <v>31</v>
      </c>
      <c r="T2189" t="s">
        <v>31</v>
      </c>
    </row>
    <row r="2190" spans="1:20" hidden="1" x14ac:dyDescent="0.3">
      <c r="A2190" t="s">
        <v>335</v>
      </c>
      <c r="B2190" t="s">
        <v>28</v>
      </c>
      <c r="C2190" t="s">
        <v>29</v>
      </c>
      <c r="D2190" t="s">
        <v>64</v>
      </c>
      <c r="E2190">
        <v>2023</v>
      </c>
      <c r="F2190">
        <v>100000</v>
      </c>
      <c r="G2190" t="s">
        <v>31</v>
      </c>
      <c r="H2190" t="s">
        <v>2645</v>
      </c>
      <c r="I2190" t="s">
        <v>34</v>
      </c>
      <c r="J2190" t="s">
        <v>5655</v>
      </c>
      <c r="K2190" t="s">
        <v>31</v>
      </c>
      <c r="L2190" t="s">
        <v>104</v>
      </c>
      <c r="M2190" t="s">
        <v>27</v>
      </c>
      <c r="N2190" t="s">
        <v>27</v>
      </c>
      <c r="O2190" t="s">
        <v>27</v>
      </c>
      <c r="P2190" t="s">
        <v>31</v>
      </c>
      <c r="Q2190" t="s">
        <v>31</v>
      </c>
      <c r="R2190" t="s">
        <v>31</v>
      </c>
      <c r="S2190" t="s">
        <v>31</v>
      </c>
      <c r="T2190" t="s">
        <v>31</v>
      </c>
    </row>
    <row r="2191" spans="1:20" hidden="1" x14ac:dyDescent="0.3">
      <c r="A2191" t="s">
        <v>336</v>
      </c>
      <c r="B2191" t="s">
        <v>39</v>
      </c>
      <c r="C2191" t="s">
        <v>40</v>
      </c>
      <c r="D2191" t="s">
        <v>142</v>
      </c>
      <c r="E2191">
        <v>2023</v>
      </c>
      <c r="F2191" t="s">
        <v>31</v>
      </c>
      <c r="G2191" t="s">
        <v>31</v>
      </c>
      <c r="H2191" t="s">
        <v>2701</v>
      </c>
      <c r="I2191" t="s">
        <v>60</v>
      </c>
      <c r="J2191" t="s">
        <v>5656</v>
      </c>
      <c r="K2191" t="s">
        <v>31</v>
      </c>
      <c r="L2191" t="s">
        <v>31</v>
      </c>
      <c r="M2191" t="s">
        <v>27</v>
      </c>
      <c r="N2191" t="s">
        <v>27</v>
      </c>
      <c r="O2191" t="s">
        <v>27</v>
      </c>
      <c r="P2191" t="s">
        <v>31</v>
      </c>
      <c r="Q2191" t="s">
        <v>31</v>
      </c>
      <c r="R2191" t="s">
        <v>31</v>
      </c>
      <c r="S2191" t="s">
        <v>31</v>
      </c>
      <c r="T2191" t="s">
        <v>31</v>
      </c>
    </row>
    <row r="2192" spans="1:20" hidden="1" x14ac:dyDescent="0.3">
      <c r="A2192" t="s">
        <v>338</v>
      </c>
      <c r="B2192" t="s">
        <v>28</v>
      </c>
      <c r="C2192" t="s">
        <v>29</v>
      </c>
      <c r="D2192" t="s">
        <v>64</v>
      </c>
      <c r="E2192">
        <v>2023</v>
      </c>
      <c r="F2192">
        <v>1300000</v>
      </c>
      <c r="G2192" t="s">
        <v>31</v>
      </c>
      <c r="H2192" t="s">
        <v>2645</v>
      </c>
      <c r="I2192" t="s">
        <v>34</v>
      </c>
      <c r="J2192" t="s">
        <v>5657</v>
      </c>
      <c r="K2192" t="s">
        <v>31</v>
      </c>
      <c r="L2192" t="s">
        <v>37</v>
      </c>
      <c r="M2192" t="s">
        <v>27</v>
      </c>
      <c r="N2192" t="s">
        <v>27</v>
      </c>
      <c r="O2192" t="s">
        <v>27</v>
      </c>
      <c r="P2192" t="s">
        <v>31</v>
      </c>
      <c r="Q2192" t="s">
        <v>31</v>
      </c>
      <c r="R2192" t="s">
        <v>31</v>
      </c>
      <c r="S2192" t="s">
        <v>31</v>
      </c>
      <c r="T2192" t="s">
        <v>5658</v>
      </c>
    </row>
    <row r="2193" spans="1:20" hidden="1" x14ac:dyDescent="0.3">
      <c r="A2193" t="s">
        <v>339</v>
      </c>
      <c r="B2193" t="s">
        <v>39</v>
      </c>
      <c r="C2193" t="s">
        <v>157</v>
      </c>
      <c r="D2193" t="s">
        <v>157</v>
      </c>
      <c r="E2193">
        <v>2023</v>
      </c>
      <c r="F2193">
        <v>2500000</v>
      </c>
      <c r="G2193" t="s">
        <v>31</v>
      </c>
      <c r="H2193" t="s">
        <v>2656</v>
      </c>
      <c r="I2193" t="s">
        <v>119</v>
      </c>
      <c r="J2193" t="s">
        <v>5659</v>
      </c>
      <c r="K2193" t="s">
        <v>31</v>
      </c>
      <c r="L2193" t="s">
        <v>31</v>
      </c>
      <c r="M2193" t="s">
        <v>27</v>
      </c>
      <c r="N2193" t="s">
        <v>27</v>
      </c>
      <c r="O2193" t="s">
        <v>33</v>
      </c>
      <c r="P2193" t="s">
        <v>31</v>
      </c>
      <c r="Q2193" t="s">
        <v>31</v>
      </c>
      <c r="R2193" t="s">
        <v>31</v>
      </c>
      <c r="S2193" t="s">
        <v>31</v>
      </c>
      <c r="T2193" t="s">
        <v>31</v>
      </c>
    </row>
    <row r="2194" spans="1:20" hidden="1" x14ac:dyDescent="0.3">
      <c r="A2194" t="s">
        <v>435</v>
      </c>
      <c r="B2194" t="s">
        <v>51</v>
      </c>
      <c r="C2194" t="s">
        <v>37</v>
      </c>
      <c r="D2194" t="s">
        <v>52</v>
      </c>
      <c r="E2194">
        <v>2023</v>
      </c>
      <c r="F2194" t="s">
        <v>31</v>
      </c>
      <c r="G2194" t="s">
        <v>31</v>
      </c>
      <c r="H2194" t="s">
        <v>2678</v>
      </c>
      <c r="I2194" t="s">
        <v>53</v>
      </c>
      <c r="J2194" t="s">
        <v>5660</v>
      </c>
      <c r="K2194" t="s">
        <v>5661</v>
      </c>
      <c r="L2194" t="s">
        <v>54</v>
      </c>
      <c r="M2194" t="s">
        <v>27</v>
      </c>
      <c r="N2194" t="s">
        <v>27</v>
      </c>
      <c r="O2194" t="s">
        <v>33</v>
      </c>
      <c r="P2194" t="s">
        <v>31</v>
      </c>
      <c r="Q2194" t="s">
        <v>31</v>
      </c>
      <c r="R2194" t="s">
        <v>31</v>
      </c>
      <c r="S2194" t="s">
        <v>31</v>
      </c>
      <c r="T2194" t="s">
        <v>31</v>
      </c>
    </row>
    <row r="2195" spans="1:20" hidden="1" x14ac:dyDescent="0.3">
      <c r="A2195" t="s">
        <v>436</v>
      </c>
      <c r="B2195" t="s">
        <v>51</v>
      </c>
      <c r="C2195" t="s">
        <v>37</v>
      </c>
      <c r="D2195" t="s">
        <v>52</v>
      </c>
      <c r="E2195">
        <v>2023</v>
      </c>
      <c r="F2195" t="s">
        <v>31</v>
      </c>
      <c r="G2195" t="s">
        <v>31</v>
      </c>
      <c r="H2195" t="s">
        <v>2739</v>
      </c>
      <c r="I2195" t="s">
        <v>77</v>
      </c>
      <c r="J2195" t="s">
        <v>5662</v>
      </c>
      <c r="K2195" t="s">
        <v>2649</v>
      </c>
      <c r="L2195" t="s">
        <v>31</v>
      </c>
      <c r="M2195" t="s">
        <v>27</v>
      </c>
      <c r="N2195" t="s">
        <v>27</v>
      </c>
      <c r="O2195" t="s">
        <v>27</v>
      </c>
      <c r="P2195" t="s">
        <v>31</v>
      </c>
      <c r="Q2195" t="s">
        <v>31</v>
      </c>
      <c r="R2195" t="s">
        <v>31</v>
      </c>
      <c r="S2195" t="s">
        <v>31</v>
      </c>
      <c r="T2195" t="s">
        <v>31</v>
      </c>
    </row>
    <row r="2196" spans="1:20" hidden="1" x14ac:dyDescent="0.3">
      <c r="A2196" t="s">
        <v>437</v>
      </c>
      <c r="B2196" t="s">
        <v>28</v>
      </c>
      <c r="C2196" t="s">
        <v>29</v>
      </c>
      <c r="D2196" t="s">
        <v>189</v>
      </c>
      <c r="E2196">
        <v>2023</v>
      </c>
      <c r="F2196">
        <v>5300000</v>
      </c>
      <c r="G2196" t="s">
        <v>31</v>
      </c>
      <c r="H2196" t="s">
        <v>2645</v>
      </c>
      <c r="I2196" t="s">
        <v>34</v>
      </c>
      <c r="J2196" t="s">
        <v>5663</v>
      </c>
      <c r="K2196" t="s">
        <v>31</v>
      </c>
      <c r="L2196" t="s">
        <v>65</v>
      </c>
      <c r="M2196" t="s">
        <v>27</v>
      </c>
      <c r="N2196" t="s">
        <v>27</v>
      </c>
      <c r="O2196" t="s">
        <v>27</v>
      </c>
      <c r="P2196" t="s">
        <v>31</v>
      </c>
      <c r="Q2196" t="s">
        <v>31</v>
      </c>
      <c r="R2196" t="s">
        <v>31</v>
      </c>
      <c r="S2196" t="s">
        <v>31</v>
      </c>
      <c r="T2196" t="s">
        <v>31</v>
      </c>
    </row>
    <row r="2197" spans="1:20" hidden="1" x14ac:dyDescent="0.3">
      <c r="A2197" t="s">
        <v>438</v>
      </c>
      <c r="B2197" t="s">
        <v>51</v>
      </c>
      <c r="C2197" t="s">
        <v>37</v>
      </c>
      <c r="D2197" t="s">
        <v>52</v>
      </c>
      <c r="E2197">
        <v>2023</v>
      </c>
      <c r="F2197" t="s">
        <v>31</v>
      </c>
      <c r="G2197" t="s">
        <v>31</v>
      </c>
      <c r="H2197" t="s">
        <v>2656</v>
      </c>
      <c r="I2197" t="s">
        <v>119</v>
      </c>
      <c r="J2197" t="s">
        <v>5664</v>
      </c>
      <c r="K2197" t="s">
        <v>2649</v>
      </c>
      <c r="L2197" t="s">
        <v>31</v>
      </c>
      <c r="M2197" t="s">
        <v>27</v>
      </c>
      <c r="N2197" t="s">
        <v>27</v>
      </c>
      <c r="O2197" t="s">
        <v>33</v>
      </c>
      <c r="P2197" t="s">
        <v>31</v>
      </c>
      <c r="Q2197" t="s">
        <v>31</v>
      </c>
      <c r="R2197" t="s">
        <v>31</v>
      </c>
      <c r="S2197" t="s">
        <v>31</v>
      </c>
      <c r="T2197" t="s">
        <v>31</v>
      </c>
    </row>
    <row r="2198" spans="1:20" hidden="1" x14ac:dyDescent="0.3">
      <c r="A2198" t="s">
        <v>439</v>
      </c>
      <c r="B2198" t="s">
        <v>28</v>
      </c>
      <c r="C2198" t="s">
        <v>29</v>
      </c>
      <c r="D2198" t="s">
        <v>189</v>
      </c>
      <c r="E2198">
        <v>2023</v>
      </c>
      <c r="F2198">
        <v>1300000</v>
      </c>
      <c r="G2198" t="s">
        <v>31</v>
      </c>
      <c r="H2198" t="s">
        <v>2645</v>
      </c>
      <c r="I2198" t="s">
        <v>34</v>
      </c>
      <c r="J2198" t="s">
        <v>5665</v>
      </c>
      <c r="K2198" t="s">
        <v>31</v>
      </c>
      <c r="L2198" t="s">
        <v>65</v>
      </c>
      <c r="M2198" t="s">
        <v>27</v>
      </c>
      <c r="N2198" t="s">
        <v>27</v>
      </c>
      <c r="O2198" t="s">
        <v>27</v>
      </c>
      <c r="P2198" t="s">
        <v>31</v>
      </c>
      <c r="Q2198" t="s">
        <v>31</v>
      </c>
      <c r="R2198" t="s">
        <v>31</v>
      </c>
      <c r="S2198" t="s">
        <v>31</v>
      </c>
      <c r="T2198" t="s">
        <v>31</v>
      </c>
    </row>
    <row r="2199" spans="1:20" hidden="1" x14ac:dyDescent="0.3">
      <c r="A2199" t="s">
        <v>440</v>
      </c>
      <c r="B2199" t="s">
        <v>28</v>
      </c>
      <c r="C2199" t="s">
        <v>29</v>
      </c>
      <c r="D2199" t="s">
        <v>30</v>
      </c>
      <c r="E2199">
        <v>2023</v>
      </c>
      <c r="F2199">
        <v>705000</v>
      </c>
      <c r="G2199" t="s">
        <v>31</v>
      </c>
      <c r="H2199" t="s">
        <v>2678</v>
      </c>
      <c r="I2199" t="s">
        <v>53</v>
      </c>
      <c r="J2199" t="s">
        <v>31</v>
      </c>
      <c r="K2199" t="s">
        <v>31</v>
      </c>
      <c r="L2199" t="s">
        <v>31</v>
      </c>
      <c r="M2199" t="s">
        <v>27</v>
      </c>
      <c r="N2199" t="s">
        <v>27</v>
      </c>
      <c r="O2199" t="s">
        <v>27</v>
      </c>
      <c r="P2199" t="s">
        <v>31</v>
      </c>
      <c r="Q2199" t="s">
        <v>31</v>
      </c>
      <c r="R2199" t="s">
        <v>31</v>
      </c>
      <c r="S2199" t="s">
        <v>31</v>
      </c>
      <c r="T2199" t="s">
        <v>31</v>
      </c>
    </row>
    <row r="2200" spans="1:20" hidden="1" x14ac:dyDescent="0.3">
      <c r="A2200" t="s">
        <v>441</v>
      </c>
      <c r="B2200" t="s">
        <v>51</v>
      </c>
      <c r="C2200" t="s">
        <v>37</v>
      </c>
      <c r="D2200" t="s">
        <v>56</v>
      </c>
      <c r="E2200">
        <v>2023</v>
      </c>
      <c r="F2200">
        <v>1100000</v>
      </c>
      <c r="G2200" t="s">
        <v>31</v>
      </c>
      <c r="H2200" t="s">
        <v>2645</v>
      </c>
      <c r="I2200" t="s">
        <v>34</v>
      </c>
      <c r="J2200" t="s">
        <v>5666</v>
      </c>
      <c r="K2200" t="s">
        <v>2649</v>
      </c>
      <c r="L2200" t="s">
        <v>31</v>
      </c>
      <c r="M2200" t="s">
        <v>27</v>
      </c>
      <c r="N2200" t="s">
        <v>27</v>
      </c>
      <c r="O2200" t="s">
        <v>27</v>
      </c>
      <c r="P2200" t="s">
        <v>31</v>
      </c>
      <c r="Q2200" t="s">
        <v>31</v>
      </c>
      <c r="R2200" t="s">
        <v>31</v>
      </c>
      <c r="S2200" t="s">
        <v>31</v>
      </c>
      <c r="T2200" t="s">
        <v>31</v>
      </c>
    </row>
    <row r="2201" spans="1:20" hidden="1" x14ac:dyDescent="0.3">
      <c r="A2201" t="s">
        <v>442</v>
      </c>
      <c r="B2201" t="s">
        <v>51</v>
      </c>
      <c r="C2201" t="s">
        <v>37</v>
      </c>
      <c r="D2201" t="s">
        <v>52</v>
      </c>
      <c r="E2201">
        <v>2023</v>
      </c>
      <c r="F2201">
        <v>305000</v>
      </c>
      <c r="G2201" t="s">
        <v>31</v>
      </c>
      <c r="H2201" t="s">
        <v>2678</v>
      </c>
      <c r="I2201" t="s">
        <v>53</v>
      </c>
      <c r="J2201" t="s">
        <v>5667</v>
      </c>
      <c r="K2201" t="s">
        <v>2649</v>
      </c>
      <c r="L2201" t="s">
        <v>54</v>
      </c>
      <c r="M2201" t="s">
        <v>27</v>
      </c>
      <c r="N2201" t="s">
        <v>27</v>
      </c>
      <c r="O2201" t="s">
        <v>27</v>
      </c>
      <c r="P2201" t="s">
        <v>31</v>
      </c>
      <c r="Q2201" t="s">
        <v>31</v>
      </c>
      <c r="R2201" t="s">
        <v>31</v>
      </c>
      <c r="S2201" t="s">
        <v>31</v>
      </c>
      <c r="T2201" t="s">
        <v>31</v>
      </c>
    </row>
    <row r="2202" spans="1:20" hidden="1" x14ac:dyDescent="0.3">
      <c r="A2202" t="s">
        <v>443</v>
      </c>
      <c r="B2202" t="s">
        <v>51</v>
      </c>
      <c r="C2202" t="s">
        <v>37</v>
      </c>
      <c r="D2202" t="s">
        <v>52</v>
      </c>
      <c r="E2202">
        <v>2023</v>
      </c>
      <c r="F2202" t="s">
        <v>31</v>
      </c>
      <c r="G2202" t="s">
        <v>31</v>
      </c>
      <c r="H2202" t="s">
        <v>2669</v>
      </c>
      <c r="I2202" t="s">
        <v>111</v>
      </c>
      <c r="J2202" t="s">
        <v>5668</v>
      </c>
      <c r="K2202" t="s">
        <v>2649</v>
      </c>
      <c r="L2202" t="s">
        <v>31</v>
      </c>
      <c r="M2202" t="s">
        <v>27</v>
      </c>
      <c r="N2202" t="s">
        <v>27</v>
      </c>
      <c r="O2202" t="s">
        <v>27</v>
      </c>
      <c r="P2202" t="s">
        <v>31</v>
      </c>
      <c r="Q2202" t="s">
        <v>31</v>
      </c>
      <c r="R2202" t="s">
        <v>31</v>
      </c>
      <c r="S2202" t="s">
        <v>31</v>
      </c>
      <c r="T2202" t="s">
        <v>31</v>
      </c>
    </row>
    <row r="2203" spans="1:20" hidden="1" x14ac:dyDescent="0.3">
      <c r="A2203" t="s">
        <v>444</v>
      </c>
      <c r="B2203" t="s">
        <v>28</v>
      </c>
      <c r="C2203" t="s">
        <v>29</v>
      </c>
      <c r="D2203" t="s">
        <v>97</v>
      </c>
      <c r="E2203">
        <v>2023</v>
      </c>
      <c r="F2203">
        <v>2900000</v>
      </c>
      <c r="G2203" t="s">
        <v>5669</v>
      </c>
      <c r="H2203" t="s">
        <v>2645</v>
      </c>
      <c r="I2203" t="s">
        <v>34</v>
      </c>
      <c r="J2203" t="s">
        <v>5670</v>
      </c>
      <c r="K2203" t="s">
        <v>31</v>
      </c>
      <c r="L2203" t="s">
        <v>31</v>
      </c>
      <c r="M2203" t="s">
        <v>27</v>
      </c>
      <c r="N2203" t="s">
        <v>27</v>
      </c>
      <c r="O2203" t="s">
        <v>27</v>
      </c>
      <c r="P2203" t="s">
        <v>31</v>
      </c>
      <c r="Q2203" t="s">
        <v>31</v>
      </c>
      <c r="R2203" t="s">
        <v>31</v>
      </c>
      <c r="S2203" t="s">
        <v>31</v>
      </c>
      <c r="T2203" t="s">
        <v>31</v>
      </c>
    </row>
    <row r="2204" spans="1:20" hidden="1" x14ac:dyDescent="0.3">
      <c r="A2204" t="s">
        <v>489</v>
      </c>
      <c r="B2204" t="s">
        <v>39</v>
      </c>
      <c r="C2204" t="s">
        <v>157</v>
      </c>
      <c r="D2204" t="s">
        <v>157</v>
      </c>
      <c r="E2204">
        <v>2023</v>
      </c>
      <c r="F2204" t="s">
        <v>31</v>
      </c>
      <c r="G2204" t="s">
        <v>5671</v>
      </c>
      <c r="H2204" t="s">
        <v>2730</v>
      </c>
      <c r="I2204" t="s">
        <v>57</v>
      </c>
      <c r="J2204" t="s">
        <v>5672</v>
      </c>
      <c r="K2204" t="s">
        <v>5673</v>
      </c>
      <c r="L2204" t="s">
        <v>31</v>
      </c>
      <c r="M2204" t="s">
        <v>27</v>
      </c>
      <c r="N2204" t="s">
        <v>27</v>
      </c>
      <c r="O2204" t="s">
        <v>33</v>
      </c>
      <c r="P2204" t="s">
        <v>31</v>
      </c>
      <c r="Q2204">
        <v>3623</v>
      </c>
      <c r="R2204" t="s">
        <v>31</v>
      </c>
      <c r="S2204" t="s">
        <v>31</v>
      </c>
      <c r="T2204" t="s">
        <v>31</v>
      </c>
    </row>
    <row r="2205" spans="1:20" hidden="1" x14ac:dyDescent="0.3">
      <c r="A2205" t="s">
        <v>490</v>
      </c>
      <c r="B2205" t="s">
        <v>51</v>
      </c>
      <c r="C2205" t="s">
        <v>2655</v>
      </c>
      <c r="D2205" t="s">
        <v>134</v>
      </c>
      <c r="E2205">
        <v>2023</v>
      </c>
      <c r="F2205" t="s">
        <v>31</v>
      </c>
      <c r="G2205" t="s">
        <v>31</v>
      </c>
      <c r="H2205" t="s">
        <v>2719</v>
      </c>
      <c r="I2205" t="s">
        <v>90</v>
      </c>
      <c r="J2205" t="s">
        <v>5674</v>
      </c>
      <c r="K2205" t="s">
        <v>2649</v>
      </c>
      <c r="L2205" t="s">
        <v>31</v>
      </c>
      <c r="M2205" t="s">
        <v>27</v>
      </c>
      <c r="N2205" t="s">
        <v>27</v>
      </c>
      <c r="O2205" t="s">
        <v>27</v>
      </c>
      <c r="P2205" t="s">
        <v>31</v>
      </c>
      <c r="Q2205" t="s">
        <v>31</v>
      </c>
      <c r="R2205" t="s">
        <v>31</v>
      </c>
      <c r="S2205" t="s">
        <v>31</v>
      </c>
      <c r="T2205" t="s">
        <v>31</v>
      </c>
    </row>
    <row r="2206" spans="1:20" hidden="1" x14ac:dyDescent="0.3">
      <c r="A2206" t="s">
        <v>491</v>
      </c>
      <c r="B2206" t="s">
        <v>39</v>
      </c>
      <c r="C2206" t="s">
        <v>40</v>
      </c>
      <c r="D2206" t="s">
        <v>142</v>
      </c>
      <c r="E2206">
        <v>2023</v>
      </c>
      <c r="F2206" t="s">
        <v>31</v>
      </c>
      <c r="G2206" t="s">
        <v>31</v>
      </c>
      <c r="H2206" t="s">
        <v>2658</v>
      </c>
      <c r="I2206" t="s">
        <v>130</v>
      </c>
      <c r="J2206" t="s">
        <v>5675</v>
      </c>
      <c r="K2206" t="s">
        <v>31</v>
      </c>
      <c r="L2206" t="s">
        <v>31</v>
      </c>
      <c r="M2206" t="s">
        <v>27</v>
      </c>
      <c r="N2206" t="s">
        <v>27</v>
      </c>
      <c r="O2206" t="s">
        <v>27</v>
      </c>
      <c r="P2206" t="s">
        <v>31</v>
      </c>
      <c r="Q2206" t="s">
        <v>31</v>
      </c>
      <c r="R2206" t="s">
        <v>31</v>
      </c>
      <c r="S2206" t="s">
        <v>31</v>
      </c>
      <c r="T2206" t="s">
        <v>31</v>
      </c>
    </row>
    <row r="2207" spans="1:20" hidden="1" x14ac:dyDescent="0.3">
      <c r="A2207" t="s">
        <v>492</v>
      </c>
      <c r="B2207" t="s">
        <v>51</v>
      </c>
      <c r="C2207" t="s">
        <v>37</v>
      </c>
      <c r="D2207" t="s">
        <v>52</v>
      </c>
      <c r="E2207">
        <v>2023</v>
      </c>
      <c r="F2207" t="s">
        <v>31</v>
      </c>
      <c r="G2207" t="s">
        <v>31</v>
      </c>
      <c r="H2207" t="s">
        <v>2678</v>
      </c>
      <c r="I2207" t="s">
        <v>53</v>
      </c>
      <c r="J2207" t="s">
        <v>5676</v>
      </c>
      <c r="K2207" t="s">
        <v>31</v>
      </c>
      <c r="L2207" t="s">
        <v>31</v>
      </c>
      <c r="M2207" t="s">
        <v>27</v>
      </c>
      <c r="N2207" t="s">
        <v>27</v>
      </c>
      <c r="O2207" t="s">
        <v>27</v>
      </c>
      <c r="P2207" t="s">
        <v>31</v>
      </c>
      <c r="Q2207" t="s">
        <v>31</v>
      </c>
      <c r="R2207" t="s">
        <v>31</v>
      </c>
      <c r="S2207" t="s">
        <v>31</v>
      </c>
      <c r="T2207" t="s">
        <v>31</v>
      </c>
    </row>
    <row r="2208" spans="1:20" hidden="1" x14ac:dyDescent="0.3">
      <c r="A2208" t="s">
        <v>493</v>
      </c>
      <c r="B2208" t="s">
        <v>51</v>
      </c>
      <c r="C2208" t="s">
        <v>37</v>
      </c>
      <c r="D2208" t="s">
        <v>52</v>
      </c>
      <c r="E2208">
        <v>2023</v>
      </c>
      <c r="F2208" t="s">
        <v>31</v>
      </c>
      <c r="G2208" t="s">
        <v>31</v>
      </c>
      <c r="H2208" t="s">
        <v>2645</v>
      </c>
      <c r="I2208" t="s">
        <v>34</v>
      </c>
      <c r="J2208" t="s">
        <v>5677</v>
      </c>
      <c r="K2208" t="s">
        <v>5678</v>
      </c>
      <c r="L2208" t="s">
        <v>31</v>
      </c>
      <c r="M2208" t="s">
        <v>27</v>
      </c>
      <c r="N2208" t="s">
        <v>27</v>
      </c>
      <c r="O2208" t="s">
        <v>27</v>
      </c>
      <c r="P2208" t="s">
        <v>31</v>
      </c>
      <c r="Q2208" t="s">
        <v>31</v>
      </c>
      <c r="R2208" t="s">
        <v>31</v>
      </c>
      <c r="S2208" t="s">
        <v>31</v>
      </c>
      <c r="T2208" t="s">
        <v>31</v>
      </c>
    </row>
    <row r="2209" spans="1:20" hidden="1" x14ac:dyDescent="0.3">
      <c r="A2209" t="s">
        <v>494</v>
      </c>
      <c r="B2209" t="s">
        <v>51</v>
      </c>
      <c r="C2209" t="s">
        <v>37</v>
      </c>
      <c r="D2209" t="s">
        <v>52</v>
      </c>
      <c r="E2209">
        <v>2023</v>
      </c>
      <c r="F2209" t="s">
        <v>31</v>
      </c>
      <c r="G2209" t="s">
        <v>31</v>
      </c>
      <c r="H2209" t="s">
        <v>2656</v>
      </c>
      <c r="I2209" t="s">
        <v>119</v>
      </c>
      <c r="J2209" t="s">
        <v>5679</v>
      </c>
      <c r="K2209" t="s">
        <v>2649</v>
      </c>
      <c r="L2209" t="s">
        <v>31</v>
      </c>
      <c r="M2209" t="s">
        <v>27</v>
      </c>
      <c r="N2209" t="s">
        <v>27</v>
      </c>
      <c r="O2209" t="s">
        <v>33</v>
      </c>
      <c r="P2209" t="s">
        <v>31</v>
      </c>
      <c r="Q2209" t="s">
        <v>31</v>
      </c>
      <c r="R2209" t="s">
        <v>31</v>
      </c>
      <c r="S2209" t="s">
        <v>31</v>
      </c>
      <c r="T2209" t="s">
        <v>31</v>
      </c>
    </row>
    <row r="2210" spans="1:20" hidden="1" x14ac:dyDescent="0.3">
      <c r="A2210" t="s">
        <v>495</v>
      </c>
      <c r="B2210" t="s">
        <v>51</v>
      </c>
      <c r="C2210" t="s">
        <v>37</v>
      </c>
      <c r="D2210" t="s">
        <v>52</v>
      </c>
      <c r="E2210">
        <v>2023</v>
      </c>
      <c r="F2210" t="s">
        <v>31</v>
      </c>
      <c r="G2210" t="s">
        <v>31</v>
      </c>
      <c r="H2210" t="s">
        <v>2730</v>
      </c>
      <c r="I2210" t="s">
        <v>57</v>
      </c>
      <c r="J2210" t="s">
        <v>5680</v>
      </c>
      <c r="K2210" t="s">
        <v>2649</v>
      </c>
      <c r="L2210" t="s">
        <v>31</v>
      </c>
      <c r="M2210" t="s">
        <v>27</v>
      </c>
      <c r="N2210" t="s">
        <v>27</v>
      </c>
      <c r="O2210" t="s">
        <v>27</v>
      </c>
      <c r="P2210" t="s">
        <v>31</v>
      </c>
      <c r="Q2210" t="s">
        <v>31</v>
      </c>
      <c r="R2210" t="s">
        <v>31</v>
      </c>
      <c r="S2210" t="s">
        <v>31</v>
      </c>
      <c r="T2210" t="s">
        <v>5681</v>
      </c>
    </row>
    <row r="2211" spans="1:20" hidden="1" x14ac:dyDescent="0.3">
      <c r="A2211" t="s">
        <v>496</v>
      </c>
      <c r="B2211" t="s">
        <v>51</v>
      </c>
      <c r="C2211" t="s">
        <v>37</v>
      </c>
      <c r="D2211" t="s">
        <v>52</v>
      </c>
      <c r="E2211">
        <v>2023</v>
      </c>
      <c r="F2211">
        <v>17500</v>
      </c>
      <c r="G2211" t="s">
        <v>31</v>
      </c>
      <c r="H2211" t="s">
        <v>2888</v>
      </c>
      <c r="I2211" t="s">
        <v>75</v>
      </c>
      <c r="J2211" t="s">
        <v>5682</v>
      </c>
      <c r="K2211" t="s">
        <v>5683</v>
      </c>
      <c r="L2211" t="s">
        <v>315</v>
      </c>
      <c r="M2211" t="s">
        <v>27</v>
      </c>
      <c r="N2211" t="s">
        <v>27</v>
      </c>
      <c r="O2211" t="s">
        <v>33</v>
      </c>
      <c r="P2211" t="s">
        <v>31</v>
      </c>
      <c r="Q2211" t="s">
        <v>31</v>
      </c>
      <c r="R2211" t="s">
        <v>31</v>
      </c>
      <c r="S2211" t="s">
        <v>31</v>
      </c>
      <c r="T2211" t="s">
        <v>31</v>
      </c>
    </row>
    <row r="2212" spans="1:20" x14ac:dyDescent="0.3">
      <c r="A2212" t="s">
        <v>497</v>
      </c>
      <c r="B2212" t="s">
        <v>51</v>
      </c>
      <c r="C2212" t="s">
        <v>37</v>
      </c>
      <c r="D2212" t="s">
        <v>52</v>
      </c>
      <c r="E2212">
        <v>2023</v>
      </c>
      <c r="F2212">
        <v>1200</v>
      </c>
      <c r="G2212" t="s">
        <v>31</v>
      </c>
      <c r="H2212" t="s">
        <v>2656</v>
      </c>
      <c r="I2212" t="s">
        <v>119</v>
      </c>
      <c r="J2212" t="s">
        <v>2594</v>
      </c>
      <c r="K2212" t="s">
        <v>2649</v>
      </c>
      <c r="L2212" t="s">
        <v>82</v>
      </c>
      <c r="M2212" t="s">
        <v>27</v>
      </c>
      <c r="N2212" t="s">
        <v>27</v>
      </c>
      <c r="O2212" t="s">
        <v>33</v>
      </c>
      <c r="P2212" t="s">
        <v>31</v>
      </c>
      <c r="Q2212" t="s">
        <v>31</v>
      </c>
      <c r="R2212" t="s">
        <v>31</v>
      </c>
      <c r="S2212" t="s">
        <v>31</v>
      </c>
      <c r="T2212" t="s">
        <v>31</v>
      </c>
    </row>
    <row r="2213" spans="1:20" hidden="1" x14ac:dyDescent="0.3">
      <c r="A2213" t="s">
        <v>498</v>
      </c>
      <c r="B2213" t="s">
        <v>28</v>
      </c>
      <c r="C2213" t="s">
        <v>29</v>
      </c>
      <c r="D2213" t="s">
        <v>30</v>
      </c>
      <c r="E2213">
        <v>2023</v>
      </c>
      <c r="F2213">
        <v>3500000</v>
      </c>
      <c r="G2213" t="s">
        <v>31</v>
      </c>
      <c r="H2213" t="s">
        <v>2645</v>
      </c>
      <c r="I2213" t="s">
        <v>34</v>
      </c>
      <c r="J2213" t="s">
        <v>5684</v>
      </c>
      <c r="K2213" t="s">
        <v>31</v>
      </c>
      <c r="L2213" t="s">
        <v>37</v>
      </c>
      <c r="M2213" t="s">
        <v>27</v>
      </c>
      <c r="N2213" t="s">
        <v>27</v>
      </c>
      <c r="O2213" t="s">
        <v>27</v>
      </c>
      <c r="P2213" t="s">
        <v>31</v>
      </c>
      <c r="Q2213">
        <v>150</v>
      </c>
      <c r="R2213" t="s">
        <v>31</v>
      </c>
      <c r="S2213" t="s">
        <v>31</v>
      </c>
      <c r="T2213" t="s">
        <v>31</v>
      </c>
    </row>
    <row r="2214" spans="1:20" hidden="1" x14ac:dyDescent="0.3">
      <c r="A2214" t="s">
        <v>499</v>
      </c>
      <c r="B2214" t="s">
        <v>28</v>
      </c>
      <c r="C2214" t="s">
        <v>29</v>
      </c>
      <c r="D2214" t="s">
        <v>30</v>
      </c>
      <c r="E2214">
        <v>2023</v>
      </c>
      <c r="F2214" t="s">
        <v>31</v>
      </c>
      <c r="G2214" t="s">
        <v>31</v>
      </c>
      <c r="H2214" t="s">
        <v>2716</v>
      </c>
      <c r="I2214" t="s">
        <v>242</v>
      </c>
      <c r="J2214" t="s">
        <v>5685</v>
      </c>
      <c r="K2214" t="s">
        <v>31</v>
      </c>
      <c r="L2214" t="s">
        <v>37</v>
      </c>
      <c r="M2214" t="s">
        <v>27</v>
      </c>
      <c r="N2214" t="s">
        <v>27</v>
      </c>
      <c r="O2214" t="s">
        <v>27</v>
      </c>
      <c r="P2214" t="s">
        <v>31</v>
      </c>
      <c r="Q2214" t="s">
        <v>31</v>
      </c>
      <c r="R2214" t="s">
        <v>31</v>
      </c>
      <c r="S2214" t="s">
        <v>31</v>
      </c>
      <c r="T2214" t="s">
        <v>31</v>
      </c>
    </row>
    <row r="2215" spans="1:20" hidden="1" x14ac:dyDescent="0.3">
      <c r="A2215" t="s">
        <v>500</v>
      </c>
      <c r="B2215" t="s">
        <v>28</v>
      </c>
      <c r="C2215" t="s">
        <v>29</v>
      </c>
      <c r="D2215" t="s">
        <v>30</v>
      </c>
      <c r="E2215">
        <v>2023</v>
      </c>
      <c r="F2215" t="s">
        <v>31</v>
      </c>
      <c r="G2215" t="s">
        <v>31</v>
      </c>
      <c r="H2215" t="s">
        <v>2888</v>
      </c>
      <c r="I2215" t="s">
        <v>75</v>
      </c>
      <c r="J2215" t="s">
        <v>5686</v>
      </c>
      <c r="K2215" t="s">
        <v>31</v>
      </c>
      <c r="L2215" t="s">
        <v>37</v>
      </c>
      <c r="M2215" t="s">
        <v>27</v>
      </c>
      <c r="N2215" t="s">
        <v>27</v>
      </c>
      <c r="O2215" t="s">
        <v>27</v>
      </c>
      <c r="P2215" t="s">
        <v>31</v>
      </c>
      <c r="Q2215">
        <v>80</v>
      </c>
      <c r="R2215" t="s">
        <v>31</v>
      </c>
      <c r="S2215" t="s">
        <v>31</v>
      </c>
      <c r="T2215" t="s">
        <v>31</v>
      </c>
    </row>
    <row r="2216" spans="1:20" x14ac:dyDescent="0.3">
      <c r="A2216" t="s">
        <v>1350</v>
      </c>
      <c r="B2216" t="s">
        <v>51</v>
      </c>
      <c r="C2216" t="s">
        <v>37</v>
      </c>
      <c r="D2216" t="s">
        <v>52</v>
      </c>
      <c r="E2216">
        <v>2023</v>
      </c>
      <c r="F2216">
        <v>50000</v>
      </c>
      <c r="G2216" t="s">
        <v>31</v>
      </c>
      <c r="H2216" t="s">
        <v>2656</v>
      </c>
      <c r="I2216" t="s">
        <v>119</v>
      </c>
      <c r="J2216" t="s">
        <v>2613</v>
      </c>
      <c r="K2216" t="s">
        <v>31</v>
      </c>
      <c r="L2216" t="s">
        <v>54</v>
      </c>
      <c r="M2216" t="s">
        <v>27</v>
      </c>
      <c r="N2216" t="s">
        <v>27</v>
      </c>
      <c r="O2216" t="s">
        <v>33</v>
      </c>
      <c r="P2216" t="s">
        <v>31</v>
      </c>
      <c r="Q2216" t="s">
        <v>31</v>
      </c>
      <c r="R2216" t="s">
        <v>31</v>
      </c>
      <c r="S2216" t="s">
        <v>31</v>
      </c>
      <c r="T2216" t="s">
        <v>31</v>
      </c>
    </row>
    <row r="2217" spans="1:20" hidden="1" x14ac:dyDescent="0.3">
      <c r="A2217" t="s">
        <v>1351</v>
      </c>
      <c r="B2217" t="s">
        <v>51</v>
      </c>
      <c r="C2217" t="s">
        <v>2655</v>
      </c>
      <c r="D2217" t="s">
        <v>134</v>
      </c>
      <c r="E2217">
        <v>2023</v>
      </c>
      <c r="F2217" t="s">
        <v>31</v>
      </c>
      <c r="G2217" t="s">
        <v>5687</v>
      </c>
      <c r="H2217" t="s">
        <v>2666</v>
      </c>
      <c r="I2217" t="s">
        <v>109</v>
      </c>
      <c r="J2217" t="s">
        <v>5688</v>
      </c>
      <c r="K2217" t="s">
        <v>2649</v>
      </c>
      <c r="L2217" t="s">
        <v>37</v>
      </c>
      <c r="M2217" t="s">
        <v>27</v>
      </c>
      <c r="N2217" t="s">
        <v>27</v>
      </c>
      <c r="O2217" t="s">
        <v>27</v>
      </c>
      <c r="P2217" t="s">
        <v>31</v>
      </c>
      <c r="Q2217" t="s">
        <v>31</v>
      </c>
      <c r="R2217" t="s">
        <v>31</v>
      </c>
      <c r="S2217" t="s">
        <v>31</v>
      </c>
      <c r="T2217" t="s">
        <v>31</v>
      </c>
    </row>
    <row r="2218" spans="1:20" hidden="1" x14ac:dyDescent="0.3">
      <c r="A2218" t="s">
        <v>1352</v>
      </c>
      <c r="B2218" t="s">
        <v>28</v>
      </c>
      <c r="C2218" t="s">
        <v>29</v>
      </c>
      <c r="D2218" t="s">
        <v>97</v>
      </c>
      <c r="E2218">
        <v>2023</v>
      </c>
      <c r="F2218">
        <v>2900000</v>
      </c>
      <c r="G2218" t="s">
        <v>31</v>
      </c>
      <c r="H2218" t="s">
        <v>2645</v>
      </c>
      <c r="I2218" t="s">
        <v>34</v>
      </c>
      <c r="J2218" t="s">
        <v>5689</v>
      </c>
      <c r="K2218" t="s">
        <v>31</v>
      </c>
      <c r="L2218" t="s">
        <v>31</v>
      </c>
      <c r="M2218" t="s">
        <v>27</v>
      </c>
      <c r="N2218" t="s">
        <v>27</v>
      </c>
      <c r="O2218" t="s">
        <v>27</v>
      </c>
      <c r="P2218" t="s">
        <v>31</v>
      </c>
      <c r="Q2218" t="s">
        <v>31</v>
      </c>
      <c r="R2218" t="s">
        <v>31</v>
      </c>
      <c r="S2218" t="s">
        <v>31</v>
      </c>
      <c r="T2218" t="s">
        <v>31</v>
      </c>
    </row>
    <row r="2219" spans="1:20" hidden="1" x14ac:dyDescent="0.3">
      <c r="A2219" t="s">
        <v>1353</v>
      </c>
      <c r="B2219" t="s">
        <v>51</v>
      </c>
      <c r="C2219" t="s">
        <v>37</v>
      </c>
      <c r="D2219" t="s">
        <v>52</v>
      </c>
      <c r="E2219">
        <v>2023</v>
      </c>
      <c r="F2219" t="s">
        <v>31</v>
      </c>
      <c r="G2219" t="s">
        <v>5690</v>
      </c>
      <c r="H2219" t="s">
        <v>2666</v>
      </c>
      <c r="I2219" t="s">
        <v>109</v>
      </c>
      <c r="J2219" t="s">
        <v>5691</v>
      </c>
      <c r="K2219" t="s">
        <v>2649</v>
      </c>
      <c r="L2219" t="s">
        <v>31</v>
      </c>
      <c r="M2219" t="s">
        <v>27</v>
      </c>
      <c r="N2219" t="s">
        <v>27</v>
      </c>
      <c r="O2219" t="s">
        <v>27</v>
      </c>
      <c r="P2219" t="s">
        <v>31</v>
      </c>
      <c r="Q2219" t="s">
        <v>31</v>
      </c>
      <c r="R2219" t="s">
        <v>31</v>
      </c>
      <c r="S2219" t="s">
        <v>31</v>
      </c>
      <c r="T2219" t="s">
        <v>31</v>
      </c>
    </row>
    <row r="2220" spans="1:20" hidden="1" x14ac:dyDescent="0.3">
      <c r="A2220" t="s">
        <v>1354</v>
      </c>
      <c r="B2220" t="s">
        <v>28</v>
      </c>
      <c r="C2220" t="s">
        <v>29</v>
      </c>
      <c r="D2220" t="s">
        <v>30</v>
      </c>
      <c r="E2220">
        <v>2023</v>
      </c>
      <c r="F2220" t="s">
        <v>31</v>
      </c>
      <c r="G2220" t="s">
        <v>31</v>
      </c>
      <c r="H2220" t="s">
        <v>2959</v>
      </c>
      <c r="I2220" t="s">
        <v>144</v>
      </c>
      <c r="J2220" t="s">
        <v>31</v>
      </c>
      <c r="K2220" t="s">
        <v>31</v>
      </c>
      <c r="L2220" t="s">
        <v>31</v>
      </c>
      <c r="M2220" t="s">
        <v>27</v>
      </c>
      <c r="N2220" t="s">
        <v>27</v>
      </c>
      <c r="O2220" t="s">
        <v>27</v>
      </c>
      <c r="P2220" t="s">
        <v>31</v>
      </c>
      <c r="Q2220" t="s">
        <v>31</v>
      </c>
      <c r="R2220" t="s">
        <v>31</v>
      </c>
      <c r="S2220" t="s">
        <v>31</v>
      </c>
      <c r="T2220" t="s">
        <v>31</v>
      </c>
    </row>
    <row r="2221" spans="1:20" hidden="1" x14ac:dyDescent="0.3">
      <c r="A2221" t="s">
        <v>1355</v>
      </c>
      <c r="B2221" t="s">
        <v>51</v>
      </c>
      <c r="C2221" t="s">
        <v>37</v>
      </c>
      <c r="D2221" t="s">
        <v>52</v>
      </c>
      <c r="E2221">
        <v>2023</v>
      </c>
      <c r="F2221" t="s">
        <v>31</v>
      </c>
      <c r="G2221" t="s">
        <v>31</v>
      </c>
      <c r="H2221" t="s">
        <v>2719</v>
      </c>
      <c r="I2221" t="s">
        <v>90</v>
      </c>
      <c r="J2221" t="s">
        <v>5692</v>
      </c>
      <c r="K2221" t="s">
        <v>2649</v>
      </c>
      <c r="L2221" t="s">
        <v>31</v>
      </c>
      <c r="M2221" t="s">
        <v>27</v>
      </c>
      <c r="N2221" t="s">
        <v>27</v>
      </c>
      <c r="O2221" t="s">
        <v>27</v>
      </c>
      <c r="P2221" t="s">
        <v>31</v>
      </c>
      <c r="Q2221" t="s">
        <v>31</v>
      </c>
      <c r="R2221" t="s">
        <v>31</v>
      </c>
      <c r="S2221" t="s">
        <v>31</v>
      </c>
      <c r="T2221" t="s">
        <v>31</v>
      </c>
    </row>
    <row r="2222" spans="1:20" hidden="1" x14ac:dyDescent="0.3">
      <c r="A2222" t="s">
        <v>1356</v>
      </c>
      <c r="B2222" t="s">
        <v>51</v>
      </c>
      <c r="C2222" t="s">
        <v>37</v>
      </c>
      <c r="D2222" t="s">
        <v>52</v>
      </c>
      <c r="E2222">
        <v>2023</v>
      </c>
      <c r="F2222" t="s">
        <v>31</v>
      </c>
      <c r="G2222" t="s">
        <v>31</v>
      </c>
      <c r="H2222" t="s">
        <v>2709</v>
      </c>
      <c r="I2222" t="s">
        <v>70</v>
      </c>
      <c r="J2222" t="s">
        <v>5693</v>
      </c>
      <c r="K2222" t="s">
        <v>31</v>
      </c>
      <c r="L2222" t="s">
        <v>1357</v>
      </c>
      <c r="M2222" t="s">
        <v>27</v>
      </c>
      <c r="N2222" t="s">
        <v>27</v>
      </c>
      <c r="O2222" t="s">
        <v>27</v>
      </c>
      <c r="P2222" t="s">
        <v>31</v>
      </c>
      <c r="Q2222" t="s">
        <v>31</v>
      </c>
      <c r="R2222" t="s">
        <v>31</v>
      </c>
      <c r="S2222" t="s">
        <v>31</v>
      </c>
      <c r="T2222" t="s">
        <v>31</v>
      </c>
    </row>
    <row r="2223" spans="1:20" hidden="1" x14ac:dyDescent="0.3">
      <c r="A2223" t="s">
        <v>1358</v>
      </c>
      <c r="B2223" t="s">
        <v>39</v>
      </c>
      <c r="C2223" t="s">
        <v>40</v>
      </c>
      <c r="D2223" t="s">
        <v>142</v>
      </c>
      <c r="E2223">
        <v>2023</v>
      </c>
      <c r="F2223">
        <v>5500000</v>
      </c>
      <c r="G2223" t="s">
        <v>5694</v>
      </c>
      <c r="H2223" t="s">
        <v>2645</v>
      </c>
      <c r="I2223" t="s">
        <v>34</v>
      </c>
      <c r="J2223" t="s">
        <v>5695</v>
      </c>
      <c r="K2223" t="s">
        <v>31</v>
      </c>
      <c r="L2223" t="s">
        <v>31</v>
      </c>
      <c r="M2223" t="s">
        <v>27</v>
      </c>
      <c r="N2223" t="s">
        <v>27</v>
      </c>
      <c r="O2223" t="s">
        <v>33</v>
      </c>
      <c r="P2223" t="s">
        <v>31</v>
      </c>
      <c r="Q2223" t="s">
        <v>31</v>
      </c>
      <c r="R2223" t="s">
        <v>31</v>
      </c>
      <c r="S2223" t="s">
        <v>31</v>
      </c>
      <c r="T2223" t="s">
        <v>31</v>
      </c>
    </row>
    <row r="2224" spans="1:20" hidden="1" x14ac:dyDescent="0.3">
      <c r="A2224" t="s">
        <v>1359</v>
      </c>
      <c r="B2224" t="s">
        <v>28</v>
      </c>
      <c r="C2224" t="s">
        <v>29</v>
      </c>
      <c r="D2224" t="s">
        <v>30</v>
      </c>
      <c r="E2224">
        <v>2023</v>
      </c>
      <c r="F2224" t="s">
        <v>31</v>
      </c>
      <c r="G2224" t="s">
        <v>31</v>
      </c>
      <c r="H2224" t="s">
        <v>2658</v>
      </c>
      <c r="I2224" t="s">
        <v>130</v>
      </c>
      <c r="J2224" t="s">
        <v>5696</v>
      </c>
      <c r="K2224" t="s">
        <v>31</v>
      </c>
      <c r="L2224" t="s">
        <v>37</v>
      </c>
      <c r="M2224" t="s">
        <v>27</v>
      </c>
      <c r="N2224" t="s">
        <v>27</v>
      </c>
      <c r="O2224" t="s">
        <v>27</v>
      </c>
      <c r="P2224" t="s">
        <v>31</v>
      </c>
      <c r="Q2224" t="s">
        <v>31</v>
      </c>
      <c r="R2224" t="s">
        <v>31</v>
      </c>
      <c r="S2224" t="s">
        <v>31</v>
      </c>
      <c r="T2224" t="s">
        <v>31</v>
      </c>
    </row>
    <row r="2225" spans="1:20" hidden="1" x14ac:dyDescent="0.3">
      <c r="A2225" t="s">
        <v>1360</v>
      </c>
      <c r="B2225" t="s">
        <v>28</v>
      </c>
      <c r="C2225" t="s">
        <v>29</v>
      </c>
      <c r="D2225" t="s">
        <v>30</v>
      </c>
      <c r="E2225">
        <v>2023</v>
      </c>
      <c r="F2225" t="s">
        <v>31</v>
      </c>
      <c r="G2225" t="s">
        <v>31</v>
      </c>
      <c r="H2225" t="s">
        <v>2753</v>
      </c>
      <c r="I2225" t="s">
        <v>49</v>
      </c>
      <c r="J2225" t="s">
        <v>31</v>
      </c>
      <c r="K2225" t="s">
        <v>31</v>
      </c>
      <c r="L2225" t="s">
        <v>31</v>
      </c>
      <c r="M2225" t="s">
        <v>27</v>
      </c>
      <c r="N2225" t="s">
        <v>27</v>
      </c>
      <c r="O2225" t="s">
        <v>27</v>
      </c>
      <c r="P2225" t="s">
        <v>31</v>
      </c>
      <c r="Q2225" t="s">
        <v>31</v>
      </c>
      <c r="R2225" t="s">
        <v>31</v>
      </c>
      <c r="S2225" t="s">
        <v>31</v>
      </c>
      <c r="T2225" t="s">
        <v>31</v>
      </c>
    </row>
    <row r="2226" spans="1:20" hidden="1" x14ac:dyDescent="0.3">
      <c r="A2226" t="s">
        <v>1361</v>
      </c>
      <c r="B2226" t="s">
        <v>51</v>
      </c>
      <c r="C2226" t="s">
        <v>37</v>
      </c>
      <c r="D2226" t="s">
        <v>52</v>
      </c>
      <c r="E2226">
        <v>2023</v>
      </c>
      <c r="F2226" t="s">
        <v>31</v>
      </c>
      <c r="G2226" t="s">
        <v>5697</v>
      </c>
      <c r="H2226" t="s">
        <v>2769</v>
      </c>
      <c r="I2226" t="s">
        <v>117</v>
      </c>
      <c r="J2226" t="s">
        <v>5698</v>
      </c>
      <c r="K2226" t="s">
        <v>2649</v>
      </c>
      <c r="L2226" t="s">
        <v>31</v>
      </c>
      <c r="M2226" t="s">
        <v>27</v>
      </c>
      <c r="N2226" t="s">
        <v>27</v>
      </c>
      <c r="O2226" t="s">
        <v>33</v>
      </c>
      <c r="P2226" t="s">
        <v>31</v>
      </c>
      <c r="Q2226" t="s">
        <v>31</v>
      </c>
      <c r="R2226" t="s">
        <v>31</v>
      </c>
      <c r="S2226" t="s">
        <v>31</v>
      </c>
      <c r="T2226" t="s">
        <v>5699</v>
      </c>
    </row>
    <row r="2227" spans="1:20" hidden="1" x14ac:dyDescent="0.3">
      <c r="A2227" t="s">
        <v>1362</v>
      </c>
      <c r="B2227" t="s">
        <v>51</v>
      </c>
      <c r="C2227" t="s">
        <v>37</v>
      </c>
      <c r="D2227" t="s">
        <v>52</v>
      </c>
      <c r="E2227">
        <v>2023</v>
      </c>
      <c r="F2227" t="s">
        <v>31</v>
      </c>
      <c r="G2227" t="s">
        <v>31</v>
      </c>
      <c r="H2227" t="s">
        <v>2749</v>
      </c>
      <c r="I2227" t="s">
        <v>45</v>
      </c>
      <c r="J2227" t="s">
        <v>5700</v>
      </c>
      <c r="K2227" t="s">
        <v>5683</v>
      </c>
      <c r="L2227" t="s">
        <v>31</v>
      </c>
      <c r="M2227" t="s">
        <v>27</v>
      </c>
      <c r="N2227" t="s">
        <v>27</v>
      </c>
      <c r="O2227" t="s">
        <v>27</v>
      </c>
      <c r="P2227" t="s">
        <v>31</v>
      </c>
      <c r="Q2227" t="s">
        <v>31</v>
      </c>
      <c r="R2227" t="s">
        <v>31</v>
      </c>
      <c r="S2227" t="s">
        <v>31</v>
      </c>
      <c r="T2227" t="s">
        <v>31</v>
      </c>
    </row>
    <row r="2228" spans="1:20" hidden="1" x14ac:dyDescent="0.3">
      <c r="A2228" t="s">
        <v>1363</v>
      </c>
      <c r="B2228" t="s">
        <v>51</v>
      </c>
      <c r="C2228" t="s">
        <v>37</v>
      </c>
      <c r="D2228" t="s">
        <v>52</v>
      </c>
      <c r="E2228">
        <v>2023</v>
      </c>
      <c r="F2228" t="s">
        <v>31</v>
      </c>
      <c r="G2228" t="s">
        <v>5701</v>
      </c>
      <c r="H2228" t="s">
        <v>2647</v>
      </c>
      <c r="I2228" t="s">
        <v>47</v>
      </c>
      <c r="J2228" t="s">
        <v>5702</v>
      </c>
      <c r="K2228" t="s">
        <v>31</v>
      </c>
      <c r="L2228" t="s">
        <v>31</v>
      </c>
      <c r="M2228" t="s">
        <v>27</v>
      </c>
      <c r="N2228" t="s">
        <v>27</v>
      </c>
      <c r="O2228" t="s">
        <v>33</v>
      </c>
      <c r="P2228" t="s">
        <v>31</v>
      </c>
      <c r="Q2228" t="s">
        <v>31</v>
      </c>
      <c r="R2228" t="s">
        <v>31</v>
      </c>
      <c r="S2228" t="s">
        <v>31</v>
      </c>
      <c r="T2228" t="s">
        <v>31</v>
      </c>
    </row>
    <row r="2229" spans="1:20" hidden="1" x14ac:dyDescent="0.3">
      <c r="A2229" t="s">
        <v>1364</v>
      </c>
      <c r="B2229" t="s">
        <v>39</v>
      </c>
      <c r="C2229" t="s">
        <v>157</v>
      </c>
      <c r="D2229" t="s">
        <v>157</v>
      </c>
      <c r="E2229">
        <v>2023</v>
      </c>
      <c r="F2229" t="s">
        <v>31</v>
      </c>
      <c r="G2229" t="s">
        <v>31</v>
      </c>
      <c r="H2229" t="s">
        <v>2753</v>
      </c>
      <c r="I2229" t="s">
        <v>49</v>
      </c>
      <c r="J2229" t="s">
        <v>5703</v>
      </c>
      <c r="K2229" t="s">
        <v>3910</v>
      </c>
      <c r="L2229" t="s">
        <v>31</v>
      </c>
      <c r="M2229" t="s">
        <v>27</v>
      </c>
      <c r="N2229" t="s">
        <v>27</v>
      </c>
      <c r="O2229" t="s">
        <v>27</v>
      </c>
      <c r="P2229" t="s">
        <v>31</v>
      </c>
      <c r="Q2229" t="s">
        <v>31</v>
      </c>
      <c r="R2229" t="s">
        <v>31</v>
      </c>
      <c r="S2229" t="s">
        <v>31</v>
      </c>
      <c r="T2229" t="s">
        <v>31</v>
      </c>
    </row>
    <row r="2230" spans="1:20" hidden="1" x14ac:dyDescent="0.3">
      <c r="A2230" t="s">
        <v>1365</v>
      </c>
      <c r="B2230" t="s">
        <v>39</v>
      </c>
      <c r="C2230" t="s">
        <v>157</v>
      </c>
      <c r="D2230" t="s">
        <v>157</v>
      </c>
      <c r="E2230">
        <v>2023</v>
      </c>
      <c r="F2230">
        <v>14500000</v>
      </c>
      <c r="G2230" t="s">
        <v>31</v>
      </c>
      <c r="H2230" t="s">
        <v>2645</v>
      </c>
      <c r="I2230" t="s">
        <v>34</v>
      </c>
      <c r="J2230" t="s">
        <v>5704</v>
      </c>
      <c r="K2230" t="s">
        <v>31</v>
      </c>
      <c r="L2230" t="s">
        <v>95</v>
      </c>
      <c r="M2230" t="s">
        <v>27</v>
      </c>
      <c r="N2230" t="s">
        <v>27</v>
      </c>
      <c r="O2230" t="s">
        <v>27</v>
      </c>
      <c r="P2230" t="s">
        <v>31</v>
      </c>
      <c r="Q2230" t="s">
        <v>31</v>
      </c>
      <c r="R2230" t="s">
        <v>31</v>
      </c>
      <c r="S2230" t="s">
        <v>31</v>
      </c>
      <c r="T2230" t="s">
        <v>31</v>
      </c>
    </row>
    <row r="2231" spans="1:20" x14ac:dyDescent="0.3">
      <c r="A2231" t="s">
        <v>1968</v>
      </c>
      <c r="B2231" t="s">
        <v>51</v>
      </c>
      <c r="C2231" t="s">
        <v>37</v>
      </c>
      <c r="D2231" t="s">
        <v>52</v>
      </c>
      <c r="E2231">
        <v>2023</v>
      </c>
      <c r="F2231">
        <v>10000</v>
      </c>
      <c r="G2231" t="s">
        <v>31</v>
      </c>
      <c r="H2231" t="s">
        <v>2656</v>
      </c>
      <c r="I2231" t="s">
        <v>119</v>
      </c>
      <c r="J2231" t="s">
        <v>2627</v>
      </c>
      <c r="K2231" t="s">
        <v>31</v>
      </c>
      <c r="L2231" t="s">
        <v>155</v>
      </c>
      <c r="M2231" t="s">
        <v>27</v>
      </c>
      <c r="N2231" t="s">
        <v>27</v>
      </c>
      <c r="O2231" t="s">
        <v>27</v>
      </c>
      <c r="P2231" t="s">
        <v>31</v>
      </c>
      <c r="Q2231" t="s">
        <v>31</v>
      </c>
      <c r="R2231" t="s">
        <v>31</v>
      </c>
      <c r="S2231" t="s">
        <v>31</v>
      </c>
      <c r="T2231" t="s">
        <v>31</v>
      </c>
    </row>
    <row r="2232" spans="1:20" hidden="1" x14ac:dyDescent="0.3">
      <c r="A2232" t="s">
        <v>1969</v>
      </c>
      <c r="B2232" t="s">
        <v>28</v>
      </c>
      <c r="C2232" t="s">
        <v>2685</v>
      </c>
      <c r="D2232" t="s">
        <v>278</v>
      </c>
      <c r="E2232">
        <v>2023</v>
      </c>
      <c r="F2232">
        <v>165000</v>
      </c>
      <c r="G2232" t="s">
        <v>31</v>
      </c>
      <c r="H2232" t="s">
        <v>2739</v>
      </c>
      <c r="I2232" t="s">
        <v>77</v>
      </c>
      <c r="J2232" t="s">
        <v>31</v>
      </c>
      <c r="K2232" t="s">
        <v>31</v>
      </c>
      <c r="L2232" t="s">
        <v>31</v>
      </c>
      <c r="M2232" t="s">
        <v>27</v>
      </c>
      <c r="N2232" t="s">
        <v>27</v>
      </c>
      <c r="O2232" t="s">
        <v>27</v>
      </c>
      <c r="P2232" t="s">
        <v>31</v>
      </c>
      <c r="Q2232">
        <v>-50</v>
      </c>
      <c r="R2232" t="s">
        <v>31</v>
      </c>
      <c r="S2232" t="s">
        <v>31</v>
      </c>
      <c r="T2232" t="s">
        <v>31</v>
      </c>
    </row>
    <row r="2233" spans="1:20" hidden="1" x14ac:dyDescent="0.3">
      <c r="A2233" t="s">
        <v>1970</v>
      </c>
      <c r="B2233" t="s">
        <v>51</v>
      </c>
      <c r="C2233" t="s">
        <v>37</v>
      </c>
      <c r="D2233" t="s">
        <v>52</v>
      </c>
      <c r="E2233">
        <v>2023</v>
      </c>
      <c r="F2233">
        <v>205000</v>
      </c>
      <c r="G2233" t="s">
        <v>31</v>
      </c>
      <c r="H2233" t="s">
        <v>2666</v>
      </c>
      <c r="I2233" t="s">
        <v>109</v>
      </c>
      <c r="J2233" t="s">
        <v>5705</v>
      </c>
      <c r="K2233" t="s">
        <v>31</v>
      </c>
      <c r="L2233" t="s">
        <v>54</v>
      </c>
      <c r="M2233" t="s">
        <v>27</v>
      </c>
      <c r="N2233" t="s">
        <v>27</v>
      </c>
      <c r="O2233" t="s">
        <v>27</v>
      </c>
      <c r="P2233" t="s">
        <v>31</v>
      </c>
      <c r="Q2233" t="s">
        <v>31</v>
      </c>
      <c r="R2233" t="s">
        <v>31</v>
      </c>
      <c r="S2233" t="s">
        <v>31</v>
      </c>
      <c r="T2233" t="s">
        <v>31</v>
      </c>
    </row>
    <row r="2234" spans="1:20" hidden="1" x14ac:dyDescent="0.3">
      <c r="A2234" t="s">
        <v>1986</v>
      </c>
      <c r="B2234" t="s">
        <v>28</v>
      </c>
      <c r="C2234" t="s">
        <v>29</v>
      </c>
      <c r="D2234" t="s">
        <v>30</v>
      </c>
      <c r="E2234">
        <v>2023</v>
      </c>
      <c r="F2234">
        <v>12000000</v>
      </c>
      <c r="G2234" t="s">
        <v>5706</v>
      </c>
      <c r="H2234" t="s">
        <v>2672</v>
      </c>
      <c r="I2234" t="s">
        <v>73</v>
      </c>
      <c r="J2234" t="s">
        <v>5707</v>
      </c>
      <c r="K2234" t="s">
        <v>31</v>
      </c>
      <c r="L2234" t="s">
        <v>82</v>
      </c>
      <c r="M2234" t="s">
        <v>27</v>
      </c>
      <c r="N2234" t="s">
        <v>27</v>
      </c>
      <c r="O2234" t="s">
        <v>27</v>
      </c>
      <c r="P2234" t="s">
        <v>31</v>
      </c>
      <c r="Q2234">
        <v>270</v>
      </c>
      <c r="R2234" t="s">
        <v>31</v>
      </c>
      <c r="S2234" t="s">
        <v>31</v>
      </c>
      <c r="T2234" t="s">
        <v>31</v>
      </c>
    </row>
    <row r="2235" spans="1:20" hidden="1" x14ac:dyDescent="0.3">
      <c r="A2235" t="s">
        <v>2006</v>
      </c>
      <c r="B2235" t="s">
        <v>43</v>
      </c>
      <c r="C2235" t="s">
        <v>2665</v>
      </c>
      <c r="D2235" t="s">
        <v>114</v>
      </c>
      <c r="E2235">
        <v>2023</v>
      </c>
      <c r="F2235" t="s">
        <v>31</v>
      </c>
      <c r="G2235" t="s">
        <v>31</v>
      </c>
      <c r="H2235" t="s">
        <v>2695</v>
      </c>
      <c r="I2235" t="s">
        <v>161</v>
      </c>
      <c r="J2235" t="s">
        <v>5708</v>
      </c>
      <c r="K2235" t="s">
        <v>31</v>
      </c>
      <c r="L2235" t="s">
        <v>31</v>
      </c>
      <c r="M2235" t="s">
        <v>27</v>
      </c>
      <c r="N2235" t="s">
        <v>27</v>
      </c>
      <c r="O2235" t="s">
        <v>27</v>
      </c>
      <c r="P2235" t="s">
        <v>31</v>
      </c>
      <c r="Q2235" t="s">
        <v>31</v>
      </c>
      <c r="R2235" t="s">
        <v>31</v>
      </c>
      <c r="S2235" t="s">
        <v>31</v>
      </c>
      <c r="T2235" t="s">
        <v>31</v>
      </c>
    </row>
    <row r="2236" spans="1:20" hidden="1" x14ac:dyDescent="0.3">
      <c r="A2236" t="s">
        <v>2061</v>
      </c>
      <c r="B2236" t="s">
        <v>51</v>
      </c>
      <c r="C2236" t="s">
        <v>2655</v>
      </c>
      <c r="D2236" t="s">
        <v>134</v>
      </c>
      <c r="E2236">
        <v>2023</v>
      </c>
      <c r="F2236" t="s">
        <v>31</v>
      </c>
      <c r="G2236" t="s">
        <v>31</v>
      </c>
      <c r="H2236" t="s">
        <v>2647</v>
      </c>
      <c r="I2236" t="s">
        <v>47</v>
      </c>
      <c r="J2236" t="s">
        <v>5709</v>
      </c>
      <c r="K2236" t="s">
        <v>2649</v>
      </c>
      <c r="L2236" t="s">
        <v>31</v>
      </c>
      <c r="M2236" t="s">
        <v>27</v>
      </c>
      <c r="N2236" t="s">
        <v>27</v>
      </c>
      <c r="O2236" t="s">
        <v>27</v>
      </c>
      <c r="P2236" t="s">
        <v>31</v>
      </c>
      <c r="Q2236" t="s">
        <v>31</v>
      </c>
      <c r="R2236" t="s">
        <v>31</v>
      </c>
      <c r="S2236" t="s">
        <v>31</v>
      </c>
      <c r="T2236" t="s">
        <v>31</v>
      </c>
    </row>
    <row r="2237" spans="1:20" hidden="1" x14ac:dyDescent="0.3">
      <c r="A2237" t="s">
        <v>2062</v>
      </c>
      <c r="B2237" t="s">
        <v>39</v>
      </c>
      <c r="C2237" t="s">
        <v>40</v>
      </c>
      <c r="D2237" t="s">
        <v>142</v>
      </c>
      <c r="E2237">
        <v>2023</v>
      </c>
      <c r="F2237">
        <v>900000</v>
      </c>
      <c r="G2237" t="s">
        <v>31</v>
      </c>
      <c r="H2237" t="s">
        <v>2701</v>
      </c>
      <c r="I2237" t="s">
        <v>60</v>
      </c>
      <c r="J2237" t="s">
        <v>5710</v>
      </c>
      <c r="K2237" t="s">
        <v>5711</v>
      </c>
      <c r="L2237" t="s">
        <v>95</v>
      </c>
      <c r="M2237" t="s">
        <v>27</v>
      </c>
      <c r="N2237" t="s">
        <v>27</v>
      </c>
      <c r="O2237" t="s">
        <v>27</v>
      </c>
      <c r="P2237" t="s">
        <v>31</v>
      </c>
      <c r="Q2237" t="s">
        <v>31</v>
      </c>
      <c r="R2237" t="s">
        <v>31</v>
      </c>
      <c r="S2237" t="s">
        <v>31</v>
      </c>
      <c r="T2237" t="s">
        <v>31</v>
      </c>
    </row>
    <row r="2238" spans="1:20" hidden="1" x14ac:dyDescent="0.3">
      <c r="A2238" t="s">
        <v>2063</v>
      </c>
      <c r="B2238" t="s">
        <v>51</v>
      </c>
      <c r="C2238" t="s">
        <v>2655</v>
      </c>
      <c r="D2238" t="s">
        <v>134</v>
      </c>
      <c r="E2238">
        <v>2023</v>
      </c>
      <c r="F2238" t="s">
        <v>31</v>
      </c>
      <c r="G2238" t="s">
        <v>31</v>
      </c>
      <c r="H2238" t="s">
        <v>2678</v>
      </c>
      <c r="I2238" t="s">
        <v>53</v>
      </c>
      <c r="J2238" t="s">
        <v>5712</v>
      </c>
      <c r="K2238" t="s">
        <v>2649</v>
      </c>
      <c r="L2238" t="s">
        <v>37</v>
      </c>
      <c r="M2238" t="s">
        <v>27</v>
      </c>
      <c r="N2238" t="s">
        <v>27</v>
      </c>
      <c r="O2238" t="s">
        <v>33</v>
      </c>
      <c r="P2238" t="s">
        <v>31</v>
      </c>
      <c r="Q2238" t="s">
        <v>31</v>
      </c>
      <c r="R2238" t="s">
        <v>31</v>
      </c>
      <c r="S2238" t="s">
        <v>31</v>
      </c>
      <c r="T2238" t="s">
        <v>31</v>
      </c>
    </row>
    <row r="2239" spans="1:20" x14ac:dyDescent="0.3">
      <c r="A2239" t="s">
        <v>2064</v>
      </c>
      <c r="B2239" t="s">
        <v>51</v>
      </c>
      <c r="C2239" t="s">
        <v>37</v>
      </c>
      <c r="D2239" t="s">
        <v>52</v>
      </c>
      <c r="E2239">
        <v>2023</v>
      </c>
      <c r="F2239">
        <v>30000</v>
      </c>
      <c r="G2239" t="s">
        <v>31</v>
      </c>
      <c r="H2239" t="s">
        <v>2656</v>
      </c>
      <c r="I2239" t="s">
        <v>119</v>
      </c>
      <c r="J2239" t="s">
        <v>2633</v>
      </c>
      <c r="K2239" t="s">
        <v>2649</v>
      </c>
      <c r="L2239" t="s">
        <v>54</v>
      </c>
      <c r="M2239" t="s">
        <v>27</v>
      </c>
      <c r="N2239" t="s">
        <v>27</v>
      </c>
      <c r="O2239" t="s">
        <v>27</v>
      </c>
      <c r="P2239" t="s">
        <v>31</v>
      </c>
      <c r="Q2239" t="s">
        <v>31</v>
      </c>
      <c r="R2239" t="s">
        <v>31</v>
      </c>
      <c r="S2239" t="s">
        <v>31</v>
      </c>
      <c r="T2239" t="s">
        <v>31</v>
      </c>
    </row>
    <row r="2240" spans="1:20" x14ac:dyDescent="0.3">
      <c r="A2240" t="s">
        <v>2065</v>
      </c>
      <c r="B2240" t="s">
        <v>51</v>
      </c>
      <c r="C2240" t="s">
        <v>37</v>
      </c>
      <c r="D2240" t="s">
        <v>52</v>
      </c>
      <c r="E2240">
        <v>2023</v>
      </c>
      <c r="F2240">
        <v>95000</v>
      </c>
      <c r="G2240" t="s">
        <v>31</v>
      </c>
      <c r="H2240" t="s">
        <v>2656</v>
      </c>
      <c r="I2240" t="s">
        <v>119</v>
      </c>
      <c r="J2240" t="s">
        <v>2634</v>
      </c>
      <c r="K2240" t="s">
        <v>2649</v>
      </c>
      <c r="L2240" t="s">
        <v>31</v>
      </c>
      <c r="M2240" t="s">
        <v>27</v>
      </c>
      <c r="N2240" t="s">
        <v>27</v>
      </c>
      <c r="O2240" t="s">
        <v>33</v>
      </c>
      <c r="P2240" t="s">
        <v>31</v>
      </c>
      <c r="Q2240" t="s">
        <v>31</v>
      </c>
      <c r="R2240" t="s">
        <v>31</v>
      </c>
      <c r="S2240" t="s">
        <v>31</v>
      </c>
      <c r="T2240" t="s">
        <v>31</v>
      </c>
    </row>
    <row r="2241" spans="1:20" hidden="1" x14ac:dyDescent="0.3">
      <c r="A2241" t="s">
        <v>2066</v>
      </c>
      <c r="B2241" t="s">
        <v>91</v>
      </c>
      <c r="C2241" t="s">
        <v>92</v>
      </c>
      <c r="D2241" t="s">
        <v>93</v>
      </c>
      <c r="E2241">
        <v>2023</v>
      </c>
      <c r="F2241" t="s">
        <v>31</v>
      </c>
      <c r="G2241" t="s">
        <v>5713</v>
      </c>
      <c r="H2241" t="s">
        <v>2666</v>
      </c>
      <c r="I2241" t="s">
        <v>109</v>
      </c>
      <c r="J2241" t="s">
        <v>5714</v>
      </c>
      <c r="K2241" t="s">
        <v>31</v>
      </c>
      <c r="L2241" t="s">
        <v>31</v>
      </c>
      <c r="M2241" t="s">
        <v>27</v>
      </c>
      <c r="N2241" t="s">
        <v>27</v>
      </c>
      <c r="O2241" t="s">
        <v>27</v>
      </c>
      <c r="P2241" t="s">
        <v>31</v>
      </c>
      <c r="Q2241">
        <v>6.8</v>
      </c>
      <c r="R2241">
        <v>-2.8370000000000002</v>
      </c>
      <c r="S2241">
        <v>-79.843999999999994</v>
      </c>
      <c r="T2241" t="s">
        <v>31</v>
      </c>
    </row>
    <row r="2242" spans="1:20" hidden="1" x14ac:dyDescent="0.3">
      <c r="A2242" t="s">
        <v>2067</v>
      </c>
      <c r="B2242" t="s">
        <v>91</v>
      </c>
      <c r="C2242" t="s">
        <v>92</v>
      </c>
      <c r="D2242" t="s">
        <v>93</v>
      </c>
      <c r="E2242">
        <v>2023</v>
      </c>
      <c r="F2242" t="s">
        <v>31</v>
      </c>
      <c r="G2242" t="s">
        <v>5713</v>
      </c>
      <c r="H2242" t="s">
        <v>2678</v>
      </c>
      <c r="I2242" t="s">
        <v>53</v>
      </c>
      <c r="J2242" t="s">
        <v>5715</v>
      </c>
      <c r="K2242" t="s">
        <v>31</v>
      </c>
      <c r="L2242" t="s">
        <v>31</v>
      </c>
      <c r="M2242" t="s">
        <v>27</v>
      </c>
      <c r="N2242" t="s">
        <v>27</v>
      </c>
      <c r="O2242" t="s">
        <v>27</v>
      </c>
      <c r="P2242" t="s">
        <v>31</v>
      </c>
      <c r="Q2242">
        <v>6.8</v>
      </c>
      <c r="R2242">
        <v>-2.8370000000000002</v>
      </c>
      <c r="S2242">
        <v>-79.843999999999994</v>
      </c>
      <c r="T2242" t="s">
        <v>31</v>
      </c>
    </row>
    <row r="2243" spans="1:20" hidden="1" x14ac:dyDescent="0.3">
      <c r="A2243" t="s">
        <v>2068</v>
      </c>
      <c r="B2243" t="s">
        <v>51</v>
      </c>
      <c r="C2243" t="s">
        <v>37</v>
      </c>
      <c r="D2243" t="s">
        <v>52</v>
      </c>
      <c r="E2243">
        <v>2023</v>
      </c>
      <c r="F2243" t="s">
        <v>31</v>
      </c>
      <c r="G2243" t="s">
        <v>31</v>
      </c>
      <c r="H2243" t="s">
        <v>2669</v>
      </c>
      <c r="I2243" t="s">
        <v>111</v>
      </c>
      <c r="J2243" t="s">
        <v>5716</v>
      </c>
      <c r="K2243" t="s">
        <v>2649</v>
      </c>
      <c r="L2243" t="s">
        <v>31</v>
      </c>
      <c r="M2243" t="s">
        <v>27</v>
      </c>
      <c r="N2243" t="s">
        <v>27</v>
      </c>
      <c r="O2243" t="s">
        <v>27</v>
      </c>
      <c r="P2243" t="s">
        <v>31</v>
      </c>
      <c r="Q2243" t="s">
        <v>31</v>
      </c>
      <c r="R2243" t="s">
        <v>31</v>
      </c>
      <c r="S2243" t="s">
        <v>31</v>
      </c>
      <c r="T2243" t="s">
        <v>5717</v>
      </c>
    </row>
    <row r="2244" spans="1:20" hidden="1" x14ac:dyDescent="0.3">
      <c r="A2244" t="s">
        <v>2069</v>
      </c>
      <c r="B2244" t="s">
        <v>28</v>
      </c>
      <c r="C2244" t="s">
        <v>29</v>
      </c>
      <c r="D2244" t="s">
        <v>97</v>
      </c>
      <c r="E2244">
        <v>2023</v>
      </c>
      <c r="F2244">
        <v>5500000</v>
      </c>
      <c r="G2244" t="s">
        <v>5718</v>
      </c>
      <c r="H2244" t="s">
        <v>2645</v>
      </c>
      <c r="I2244" t="s">
        <v>34</v>
      </c>
      <c r="J2244" t="s">
        <v>5719</v>
      </c>
      <c r="K2244" t="s">
        <v>31</v>
      </c>
      <c r="L2244" t="s">
        <v>31</v>
      </c>
      <c r="M2244" t="s">
        <v>27</v>
      </c>
      <c r="N2244" t="s">
        <v>27</v>
      </c>
      <c r="O2244" t="s">
        <v>27</v>
      </c>
      <c r="P2244" t="s">
        <v>31</v>
      </c>
      <c r="Q2244" t="s">
        <v>31</v>
      </c>
      <c r="R2244" t="s">
        <v>31</v>
      </c>
      <c r="S2244" t="s">
        <v>31</v>
      </c>
      <c r="T2244" t="s">
        <v>31</v>
      </c>
    </row>
    <row r="2245" spans="1:20" hidden="1" x14ac:dyDescent="0.3">
      <c r="A2245" t="s">
        <v>2070</v>
      </c>
      <c r="B2245" t="s">
        <v>51</v>
      </c>
      <c r="C2245" t="s">
        <v>37</v>
      </c>
      <c r="D2245" t="s">
        <v>52</v>
      </c>
      <c r="E2245">
        <v>2023</v>
      </c>
      <c r="F2245" t="s">
        <v>31</v>
      </c>
      <c r="G2245" t="s">
        <v>31</v>
      </c>
      <c r="H2245" t="s">
        <v>2656</v>
      </c>
      <c r="I2245" t="s">
        <v>119</v>
      </c>
      <c r="J2245" t="s">
        <v>5720</v>
      </c>
      <c r="K2245" t="s">
        <v>2649</v>
      </c>
      <c r="L2245" t="s">
        <v>54</v>
      </c>
      <c r="M2245" t="s">
        <v>27</v>
      </c>
      <c r="N2245" t="s">
        <v>27</v>
      </c>
      <c r="O2245" t="s">
        <v>33</v>
      </c>
      <c r="P2245" t="s">
        <v>31</v>
      </c>
      <c r="Q2245" t="s">
        <v>31</v>
      </c>
      <c r="R2245" t="s">
        <v>31</v>
      </c>
      <c r="S2245" t="s">
        <v>31</v>
      </c>
      <c r="T2245" t="s">
        <v>31</v>
      </c>
    </row>
    <row r="2246" spans="1:20" hidden="1" x14ac:dyDescent="0.3">
      <c r="A2246" t="s">
        <v>2071</v>
      </c>
      <c r="B2246" t="s">
        <v>51</v>
      </c>
      <c r="C2246" t="s">
        <v>37</v>
      </c>
      <c r="D2246" t="s">
        <v>52</v>
      </c>
      <c r="E2246">
        <v>2023</v>
      </c>
      <c r="F2246" t="s">
        <v>31</v>
      </c>
      <c r="G2246" t="s">
        <v>31</v>
      </c>
      <c r="H2246" t="s">
        <v>2656</v>
      </c>
      <c r="I2246" t="s">
        <v>119</v>
      </c>
      <c r="J2246" t="s">
        <v>5721</v>
      </c>
      <c r="K2246" t="s">
        <v>2649</v>
      </c>
      <c r="L2246" t="s">
        <v>54</v>
      </c>
      <c r="M2246" t="s">
        <v>27</v>
      </c>
      <c r="N2246" t="s">
        <v>27</v>
      </c>
      <c r="O2246" t="s">
        <v>33</v>
      </c>
      <c r="P2246" t="s">
        <v>31</v>
      </c>
      <c r="Q2246" t="s">
        <v>31</v>
      </c>
      <c r="R2246" t="s">
        <v>31</v>
      </c>
      <c r="S2246" t="s">
        <v>31</v>
      </c>
      <c r="T2246" t="s">
        <v>31</v>
      </c>
    </row>
    <row r="2247" spans="1:20" hidden="1" x14ac:dyDescent="0.3">
      <c r="A2247" t="s">
        <v>2072</v>
      </c>
      <c r="B2247" t="s">
        <v>28</v>
      </c>
      <c r="C2247" t="s">
        <v>29</v>
      </c>
      <c r="D2247" t="s">
        <v>64</v>
      </c>
      <c r="E2247">
        <v>2023</v>
      </c>
      <c r="F2247" t="s">
        <v>31</v>
      </c>
      <c r="G2247" t="s">
        <v>31</v>
      </c>
      <c r="H2247" t="s">
        <v>2656</v>
      </c>
      <c r="I2247" t="s">
        <v>119</v>
      </c>
      <c r="J2247" t="s">
        <v>5722</v>
      </c>
      <c r="K2247" t="s">
        <v>2649</v>
      </c>
      <c r="L2247" t="s">
        <v>262</v>
      </c>
      <c r="M2247" t="s">
        <v>27</v>
      </c>
      <c r="N2247" t="s">
        <v>27</v>
      </c>
      <c r="O2247" t="s">
        <v>27</v>
      </c>
      <c r="P2247" t="s">
        <v>31</v>
      </c>
      <c r="Q2247" t="s">
        <v>31</v>
      </c>
      <c r="R2247" t="s">
        <v>31</v>
      </c>
      <c r="S2247" t="s">
        <v>31</v>
      </c>
      <c r="T2247" t="s">
        <v>31</v>
      </c>
    </row>
    <row r="2248" spans="1:20" hidden="1" x14ac:dyDescent="0.3">
      <c r="A2248" t="s">
        <v>2073</v>
      </c>
      <c r="B2248" t="s">
        <v>28</v>
      </c>
      <c r="C2248" t="s">
        <v>29</v>
      </c>
      <c r="D2248" t="s">
        <v>189</v>
      </c>
      <c r="E2248">
        <v>2023</v>
      </c>
      <c r="F2248">
        <v>2200000</v>
      </c>
      <c r="G2248" t="s">
        <v>31</v>
      </c>
      <c r="H2248" t="s">
        <v>2645</v>
      </c>
      <c r="I2248" t="s">
        <v>34</v>
      </c>
      <c r="J2248" t="s">
        <v>5723</v>
      </c>
      <c r="K2248" t="s">
        <v>31</v>
      </c>
      <c r="L2248" t="s">
        <v>65</v>
      </c>
      <c r="M2248" t="s">
        <v>27</v>
      </c>
      <c r="N2248" t="s">
        <v>27</v>
      </c>
      <c r="O2248" t="s">
        <v>27</v>
      </c>
      <c r="P2248" t="s">
        <v>31</v>
      </c>
      <c r="Q2248" t="s">
        <v>31</v>
      </c>
      <c r="R2248" t="s">
        <v>31</v>
      </c>
      <c r="S2248" t="s">
        <v>31</v>
      </c>
      <c r="T2248" t="s">
        <v>31</v>
      </c>
    </row>
    <row r="2249" spans="1:20" hidden="1" x14ac:dyDescent="0.3">
      <c r="A2249" t="s">
        <v>2074</v>
      </c>
      <c r="B2249" t="s">
        <v>28</v>
      </c>
      <c r="C2249" t="s">
        <v>29</v>
      </c>
      <c r="D2249" t="s">
        <v>97</v>
      </c>
      <c r="E2249">
        <v>2023</v>
      </c>
      <c r="F2249">
        <v>4100000</v>
      </c>
      <c r="G2249" t="s">
        <v>31</v>
      </c>
      <c r="H2249" t="s">
        <v>2645</v>
      </c>
      <c r="I2249" t="s">
        <v>34</v>
      </c>
      <c r="J2249" t="s">
        <v>5724</v>
      </c>
      <c r="K2249" t="s">
        <v>31</v>
      </c>
      <c r="L2249" t="s">
        <v>65</v>
      </c>
      <c r="M2249" t="s">
        <v>27</v>
      </c>
      <c r="N2249" t="s">
        <v>27</v>
      </c>
      <c r="O2249" t="s">
        <v>27</v>
      </c>
      <c r="P2249" t="s">
        <v>31</v>
      </c>
      <c r="Q2249" t="s">
        <v>31</v>
      </c>
      <c r="R2249" t="s">
        <v>31</v>
      </c>
      <c r="S2249" t="s">
        <v>31</v>
      </c>
      <c r="T2249" t="s">
        <v>31</v>
      </c>
    </row>
    <row r="2250" spans="1:20" hidden="1" x14ac:dyDescent="0.3">
      <c r="A2250" t="s">
        <v>2075</v>
      </c>
      <c r="B2250" t="s">
        <v>28</v>
      </c>
      <c r="C2250" t="s">
        <v>29</v>
      </c>
      <c r="D2250" t="s">
        <v>30</v>
      </c>
      <c r="E2250">
        <v>2023</v>
      </c>
      <c r="F2250" t="s">
        <v>31</v>
      </c>
      <c r="G2250" t="s">
        <v>31</v>
      </c>
      <c r="H2250" t="s">
        <v>2903</v>
      </c>
      <c r="I2250" t="s">
        <v>148</v>
      </c>
      <c r="J2250" t="s">
        <v>31</v>
      </c>
      <c r="K2250" t="s">
        <v>31</v>
      </c>
      <c r="L2250" t="s">
        <v>31</v>
      </c>
      <c r="M2250" t="s">
        <v>27</v>
      </c>
      <c r="N2250" t="s">
        <v>27</v>
      </c>
      <c r="O2250" t="s">
        <v>27</v>
      </c>
      <c r="P2250" t="s">
        <v>31</v>
      </c>
      <c r="Q2250" t="s">
        <v>31</v>
      </c>
      <c r="R2250" t="s">
        <v>31</v>
      </c>
      <c r="S2250" t="s">
        <v>31</v>
      </c>
      <c r="T2250" t="s">
        <v>31</v>
      </c>
    </row>
    <row r="2251" spans="1:20" hidden="1" x14ac:dyDescent="0.3">
      <c r="A2251" t="s">
        <v>2076</v>
      </c>
      <c r="B2251" t="s">
        <v>51</v>
      </c>
      <c r="C2251" t="s">
        <v>37</v>
      </c>
      <c r="D2251" t="s">
        <v>52</v>
      </c>
      <c r="E2251">
        <v>2023</v>
      </c>
      <c r="F2251">
        <v>765000</v>
      </c>
      <c r="G2251" t="s">
        <v>5725</v>
      </c>
      <c r="H2251" t="s">
        <v>2701</v>
      </c>
      <c r="I2251" t="s">
        <v>60</v>
      </c>
      <c r="J2251" t="s">
        <v>5726</v>
      </c>
      <c r="K2251" t="s">
        <v>2649</v>
      </c>
      <c r="L2251" t="s">
        <v>31</v>
      </c>
      <c r="M2251" t="s">
        <v>27</v>
      </c>
      <c r="N2251" t="s">
        <v>27</v>
      </c>
      <c r="O2251" t="s">
        <v>27</v>
      </c>
      <c r="P2251" t="s">
        <v>31</v>
      </c>
      <c r="Q2251" t="s">
        <v>31</v>
      </c>
      <c r="R2251" t="s">
        <v>31</v>
      </c>
      <c r="S2251" t="s">
        <v>31</v>
      </c>
      <c r="T2251" t="s">
        <v>5727</v>
      </c>
    </row>
    <row r="2252" spans="1:20" hidden="1" x14ac:dyDescent="0.3">
      <c r="A2252" t="s">
        <v>2077</v>
      </c>
      <c r="B2252" t="s">
        <v>51</v>
      </c>
      <c r="C2252" t="s">
        <v>37</v>
      </c>
      <c r="D2252" t="s">
        <v>52</v>
      </c>
      <c r="E2252">
        <v>2023</v>
      </c>
      <c r="F2252" t="s">
        <v>31</v>
      </c>
      <c r="G2252" t="s">
        <v>5728</v>
      </c>
      <c r="H2252" t="s">
        <v>2888</v>
      </c>
      <c r="I2252" t="s">
        <v>75</v>
      </c>
      <c r="J2252" t="s">
        <v>5729</v>
      </c>
      <c r="K2252" t="s">
        <v>31</v>
      </c>
      <c r="L2252" t="s">
        <v>155</v>
      </c>
      <c r="M2252" t="s">
        <v>27</v>
      </c>
      <c r="N2252" t="s">
        <v>27</v>
      </c>
      <c r="O2252" t="s">
        <v>27</v>
      </c>
      <c r="P2252" t="s">
        <v>31</v>
      </c>
      <c r="Q2252" t="s">
        <v>31</v>
      </c>
      <c r="R2252" t="s">
        <v>31</v>
      </c>
      <c r="S2252" t="s">
        <v>31</v>
      </c>
      <c r="T2252" t="s">
        <v>31</v>
      </c>
    </row>
    <row r="2253" spans="1:20" hidden="1" x14ac:dyDescent="0.3">
      <c r="A2253" t="s">
        <v>2078</v>
      </c>
      <c r="B2253" t="s">
        <v>51</v>
      </c>
      <c r="C2253" t="s">
        <v>37</v>
      </c>
      <c r="D2253" t="s">
        <v>52</v>
      </c>
      <c r="E2253">
        <v>2023</v>
      </c>
      <c r="F2253" t="s">
        <v>31</v>
      </c>
      <c r="G2253" t="s">
        <v>5730</v>
      </c>
      <c r="H2253" t="s">
        <v>2658</v>
      </c>
      <c r="I2253" t="s">
        <v>130</v>
      </c>
      <c r="J2253" t="s">
        <v>5731</v>
      </c>
      <c r="K2253" t="s">
        <v>31</v>
      </c>
      <c r="L2253" t="s">
        <v>29</v>
      </c>
      <c r="M2253" t="s">
        <v>27</v>
      </c>
      <c r="N2253" t="s">
        <v>27</v>
      </c>
      <c r="O2253" t="s">
        <v>27</v>
      </c>
      <c r="P2253" t="s">
        <v>31</v>
      </c>
      <c r="Q2253" t="s">
        <v>31</v>
      </c>
      <c r="R2253" t="s">
        <v>31</v>
      </c>
      <c r="S2253" t="s">
        <v>31</v>
      </c>
      <c r="T2253" t="s">
        <v>31</v>
      </c>
    </row>
    <row r="2254" spans="1:20" hidden="1" x14ac:dyDescent="0.3">
      <c r="A2254" t="s">
        <v>2079</v>
      </c>
      <c r="B2254" t="s">
        <v>51</v>
      </c>
      <c r="C2254" t="s">
        <v>37</v>
      </c>
      <c r="D2254" t="s">
        <v>52</v>
      </c>
      <c r="E2254">
        <v>2023</v>
      </c>
      <c r="F2254">
        <v>2200000</v>
      </c>
      <c r="G2254" t="s">
        <v>31</v>
      </c>
      <c r="H2254" t="s">
        <v>2645</v>
      </c>
      <c r="I2254" t="s">
        <v>34</v>
      </c>
      <c r="J2254" t="s">
        <v>5732</v>
      </c>
      <c r="K2254" t="s">
        <v>3489</v>
      </c>
      <c r="L2254" t="s">
        <v>31</v>
      </c>
      <c r="M2254" t="s">
        <v>27</v>
      </c>
      <c r="N2254" t="s">
        <v>27</v>
      </c>
      <c r="O2254" t="s">
        <v>33</v>
      </c>
      <c r="P2254" t="s">
        <v>31</v>
      </c>
      <c r="Q2254" t="s">
        <v>31</v>
      </c>
      <c r="R2254" t="s">
        <v>31</v>
      </c>
      <c r="S2254" t="s">
        <v>31</v>
      </c>
      <c r="T2254" t="s">
        <v>31</v>
      </c>
    </row>
    <row r="2255" spans="1:20" hidden="1" x14ac:dyDescent="0.3">
      <c r="A2255" t="s">
        <v>2080</v>
      </c>
      <c r="B2255" t="s">
        <v>39</v>
      </c>
      <c r="C2255" t="s">
        <v>40</v>
      </c>
      <c r="D2255" t="s">
        <v>142</v>
      </c>
      <c r="E2255">
        <v>2023</v>
      </c>
      <c r="F2255" t="s">
        <v>31</v>
      </c>
      <c r="G2255" t="s">
        <v>31</v>
      </c>
      <c r="H2255" t="s">
        <v>2645</v>
      </c>
      <c r="I2255" t="s">
        <v>34</v>
      </c>
      <c r="J2255" t="s">
        <v>5733</v>
      </c>
      <c r="K2255" t="s">
        <v>31</v>
      </c>
      <c r="L2255" t="s">
        <v>31</v>
      </c>
      <c r="M2255" t="s">
        <v>27</v>
      </c>
      <c r="N2255" t="s">
        <v>27</v>
      </c>
      <c r="O2255" t="s">
        <v>27</v>
      </c>
      <c r="P2255" t="s">
        <v>31</v>
      </c>
      <c r="Q2255" t="s">
        <v>31</v>
      </c>
      <c r="R2255" t="s">
        <v>31</v>
      </c>
      <c r="S2255" t="s">
        <v>31</v>
      </c>
      <c r="T2255" t="s">
        <v>31</v>
      </c>
    </row>
    <row r="2256" spans="1:20" hidden="1" x14ac:dyDescent="0.3">
      <c r="A2256" t="s">
        <v>2081</v>
      </c>
      <c r="B2256" t="s">
        <v>28</v>
      </c>
      <c r="C2256" t="s">
        <v>29</v>
      </c>
      <c r="D2256" t="s">
        <v>30</v>
      </c>
      <c r="E2256">
        <v>2023</v>
      </c>
      <c r="F2256">
        <v>705000</v>
      </c>
      <c r="G2256" t="s">
        <v>31</v>
      </c>
      <c r="H2256" t="s">
        <v>2656</v>
      </c>
      <c r="I2256" t="s">
        <v>119</v>
      </c>
      <c r="J2256" t="s">
        <v>5734</v>
      </c>
      <c r="K2256" t="s">
        <v>31</v>
      </c>
      <c r="L2256" t="s">
        <v>100</v>
      </c>
      <c r="M2256" t="s">
        <v>27</v>
      </c>
      <c r="N2256" t="s">
        <v>27</v>
      </c>
      <c r="O2256" t="s">
        <v>33</v>
      </c>
      <c r="P2256" t="s">
        <v>31</v>
      </c>
      <c r="Q2256" t="s">
        <v>31</v>
      </c>
      <c r="R2256" t="s">
        <v>31</v>
      </c>
      <c r="S2256" t="s">
        <v>31</v>
      </c>
      <c r="T2256" t="s">
        <v>31</v>
      </c>
    </row>
    <row r="2257" spans="1:20" hidden="1" x14ac:dyDescent="0.3">
      <c r="A2257" t="s">
        <v>2082</v>
      </c>
      <c r="B2257" t="s">
        <v>28</v>
      </c>
      <c r="C2257" t="s">
        <v>29</v>
      </c>
      <c r="D2257" t="s">
        <v>64</v>
      </c>
      <c r="E2257">
        <v>2023</v>
      </c>
      <c r="F2257" t="s">
        <v>31</v>
      </c>
      <c r="G2257" t="s">
        <v>31</v>
      </c>
      <c r="H2257" t="s">
        <v>2753</v>
      </c>
      <c r="I2257" t="s">
        <v>49</v>
      </c>
      <c r="J2257" t="s">
        <v>5735</v>
      </c>
      <c r="K2257" t="s">
        <v>31</v>
      </c>
      <c r="L2257" t="s">
        <v>37</v>
      </c>
      <c r="M2257" t="s">
        <v>27</v>
      </c>
      <c r="N2257" t="s">
        <v>27</v>
      </c>
      <c r="O2257" t="s">
        <v>27</v>
      </c>
      <c r="P2257" t="s">
        <v>31</v>
      </c>
      <c r="Q2257" t="s">
        <v>31</v>
      </c>
      <c r="R2257" t="s">
        <v>31</v>
      </c>
      <c r="S2257" t="s">
        <v>31</v>
      </c>
      <c r="T2257" t="s">
        <v>31</v>
      </c>
    </row>
    <row r="2258" spans="1:20" hidden="1" x14ac:dyDescent="0.3">
      <c r="A2258" t="s">
        <v>2083</v>
      </c>
      <c r="B2258" t="s">
        <v>28</v>
      </c>
      <c r="C2258" t="s">
        <v>29</v>
      </c>
      <c r="D2258" t="s">
        <v>64</v>
      </c>
      <c r="E2258">
        <v>2023</v>
      </c>
      <c r="F2258">
        <v>235000</v>
      </c>
      <c r="G2258" t="s">
        <v>31</v>
      </c>
      <c r="H2258" t="s">
        <v>2656</v>
      </c>
      <c r="I2258" t="s">
        <v>119</v>
      </c>
      <c r="J2258" t="s">
        <v>5736</v>
      </c>
      <c r="K2258" t="s">
        <v>31</v>
      </c>
      <c r="L2258" t="s">
        <v>2084</v>
      </c>
      <c r="M2258" t="s">
        <v>27</v>
      </c>
      <c r="N2258" t="s">
        <v>27</v>
      </c>
      <c r="O2258" t="s">
        <v>27</v>
      </c>
      <c r="P2258" t="s">
        <v>31</v>
      </c>
      <c r="Q2258" t="s">
        <v>31</v>
      </c>
      <c r="R2258" t="s">
        <v>31</v>
      </c>
      <c r="S2258" t="s">
        <v>31</v>
      </c>
      <c r="T2258" t="s">
        <v>31</v>
      </c>
    </row>
    <row r="2259" spans="1:20" hidden="1" x14ac:dyDescent="0.3">
      <c r="A2259" t="s">
        <v>2085</v>
      </c>
      <c r="B2259" t="s">
        <v>39</v>
      </c>
      <c r="C2259" t="s">
        <v>40</v>
      </c>
      <c r="D2259" t="s">
        <v>142</v>
      </c>
      <c r="E2259">
        <v>2023</v>
      </c>
      <c r="F2259" t="s">
        <v>31</v>
      </c>
      <c r="G2259" t="s">
        <v>5737</v>
      </c>
      <c r="H2259" t="s">
        <v>2669</v>
      </c>
      <c r="I2259" t="s">
        <v>111</v>
      </c>
      <c r="J2259" t="s">
        <v>5738</v>
      </c>
      <c r="K2259" t="s">
        <v>31</v>
      </c>
      <c r="L2259" t="s">
        <v>31</v>
      </c>
      <c r="M2259" t="s">
        <v>27</v>
      </c>
      <c r="N2259" t="s">
        <v>27</v>
      </c>
      <c r="O2259" t="s">
        <v>27</v>
      </c>
      <c r="P2259" t="s">
        <v>31</v>
      </c>
      <c r="Q2259" t="s">
        <v>31</v>
      </c>
      <c r="R2259" t="s">
        <v>31</v>
      </c>
      <c r="S2259" t="s">
        <v>31</v>
      </c>
      <c r="T2259" t="s">
        <v>31</v>
      </c>
    </row>
    <row r="2260" spans="1:20" hidden="1" x14ac:dyDescent="0.3">
      <c r="A2260" t="s">
        <v>2086</v>
      </c>
      <c r="B2260" t="s">
        <v>51</v>
      </c>
      <c r="C2260" t="s">
        <v>37</v>
      </c>
      <c r="D2260" t="s">
        <v>52</v>
      </c>
      <c r="E2260">
        <v>2023</v>
      </c>
      <c r="F2260" t="s">
        <v>31</v>
      </c>
      <c r="G2260" t="s">
        <v>31</v>
      </c>
      <c r="H2260" t="s">
        <v>2669</v>
      </c>
      <c r="I2260" t="s">
        <v>111</v>
      </c>
      <c r="J2260" t="s">
        <v>5739</v>
      </c>
      <c r="K2260" t="s">
        <v>2649</v>
      </c>
      <c r="L2260" t="s">
        <v>54</v>
      </c>
      <c r="M2260" t="s">
        <v>27</v>
      </c>
      <c r="N2260" t="s">
        <v>27</v>
      </c>
      <c r="O2260" t="s">
        <v>27</v>
      </c>
      <c r="P2260" t="s">
        <v>31</v>
      </c>
      <c r="Q2260" t="s">
        <v>31</v>
      </c>
      <c r="R2260" t="s">
        <v>31</v>
      </c>
      <c r="S2260" t="s">
        <v>31</v>
      </c>
      <c r="T2260" t="s">
        <v>5740</v>
      </c>
    </row>
    <row r="2261" spans="1:20" hidden="1" x14ac:dyDescent="0.3">
      <c r="A2261" t="s">
        <v>2087</v>
      </c>
      <c r="B2261" t="s">
        <v>28</v>
      </c>
      <c r="C2261" t="s">
        <v>29</v>
      </c>
      <c r="D2261" t="s">
        <v>64</v>
      </c>
      <c r="E2261">
        <v>2023</v>
      </c>
      <c r="F2261">
        <v>125000</v>
      </c>
      <c r="G2261" t="s">
        <v>31</v>
      </c>
      <c r="H2261" t="s">
        <v>2658</v>
      </c>
      <c r="I2261" t="s">
        <v>130</v>
      </c>
      <c r="J2261" t="s">
        <v>5741</v>
      </c>
      <c r="K2261" t="s">
        <v>31</v>
      </c>
      <c r="L2261" t="s">
        <v>302</v>
      </c>
      <c r="M2261" t="s">
        <v>27</v>
      </c>
      <c r="N2261" t="s">
        <v>27</v>
      </c>
      <c r="O2261" t="s">
        <v>33</v>
      </c>
      <c r="P2261" t="s">
        <v>31</v>
      </c>
      <c r="Q2261">
        <v>150</v>
      </c>
      <c r="R2261" t="s">
        <v>31</v>
      </c>
      <c r="S2261" t="s">
        <v>31</v>
      </c>
      <c r="T2261" t="s">
        <v>31</v>
      </c>
    </row>
    <row r="2262" spans="1:20" hidden="1" x14ac:dyDescent="0.3">
      <c r="A2262" t="s">
        <v>2088</v>
      </c>
      <c r="B2262" t="s">
        <v>28</v>
      </c>
      <c r="C2262" t="s">
        <v>29</v>
      </c>
      <c r="D2262" t="s">
        <v>64</v>
      </c>
      <c r="E2262">
        <v>2023</v>
      </c>
      <c r="F2262" t="s">
        <v>31</v>
      </c>
      <c r="G2262" t="s">
        <v>31</v>
      </c>
      <c r="H2262" t="s">
        <v>2730</v>
      </c>
      <c r="I2262" t="s">
        <v>57</v>
      </c>
      <c r="J2262" t="s">
        <v>5742</v>
      </c>
      <c r="K2262" t="s">
        <v>31</v>
      </c>
      <c r="L2262" t="s">
        <v>302</v>
      </c>
      <c r="M2262" t="s">
        <v>27</v>
      </c>
      <c r="N2262" t="s">
        <v>27</v>
      </c>
      <c r="O2262" t="s">
        <v>27</v>
      </c>
      <c r="P2262" t="s">
        <v>31</v>
      </c>
      <c r="Q2262">
        <v>167</v>
      </c>
      <c r="R2262" t="s">
        <v>31</v>
      </c>
      <c r="S2262" t="s">
        <v>31</v>
      </c>
      <c r="T2262" t="s">
        <v>31</v>
      </c>
    </row>
    <row r="2263" spans="1:20" hidden="1" x14ac:dyDescent="0.3">
      <c r="A2263" t="s">
        <v>2089</v>
      </c>
      <c r="B2263" t="s">
        <v>39</v>
      </c>
      <c r="C2263" t="s">
        <v>157</v>
      </c>
      <c r="D2263" t="s">
        <v>157</v>
      </c>
      <c r="E2263">
        <v>2023</v>
      </c>
      <c r="F2263" t="s">
        <v>31</v>
      </c>
      <c r="G2263" t="s">
        <v>5743</v>
      </c>
      <c r="H2263" t="s">
        <v>2669</v>
      </c>
      <c r="I2263" t="s">
        <v>111</v>
      </c>
      <c r="J2263" t="s">
        <v>5744</v>
      </c>
      <c r="K2263" t="s">
        <v>3910</v>
      </c>
      <c r="L2263" t="s">
        <v>95</v>
      </c>
      <c r="M2263" t="s">
        <v>27</v>
      </c>
      <c r="N2263" t="s">
        <v>27</v>
      </c>
      <c r="O2263" t="s">
        <v>33</v>
      </c>
      <c r="P2263" t="s">
        <v>31</v>
      </c>
      <c r="Q2263" t="s">
        <v>31</v>
      </c>
      <c r="R2263" t="s">
        <v>31</v>
      </c>
      <c r="S2263" t="s">
        <v>31</v>
      </c>
      <c r="T2263" t="s">
        <v>31</v>
      </c>
    </row>
    <row r="2264" spans="1:20" hidden="1" x14ac:dyDescent="0.3">
      <c r="A2264" t="s">
        <v>225</v>
      </c>
      <c r="B2264" t="s">
        <v>39</v>
      </c>
      <c r="C2264" t="s">
        <v>40</v>
      </c>
      <c r="D2264" t="s">
        <v>142</v>
      </c>
      <c r="E2264">
        <v>2024</v>
      </c>
      <c r="F2264" t="s">
        <v>31</v>
      </c>
      <c r="G2264" t="s">
        <v>31</v>
      </c>
      <c r="H2264" t="s">
        <v>2739</v>
      </c>
      <c r="I2264" t="s">
        <v>77</v>
      </c>
      <c r="J2264" t="s">
        <v>2871</v>
      </c>
      <c r="K2264" t="s">
        <v>31</v>
      </c>
      <c r="L2264" t="s">
        <v>31</v>
      </c>
      <c r="M2264" t="s">
        <v>27</v>
      </c>
      <c r="N2264" t="s">
        <v>27</v>
      </c>
      <c r="O2264" t="s">
        <v>33</v>
      </c>
      <c r="P2264" t="s">
        <v>31</v>
      </c>
      <c r="Q2264" t="s">
        <v>31</v>
      </c>
      <c r="R2264" t="s">
        <v>31</v>
      </c>
      <c r="S2264" t="s">
        <v>31</v>
      </c>
      <c r="T2264" t="s">
        <v>31</v>
      </c>
    </row>
    <row r="2265" spans="1:20" hidden="1" x14ac:dyDescent="0.3">
      <c r="A2265" t="s">
        <v>340</v>
      </c>
      <c r="B2265" t="s">
        <v>28</v>
      </c>
      <c r="C2265" t="s">
        <v>29</v>
      </c>
      <c r="D2265" t="s">
        <v>67</v>
      </c>
      <c r="E2265">
        <v>2024</v>
      </c>
      <c r="F2265">
        <v>3800000</v>
      </c>
      <c r="G2265" t="s">
        <v>31</v>
      </c>
      <c r="H2265" t="s">
        <v>2645</v>
      </c>
      <c r="I2265" t="s">
        <v>34</v>
      </c>
      <c r="J2265" t="s">
        <v>5745</v>
      </c>
      <c r="K2265" t="s">
        <v>31</v>
      </c>
      <c r="L2265" t="s">
        <v>341</v>
      </c>
      <c r="M2265" t="s">
        <v>27</v>
      </c>
      <c r="N2265" t="s">
        <v>27</v>
      </c>
      <c r="O2265" t="s">
        <v>33</v>
      </c>
      <c r="P2265" t="s">
        <v>31</v>
      </c>
      <c r="Q2265" t="s">
        <v>31</v>
      </c>
      <c r="R2265" t="s">
        <v>31</v>
      </c>
      <c r="S2265" t="s">
        <v>31</v>
      </c>
      <c r="T2265" t="s">
        <v>31</v>
      </c>
    </row>
    <row r="2266" spans="1:20" hidden="1" x14ac:dyDescent="0.3">
      <c r="A2266" t="s">
        <v>343</v>
      </c>
      <c r="B2266" t="s">
        <v>51</v>
      </c>
      <c r="C2266" t="s">
        <v>37</v>
      </c>
      <c r="D2266" t="s">
        <v>52</v>
      </c>
      <c r="E2266">
        <v>2024</v>
      </c>
      <c r="F2266">
        <v>100000</v>
      </c>
      <c r="G2266" t="s">
        <v>5746</v>
      </c>
      <c r="H2266" t="s">
        <v>2666</v>
      </c>
      <c r="I2266" t="s">
        <v>109</v>
      </c>
      <c r="J2266" t="s">
        <v>5747</v>
      </c>
      <c r="K2266" t="s">
        <v>4630</v>
      </c>
      <c r="L2266" t="s">
        <v>54</v>
      </c>
      <c r="M2266" t="s">
        <v>27</v>
      </c>
      <c r="N2266" t="s">
        <v>27</v>
      </c>
      <c r="O2266" t="s">
        <v>33</v>
      </c>
      <c r="P2266" t="s">
        <v>31</v>
      </c>
      <c r="Q2266" t="s">
        <v>31</v>
      </c>
      <c r="R2266" t="s">
        <v>31</v>
      </c>
      <c r="S2266" t="s">
        <v>31</v>
      </c>
      <c r="T2266" t="s">
        <v>31</v>
      </c>
    </row>
    <row r="2267" spans="1:20" hidden="1" x14ac:dyDescent="0.3">
      <c r="A2267" t="s">
        <v>349</v>
      </c>
      <c r="B2267" t="s">
        <v>51</v>
      </c>
      <c r="C2267" t="s">
        <v>37</v>
      </c>
      <c r="D2267" t="s">
        <v>52</v>
      </c>
      <c r="E2267">
        <v>2024</v>
      </c>
      <c r="F2267" t="s">
        <v>31</v>
      </c>
      <c r="G2267" t="s">
        <v>5748</v>
      </c>
      <c r="H2267" t="s">
        <v>2669</v>
      </c>
      <c r="I2267" t="s">
        <v>111</v>
      </c>
      <c r="J2267" t="s">
        <v>5749</v>
      </c>
      <c r="K2267" t="s">
        <v>31</v>
      </c>
      <c r="L2267" t="s">
        <v>31</v>
      </c>
      <c r="M2267" t="s">
        <v>27</v>
      </c>
      <c r="N2267" t="s">
        <v>27</v>
      </c>
      <c r="O2267" t="s">
        <v>33</v>
      </c>
      <c r="P2267" t="s">
        <v>31</v>
      </c>
      <c r="Q2267" t="s">
        <v>31</v>
      </c>
      <c r="R2267" t="s">
        <v>31</v>
      </c>
      <c r="S2267" t="s">
        <v>31</v>
      </c>
      <c r="T2267" t="s">
        <v>5750</v>
      </c>
    </row>
    <row r="2268" spans="1:20" hidden="1" x14ac:dyDescent="0.3">
      <c r="A2268" t="s">
        <v>350</v>
      </c>
      <c r="B2268" t="s">
        <v>39</v>
      </c>
      <c r="C2268" t="s">
        <v>40</v>
      </c>
      <c r="D2268" t="s">
        <v>142</v>
      </c>
      <c r="E2268">
        <v>2024</v>
      </c>
      <c r="F2268" t="s">
        <v>31</v>
      </c>
      <c r="G2268" t="s">
        <v>31</v>
      </c>
      <c r="H2268" t="s">
        <v>2701</v>
      </c>
      <c r="I2268" t="s">
        <v>60</v>
      </c>
      <c r="J2268" t="s">
        <v>5751</v>
      </c>
      <c r="K2268" t="s">
        <v>31</v>
      </c>
      <c r="L2268" t="s">
        <v>31</v>
      </c>
      <c r="M2268" t="s">
        <v>27</v>
      </c>
      <c r="N2268" t="s">
        <v>27</v>
      </c>
      <c r="O2268" t="s">
        <v>27</v>
      </c>
      <c r="P2268" t="s">
        <v>31</v>
      </c>
      <c r="Q2268" t="s">
        <v>31</v>
      </c>
      <c r="R2268" t="s">
        <v>31</v>
      </c>
      <c r="S2268" t="s">
        <v>31</v>
      </c>
      <c r="T2268" t="s">
        <v>31</v>
      </c>
    </row>
    <row r="2269" spans="1:20" hidden="1" x14ac:dyDescent="0.3">
      <c r="A2269" t="s">
        <v>351</v>
      </c>
      <c r="B2269" t="s">
        <v>28</v>
      </c>
      <c r="C2269" t="s">
        <v>29</v>
      </c>
      <c r="D2269" t="s">
        <v>64</v>
      </c>
      <c r="E2269">
        <v>2024</v>
      </c>
      <c r="F2269">
        <v>4800000</v>
      </c>
      <c r="G2269" t="s">
        <v>31</v>
      </c>
      <c r="H2269" t="s">
        <v>2645</v>
      </c>
      <c r="I2269" t="s">
        <v>34</v>
      </c>
      <c r="J2269" t="s">
        <v>5752</v>
      </c>
      <c r="K2269" t="s">
        <v>31</v>
      </c>
      <c r="L2269" t="s">
        <v>37</v>
      </c>
      <c r="M2269" t="s">
        <v>27</v>
      </c>
      <c r="N2269" t="s">
        <v>27</v>
      </c>
      <c r="O2269" t="s">
        <v>27</v>
      </c>
      <c r="P2269" t="s">
        <v>31</v>
      </c>
      <c r="Q2269">
        <v>160</v>
      </c>
      <c r="R2269" t="s">
        <v>31</v>
      </c>
      <c r="S2269" t="s">
        <v>31</v>
      </c>
      <c r="T2269" t="s">
        <v>31</v>
      </c>
    </row>
    <row r="2270" spans="1:20" hidden="1" x14ac:dyDescent="0.3">
      <c r="A2270" t="s">
        <v>352</v>
      </c>
      <c r="B2270" t="s">
        <v>28</v>
      </c>
      <c r="C2270" t="s">
        <v>29</v>
      </c>
      <c r="D2270" t="s">
        <v>97</v>
      </c>
      <c r="E2270">
        <v>2024</v>
      </c>
      <c r="F2270">
        <v>1725000</v>
      </c>
      <c r="G2270" t="s">
        <v>31</v>
      </c>
      <c r="H2270" t="s">
        <v>2645</v>
      </c>
      <c r="I2270" t="s">
        <v>34</v>
      </c>
      <c r="J2270" t="s">
        <v>5753</v>
      </c>
      <c r="K2270" t="s">
        <v>31</v>
      </c>
      <c r="L2270" t="s">
        <v>37</v>
      </c>
      <c r="M2270" t="s">
        <v>27</v>
      </c>
      <c r="N2270" t="s">
        <v>27</v>
      </c>
      <c r="O2270" t="s">
        <v>33</v>
      </c>
      <c r="P2270" t="s">
        <v>31</v>
      </c>
      <c r="Q2270" t="s">
        <v>31</v>
      </c>
      <c r="R2270" t="s">
        <v>31</v>
      </c>
      <c r="S2270" t="s">
        <v>31</v>
      </c>
      <c r="T2270" t="s">
        <v>31</v>
      </c>
    </row>
    <row r="2271" spans="1:20" hidden="1" x14ac:dyDescent="0.3">
      <c r="A2271" t="s">
        <v>353</v>
      </c>
      <c r="B2271" t="s">
        <v>28</v>
      </c>
      <c r="C2271" t="s">
        <v>29</v>
      </c>
      <c r="D2271" t="s">
        <v>30</v>
      </c>
      <c r="E2271">
        <v>2024</v>
      </c>
      <c r="F2271" t="s">
        <v>31</v>
      </c>
      <c r="G2271" t="s">
        <v>5754</v>
      </c>
      <c r="H2271" t="s">
        <v>2739</v>
      </c>
      <c r="I2271" t="s">
        <v>77</v>
      </c>
      <c r="J2271" t="s">
        <v>5755</v>
      </c>
      <c r="K2271" t="s">
        <v>31</v>
      </c>
      <c r="L2271" t="s">
        <v>37</v>
      </c>
      <c r="M2271" t="s">
        <v>27</v>
      </c>
      <c r="N2271" t="s">
        <v>27</v>
      </c>
      <c r="O2271" t="s">
        <v>27</v>
      </c>
      <c r="P2271" t="s">
        <v>31</v>
      </c>
      <c r="Q2271" t="s">
        <v>31</v>
      </c>
      <c r="R2271" t="s">
        <v>31</v>
      </c>
      <c r="S2271" t="s">
        <v>31</v>
      </c>
      <c r="T2271" t="s">
        <v>31</v>
      </c>
    </row>
    <row r="2272" spans="1:20" hidden="1" x14ac:dyDescent="0.3">
      <c r="A2272" t="s">
        <v>358</v>
      </c>
      <c r="B2272" t="s">
        <v>28</v>
      </c>
      <c r="C2272" t="s">
        <v>29</v>
      </c>
      <c r="D2272" t="s">
        <v>30</v>
      </c>
      <c r="E2272">
        <v>2024</v>
      </c>
      <c r="F2272">
        <v>140000</v>
      </c>
      <c r="G2272" t="s">
        <v>31</v>
      </c>
      <c r="H2272" t="s">
        <v>2672</v>
      </c>
      <c r="I2272" t="s">
        <v>73</v>
      </c>
      <c r="J2272" t="s">
        <v>5756</v>
      </c>
      <c r="K2272" t="s">
        <v>31</v>
      </c>
      <c r="L2272" t="s">
        <v>82</v>
      </c>
      <c r="M2272" t="s">
        <v>27</v>
      </c>
      <c r="N2272" t="s">
        <v>27</v>
      </c>
      <c r="O2272" t="s">
        <v>27</v>
      </c>
      <c r="P2272" t="s">
        <v>31</v>
      </c>
      <c r="Q2272" t="s">
        <v>31</v>
      </c>
      <c r="R2272" t="s">
        <v>31</v>
      </c>
      <c r="S2272" t="s">
        <v>31</v>
      </c>
      <c r="T2272" t="s">
        <v>31</v>
      </c>
    </row>
    <row r="2273" spans="1:20" hidden="1" x14ac:dyDescent="0.3">
      <c r="A2273" t="s">
        <v>359</v>
      </c>
      <c r="B2273" t="s">
        <v>28</v>
      </c>
      <c r="C2273" t="s">
        <v>29</v>
      </c>
      <c r="D2273" t="s">
        <v>30</v>
      </c>
      <c r="E2273">
        <v>2024</v>
      </c>
      <c r="F2273" t="s">
        <v>31</v>
      </c>
      <c r="G2273" t="s">
        <v>5754</v>
      </c>
      <c r="H2273" t="s">
        <v>2959</v>
      </c>
      <c r="I2273" t="s">
        <v>144</v>
      </c>
      <c r="J2273" t="s">
        <v>31</v>
      </c>
      <c r="K2273" t="s">
        <v>31</v>
      </c>
      <c r="L2273" t="s">
        <v>87</v>
      </c>
      <c r="M2273" t="s">
        <v>27</v>
      </c>
      <c r="N2273" t="s">
        <v>27</v>
      </c>
      <c r="O2273" t="s">
        <v>27</v>
      </c>
      <c r="P2273" t="s">
        <v>31</v>
      </c>
      <c r="Q2273" t="s">
        <v>31</v>
      </c>
      <c r="R2273" t="s">
        <v>31</v>
      </c>
      <c r="S2273" t="s">
        <v>31</v>
      </c>
      <c r="T2273" t="s">
        <v>31</v>
      </c>
    </row>
    <row r="2274" spans="1:20" hidden="1" x14ac:dyDescent="0.3">
      <c r="A2274" t="s">
        <v>360</v>
      </c>
      <c r="B2274" t="s">
        <v>28</v>
      </c>
      <c r="C2274" t="s">
        <v>29</v>
      </c>
      <c r="D2274" t="s">
        <v>30</v>
      </c>
      <c r="E2274">
        <v>2024</v>
      </c>
      <c r="F2274" t="s">
        <v>31</v>
      </c>
      <c r="G2274" t="s">
        <v>5754</v>
      </c>
      <c r="H2274" t="s">
        <v>2709</v>
      </c>
      <c r="I2274" t="s">
        <v>70</v>
      </c>
      <c r="J2274" t="s">
        <v>5757</v>
      </c>
      <c r="K2274" t="s">
        <v>31</v>
      </c>
      <c r="L2274" t="s">
        <v>37</v>
      </c>
      <c r="M2274" t="s">
        <v>27</v>
      </c>
      <c r="N2274" t="s">
        <v>27</v>
      </c>
      <c r="O2274" t="s">
        <v>27</v>
      </c>
      <c r="P2274" t="s">
        <v>31</v>
      </c>
      <c r="Q2274" t="s">
        <v>31</v>
      </c>
      <c r="R2274" t="s">
        <v>31</v>
      </c>
      <c r="S2274" t="s">
        <v>31</v>
      </c>
      <c r="T2274" t="s">
        <v>31</v>
      </c>
    </row>
    <row r="2275" spans="1:20" hidden="1" x14ac:dyDescent="0.3">
      <c r="A2275" t="s">
        <v>365</v>
      </c>
      <c r="B2275" t="s">
        <v>28</v>
      </c>
      <c r="C2275" t="s">
        <v>29</v>
      </c>
      <c r="D2275" t="s">
        <v>30</v>
      </c>
      <c r="E2275">
        <v>2024</v>
      </c>
      <c r="F2275" t="s">
        <v>31</v>
      </c>
      <c r="G2275" t="s">
        <v>31</v>
      </c>
      <c r="H2275" t="s">
        <v>2672</v>
      </c>
      <c r="I2275" t="s">
        <v>73</v>
      </c>
      <c r="J2275" t="s">
        <v>5758</v>
      </c>
      <c r="K2275" t="s">
        <v>31</v>
      </c>
      <c r="L2275" t="s">
        <v>82</v>
      </c>
      <c r="M2275" t="s">
        <v>27</v>
      </c>
      <c r="N2275" t="s">
        <v>27</v>
      </c>
      <c r="O2275" t="s">
        <v>27</v>
      </c>
      <c r="P2275" t="s">
        <v>31</v>
      </c>
      <c r="Q2275">
        <v>65</v>
      </c>
      <c r="R2275" t="s">
        <v>31</v>
      </c>
      <c r="S2275" t="s">
        <v>31</v>
      </c>
      <c r="T2275" t="s">
        <v>31</v>
      </c>
    </row>
    <row r="2276" spans="1:20" hidden="1" x14ac:dyDescent="0.3">
      <c r="A2276" t="s">
        <v>366</v>
      </c>
      <c r="B2276" t="s">
        <v>51</v>
      </c>
      <c r="C2276" t="s">
        <v>37</v>
      </c>
      <c r="D2276" t="s">
        <v>52</v>
      </c>
      <c r="E2276">
        <v>2024</v>
      </c>
      <c r="F2276">
        <v>1100000</v>
      </c>
      <c r="G2276" t="s">
        <v>31</v>
      </c>
      <c r="H2276" t="s">
        <v>2645</v>
      </c>
      <c r="I2276" t="s">
        <v>34</v>
      </c>
      <c r="J2276" t="s">
        <v>5759</v>
      </c>
      <c r="K2276" t="s">
        <v>2649</v>
      </c>
      <c r="L2276" t="s">
        <v>31</v>
      </c>
      <c r="M2276" t="s">
        <v>27</v>
      </c>
      <c r="N2276" t="s">
        <v>27</v>
      </c>
      <c r="O2276" t="s">
        <v>27</v>
      </c>
      <c r="P2276" t="s">
        <v>31</v>
      </c>
      <c r="Q2276" t="s">
        <v>31</v>
      </c>
      <c r="R2276" t="s">
        <v>31</v>
      </c>
      <c r="S2276" t="s">
        <v>31</v>
      </c>
      <c r="T2276" t="s">
        <v>31</v>
      </c>
    </row>
    <row r="2277" spans="1:20" hidden="1" x14ac:dyDescent="0.3">
      <c r="A2277" t="s">
        <v>373</v>
      </c>
      <c r="B2277" t="s">
        <v>39</v>
      </c>
      <c r="C2277" t="s">
        <v>40</v>
      </c>
      <c r="D2277" t="s">
        <v>142</v>
      </c>
      <c r="E2277">
        <v>2024</v>
      </c>
      <c r="F2277" t="s">
        <v>31</v>
      </c>
      <c r="G2277" t="s">
        <v>31</v>
      </c>
      <c r="H2277" t="s">
        <v>2645</v>
      </c>
      <c r="I2277" t="s">
        <v>34</v>
      </c>
      <c r="J2277" t="s">
        <v>5760</v>
      </c>
      <c r="K2277" t="s">
        <v>31</v>
      </c>
      <c r="L2277" t="s">
        <v>95</v>
      </c>
      <c r="M2277" t="s">
        <v>27</v>
      </c>
      <c r="N2277" t="s">
        <v>27</v>
      </c>
      <c r="O2277" t="s">
        <v>33</v>
      </c>
      <c r="P2277" t="s">
        <v>31</v>
      </c>
      <c r="Q2277" t="s">
        <v>31</v>
      </c>
      <c r="R2277" t="s">
        <v>31</v>
      </c>
      <c r="S2277" t="s">
        <v>31</v>
      </c>
      <c r="T2277" t="s">
        <v>31</v>
      </c>
    </row>
    <row r="2278" spans="1:20" hidden="1" x14ac:dyDescent="0.3">
      <c r="A2278" t="s">
        <v>375</v>
      </c>
      <c r="B2278" t="s">
        <v>28</v>
      </c>
      <c r="C2278" t="s">
        <v>29</v>
      </c>
      <c r="D2278" t="s">
        <v>30</v>
      </c>
      <c r="E2278">
        <v>2024</v>
      </c>
      <c r="F2278" t="s">
        <v>31</v>
      </c>
      <c r="G2278" t="s">
        <v>31</v>
      </c>
      <c r="H2278" t="s">
        <v>2672</v>
      </c>
      <c r="I2278" t="s">
        <v>73</v>
      </c>
      <c r="J2278" t="s">
        <v>5761</v>
      </c>
      <c r="K2278" t="s">
        <v>31</v>
      </c>
      <c r="L2278" t="s">
        <v>37</v>
      </c>
      <c r="M2278" t="s">
        <v>27</v>
      </c>
      <c r="N2278" t="s">
        <v>27</v>
      </c>
      <c r="O2278" t="s">
        <v>27</v>
      </c>
      <c r="P2278" t="s">
        <v>31</v>
      </c>
      <c r="Q2278" t="s">
        <v>31</v>
      </c>
      <c r="R2278" t="s">
        <v>31</v>
      </c>
      <c r="S2278" t="s">
        <v>31</v>
      </c>
      <c r="T2278" t="s">
        <v>31</v>
      </c>
    </row>
    <row r="2279" spans="1:20" hidden="1" x14ac:dyDescent="0.3">
      <c r="A2279" t="s">
        <v>377</v>
      </c>
      <c r="B2279" t="s">
        <v>28</v>
      </c>
      <c r="C2279" t="s">
        <v>29</v>
      </c>
      <c r="D2279" t="s">
        <v>30</v>
      </c>
      <c r="E2279">
        <v>2024</v>
      </c>
      <c r="F2279" t="s">
        <v>31</v>
      </c>
      <c r="G2279" t="s">
        <v>31</v>
      </c>
      <c r="H2279" t="s">
        <v>2672</v>
      </c>
      <c r="I2279" t="s">
        <v>73</v>
      </c>
      <c r="J2279" t="s">
        <v>5762</v>
      </c>
      <c r="K2279" t="s">
        <v>31</v>
      </c>
      <c r="L2279" t="s">
        <v>85</v>
      </c>
      <c r="M2279" t="s">
        <v>27</v>
      </c>
      <c r="N2279" t="s">
        <v>27</v>
      </c>
      <c r="O2279" t="s">
        <v>27</v>
      </c>
      <c r="P2279" t="s">
        <v>31</v>
      </c>
      <c r="Q2279">
        <v>213</v>
      </c>
      <c r="R2279" t="s">
        <v>31</v>
      </c>
      <c r="S2279" t="s">
        <v>31</v>
      </c>
      <c r="T2279" t="s">
        <v>31</v>
      </c>
    </row>
    <row r="2280" spans="1:20" hidden="1" x14ac:dyDescent="0.3">
      <c r="A2280" t="s">
        <v>379</v>
      </c>
      <c r="B2280" t="s">
        <v>91</v>
      </c>
      <c r="C2280" t="s">
        <v>2712</v>
      </c>
      <c r="D2280" t="s">
        <v>380</v>
      </c>
      <c r="E2280">
        <v>2024</v>
      </c>
      <c r="F2280" t="s">
        <v>31</v>
      </c>
      <c r="G2280" t="s">
        <v>31</v>
      </c>
      <c r="H2280" t="s">
        <v>2647</v>
      </c>
      <c r="I2280" t="s">
        <v>47</v>
      </c>
      <c r="J2280" t="s">
        <v>5763</v>
      </c>
      <c r="K2280" t="s">
        <v>31</v>
      </c>
      <c r="L2280" t="s">
        <v>31</v>
      </c>
      <c r="M2280" t="s">
        <v>27</v>
      </c>
      <c r="N2280" t="s">
        <v>27</v>
      </c>
      <c r="O2280" t="s">
        <v>27</v>
      </c>
      <c r="P2280" t="s">
        <v>31</v>
      </c>
      <c r="Q2280" t="s">
        <v>31</v>
      </c>
      <c r="R2280" t="s">
        <v>31</v>
      </c>
      <c r="S2280" t="s">
        <v>31</v>
      </c>
      <c r="T2280" t="s">
        <v>31</v>
      </c>
    </row>
    <row r="2281" spans="1:20" hidden="1" x14ac:dyDescent="0.3">
      <c r="A2281" t="s">
        <v>383</v>
      </c>
      <c r="B2281" t="s">
        <v>28</v>
      </c>
      <c r="C2281" t="s">
        <v>29</v>
      </c>
      <c r="D2281" t="s">
        <v>30</v>
      </c>
      <c r="E2281">
        <v>2024</v>
      </c>
      <c r="F2281" t="s">
        <v>31</v>
      </c>
      <c r="G2281" t="s">
        <v>5764</v>
      </c>
      <c r="H2281" t="s">
        <v>2675</v>
      </c>
      <c r="I2281" t="s">
        <v>81</v>
      </c>
      <c r="J2281" t="s">
        <v>31</v>
      </c>
      <c r="K2281" t="s">
        <v>31</v>
      </c>
      <c r="L2281" t="s">
        <v>31</v>
      </c>
      <c r="M2281" t="s">
        <v>27</v>
      </c>
      <c r="N2281" t="s">
        <v>27</v>
      </c>
      <c r="O2281" t="s">
        <v>27</v>
      </c>
      <c r="P2281" t="s">
        <v>31</v>
      </c>
      <c r="Q2281" t="s">
        <v>31</v>
      </c>
      <c r="R2281" t="s">
        <v>31</v>
      </c>
      <c r="S2281" t="s">
        <v>31</v>
      </c>
      <c r="T2281" t="s">
        <v>31</v>
      </c>
    </row>
    <row r="2282" spans="1:20" hidden="1" x14ac:dyDescent="0.3">
      <c r="A2282" t="s">
        <v>386</v>
      </c>
      <c r="B2282" t="s">
        <v>51</v>
      </c>
      <c r="C2282" t="s">
        <v>37</v>
      </c>
      <c r="D2282" t="s">
        <v>52</v>
      </c>
      <c r="E2282">
        <v>2024</v>
      </c>
      <c r="F2282" t="s">
        <v>31</v>
      </c>
      <c r="G2282" t="s">
        <v>31</v>
      </c>
      <c r="H2282" t="s">
        <v>2695</v>
      </c>
      <c r="I2282" t="s">
        <v>161</v>
      </c>
      <c r="J2282" t="s">
        <v>5765</v>
      </c>
      <c r="K2282" t="s">
        <v>2649</v>
      </c>
      <c r="L2282" t="s">
        <v>31</v>
      </c>
      <c r="M2282" t="s">
        <v>27</v>
      </c>
      <c r="N2282" t="s">
        <v>27</v>
      </c>
      <c r="O2282" t="s">
        <v>27</v>
      </c>
      <c r="P2282" t="s">
        <v>31</v>
      </c>
      <c r="Q2282" t="s">
        <v>31</v>
      </c>
      <c r="R2282" t="s">
        <v>31</v>
      </c>
      <c r="S2282" t="s">
        <v>31</v>
      </c>
      <c r="T2282" t="s">
        <v>31</v>
      </c>
    </row>
    <row r="2283" spans="1:20" hidden="1" x14ac:dyDescent="0.3">
      <c r="A2283" t="s">
        <v>390</v>
      </c>
      <c r="B2283" t="s">
        <v>51</v>
      </c>
      <c r="C2283" t="s">
        <v>37</v>
      </c>
      <c r="D2283" t="s">
        <v>52</v>
      </c>
      <c r="E2283">
        <v>2024</v>
      </c>
      <c r="F2283" t="s">
        <v>31</v>
      </c>
      <c r="G2283" t="s">
        <v>31</v>
      </c>
      <c r="H2283" t="s">
        <v>2749</v>
      </c>
      <c r="I2283" t="s">
        <v>45</v>
      </c>
      <c r="J2283" t="s">
        <v>5766</v>
      </c>
      <c r="K2283" t="s">
        <v>2649</v>
      </c>
      <c r="L2283" t="s">
        <v>54</v>
      </c>
      <c r="M2283" t="s">
        <v>27</v>
      </c>
      <c r="N2283" t="s">
        <v>27</v>
      </c>
      <c r="O2283" t="s">
        <v>27</v>
      </c>
      <c r="P2283" t="s">
        <v>31</v>
      </c>
      <c r="Q2283" t="s">
        <v>31</v>
      </c>
      <c r="R2283" t="s">
        <v>31</v>
      </c>
      <c r="S2283" t="s">
        <v>31</v>
      </c>
      <c r="T2283" t="s">
        <v>31</v>
      </c>
    </row>
    <row r="2284" spans="1:20" hidden="1" x14ac:dyDescent="0.3">
      <c r="A2284" t="s">
        <v>392</v>
      </c>
      <c r="B2284" t="s">
        <v>51</v>
      </c>
      <c r="C2284" t="s">
        <v>37</v>
      </c>
      <c r="D2284" t="s">
        <v>52</v>
      </c>
      <c r="E2284">
        <v>2024</v>
      </c>
      <c r="F2284" t="s">
        <v>31</v>
      </c>
      <c r="G2284" t="s">
        <v>31</v>
      </c>
      <c r="H2284" t="s">
        <v>2749</v>
      </c>
      <c r="I2284" t="s">
        <v>45</v>
      </c>
      <c r="J2284" t="s">
        <v>5767</v>
      </c>
      <c r="K2284" t="s">
        <v>2649</v>
      </c>
      <c r="L2284" t="s">
        <v>31</v>
      </c>
      <c r="M2284" t="s">
        <v>27</v>
      </c>
      <c r="N2284" t="s">
        <v>27</v>
      </c>
      <c r="O2284" t="s">
        <v>27</v>
      </c>
      <c r="P2284" t="s">
        <v>31</v>
      </c>
      <c r="Q2284" t="s">
        <v>31</v>
      </c>
      <c r="R2284" t="s">
        <v>31</v>
      </c>
      <c r="S2284" t="s">
        <v>31</v>
      </c>
      <c r="T2284" t="s">
        <v>31</v>
      </c>
    </row>
    <row r="2285" spans="1:20" hidden="1" x14ac:dyDescent="0.3">
      <c r="A2285" t="s">
        <v>393</v>
      </c>
      <c r="B2285" t="s">
        <v>39</v>
      </c>
      <c r="C2285" t="s">
        <v>157</v>
      </c>
      <c r="D2285" t="s">
        <v>157</v>
      </c>
      <c r="E2285">
        <v>2024</v>
      </c>
      <c r="F2285" t="s">
        <v>31</v>
      </c>
      <c r="G2285" t="s">
        <v>5768</v>
      </c>
      <c r="H2285" t="s">
        <v>2647</v>
      </c>
      <c r="I2285" t="s">
        <v>47</v>
      </c>
      <c r="J2285" t="s">
        <v>5769</v>
      </c>
      <c r="K2285" t="s">
        <v>3910</v>
      </c>
      <c r="L2285" t="s">
        <v>394</v>
      </c>
      <c r="M2285" t="s">
        <v>27</v>
      </c>
      <c r="N2285" t="s">
        <v>27</v>
      </c>
      <c r="O2285" t="s">
        <v>33</v>
      </c>
      <c r="P2285" t="s">
        <v>31</v>
      </c>
      <c r="Q2285" t="s">
        <v>31</v>
      </c>
      <c r="R2285" t="s">
        <v>31</v>
      </c>
      <c r="S2285" t="s">
        <v>31</v>
      </c>
      <c r="T2285" t="s">
        <v>31</v>
      </c>
    </row>
    <row r="2286" spans="1:20" hidden="1" x14ac:dyDescent="0.3">
      <c r="A2286" t="s">
        <v>445</v>
      </c>
      <c r="B2286" t="s">
        <v>39</v>
      </c>
      <c r="C2286" t="s">
        <v>157</v>
      </c>
      <c r="D2286" t="s">
        <v>157</v>
      </c>
      <c r="E2286">
        <v>2024</v>
      </c>
      <c r="F2286" t="s">
        <v>31</v>
      </c>
      <c r="G2286" t="s">
        <v>5770</v>
      </c>
      <c r="H2286" t="s">
        <v>2898</v>
      </c>
      <c r="I2286" t="s">
        <v>446</v>
      </c>
      <c r="J2286" t="s">
        <v>5771</v>
      </c>
      <c r="K2286" t="s">
        <v>31</v>
      </c>
      <c r="L2286" t="s">
        <v>447</v>
      </c>
      <c r="M2286" t="s">
        <v>27</v>
      </c>
      <c r="N2286" t="s">
        <v>27</v>
      </c>
      <c r="O2286" t="s">
        <v>33</v>
      </c>
      <c r="P2286" t="s">
        <v>31</v>
      </c>
      <c r="Q2286" t="s">
        <v>31</v>
      </c>
      <c r="R2286" t="s">
        <v>31</v>
      </c>
      <c r="S2286" t="s">
        <v>31</v>
      </c>
      <c r="T2286" t="s">
        <v>31</v>
      </c>
    </row>
    <row r="2287" spans="1:20" hidden="1" x14ac:dyDescent="0.3">
      <c r="A2287" t="s">
        <v>448</v>
      </c>
      <c r="B2287" t="s">
        <v>39</v>
      </c>
      <c r="C2287" t="s">
        <v>40</v>
      </c>
      <c r="D2287" t="s">
        <v>142</v>
      </c>
      <c r="E2287">
        <v>2024</v>
      </c>
      <c r="F2287" t="s">
        <v>31</v>
      </c>
      <c r="G2287" t="s">
        <v>31</v>
      </c>
      <c r="H2287" t="s">
        <v>2645</v>
      </c>
      <c r="I2287" t="s">
        <v>34</v>
      </c>
      <c r="J2287" t="s">
        <v>5772</v>
      </c>
      <c r="K2287" t="s">
        <v>31</v>
      </c>
      <c r="L2287" t="s">
        <v>31</v>
      </c>
      <c r="M2287" t="s">
        <v>27</v>
      </c>
      <c r="N2287" t="s">
        <v>27</v>
      </c>
      <c r="O2287" t="s">
        <v>27</v>
      </c>
      <c r="P2287" t="s">
        <v>31</v>
      </c>
      <c r="Q2287" t="s">
        <v>31</v>
      </c>
      <c r="R2287" t="s">
        <v>31</v>
      </c>
      <c r="S2287" t="s">
        <v>31</v>
      </c>
      <c r="T2287" t="s">
        <v>31</v>
      </c>
    </row>
    <row r="2288" spans="1:20" hidden="1" x14ac:dyDescent="0.3">
      <c r="A2288" t="s">
        <v>449</v>
      </c>
      <c r="B2288" t="s">
        <v>51</v>
      </c>
      <c r="C2288" t="s">
        <v>37</v>
      </c>
      <c r="D2288" t="s">
        <v>52</v>
      </c>
      <c r="E2288">
        <v>2024</v>
      </c>
      <c r="F2288" t="s">
        <v>31</v>
      </c>
      <c r="G2288" t="s">
        <v>31</v>
      </c>
      <c r="H2288" t="s">
        <v>2669</v>
      </c>
      <c r="I2288" t="s">
        <v>111</v>
      </c>
      <c r="J2288" t="s">
        <v>5773</v>
      </c>
      <c r="K2288" t="s">
        <v>2649</v>
      </c>
      <c r="L2288" t="s">
        <v>54</v>
      </c>
      <c r="M2288" t="s">
        <v>27</v>
      </c>
      <c r="N2288" t="s">
        <v>27</v>
      </c>
      <c r="O2288" t="s">
        <v>27</v>
      </c>
      <c r="P2288" t="s">
        <v>31</v>
      </c>
      <c r="Q2288" t="s">
        <v>31</v>
      </c>
      <c r="R2288" t="s">
        <v>31</v>
      </c>
      <c r="S2288" t="s">
        <v>31</v>
      </c>
      <c r="T2288" t="s">
        <v>5774</v>
      </c>
    </row>
    <row r="2289" spans="1:20" hidden="1" x14ac:dyDescent="0.3">
      <c r="A2289" t="s">
        <v>450</v>
      </c>
      <c r="B2289" t="s">
        <v>28</v>
      </c>
      <c r="C2289" t="s">
        <v>29</v>
      </c>
      <c r="D2289" t="s">
        <v>30</v>
      </c>
      <c r="E2289">
        <v>2024</v>
      </c>
      <c r="F2289" t="s">
        <v>31</v>
      </c>
      <c r="G2289" t="s">
        <v>5764</v>
      </c>
      <c r="H2289" t="s">
        <v>2749</v>
      </c>
      <c r="I2289" t="s">
        <v>45</v>
      </c>
      <c r="J2289" t="s">
        <v>31</v>
      </c>
      <c r="K2289" t="s">
        <v>31</v>
      </c>
      <c r="L2289" t="s">
        <v>31</v>
      </c>
      <c r="M2289" t="s">
        <v>27</v>
      </c>
      <c r="N2289" t="s">
        <v>27</v>
      </c>
      <c r="O2289" t="s">
        <v>27</v>
      </c>
      <c r="P2289" t="s">
        <v>31</v>
      </c>
      <c r="Q2289" t="s">
        <v>31</v>
      </c>
      <c r="R2289" t="s">
        <v>31</v>
      </c>
      <c r="S2289" t="s">
        <v>31</v>
      </c>
      <c r="T2289" t="s">
        <v>31</v>
      </c>
    </row>
    <row r="2290" spans="1:20" hidden="1" x14ac:dyDescent="0.3">
      <c r="A2290" t="s">
        <v>451</v>
      </c>
      <c r="B2290" t="s">
        <v>28</v>
      </c>
      <c r="C2290" t="s">
        <v>29</v>
      </c>
      <c r="D2290" t="s">
        <v>30</v>
      </c>
      <c r="E2290">
        <v>2024</v>
      </c>
      <c r="F2290" t="s">
        <v>31</v>
      </c>
      <c r="G2290" t="s">
        <v>5764</v>
      </c>
      <c r="H2290" t="s">
        <v>2888</v>
      </c>
      <c r="I2290" t="s">
        <v>75</v>
      </c>
      <c r="J2290" t="s">
        <v>5775</v>
      </c>
      <c r="K2290" t="s">
        <v>31</v>
      </c>
      <c r="L2290" t="s">
        <v>37</v>
      </c>
      <c r="M2290" t="s">
        <v>27</v>
      </c>
      <c r="N2290" t="s">
        <v>27</v>
      </c>
      <c r="O2290" t="s">
        <v>27</v>
      </c>
      <c r="P2290" t="s">
        <v>31</v>
      </c>
      <c r="Q2290" t="s">
        <v>31</v>
      </c>
      <c r="R2290" t="s">
        <v>31</v>
      </c>
      <c r="S2290" t="s">
        <v>31</v>
      </c>
      <c r="T2290" t="s">
        <v>31</v>
      </c>
    </row>
    <row r="2291" spans="1:20" hidden="1" x14ac:dyDescent="0.3">
      <c r="A2291" t="s">
        <v>452</v>
      </c>
      <c r="B2291" t="s">
        <v>91</v>
      </c>
      <c r="C2291" t="s">
        <v>92</v>
      </c>
      <c r="D2291" t="s">
        <v>93</v>
      </c>
      <c r="E2291">
        <v>2024</v>
      </c>
      <c r="F2291" t="s">
        <v>31</v>
      </c>
      <c r="G2291" t="s">
        <v>5776</v>
      </c>
      <c r="H2291" t="s">
        <v>2716</v>
      </c>
      <c r="I2291" t="s">
        <v>242</v>
      </c>
      <c r="J2291" t="s">
        <v>5777</v>
      </c>
      <c r="K2291" t="s">
        <v>31</v>
      </c>
      <c r="L2291" t="s">
        <v>54</v>
      </c>
      <c r="M2291" t="s">
        <v>27</v>
      </c>
      <c r="N2291" t="s">
        <v>27</v>
      </c>
      <c r="O2291" t="s">
        <v>27</v>
      </c>
      <c r="P2291" t="s">
        <v>31</v>
      </c>
      <c r="Q2291">
        <v>6.8</v>
      </c>
      <c r="R2291">
        <v>19.812000000000001</v>
      </c>
      <c r="S2291">
        <v>-77.039000000000001</v>
      </c>
      <c r="T2291" t="s">
        <v>31</v>
      </c>
    </row>
    <row r="2292" spans="1:20" hidden="1" x14ac:dyDescent="0.3">
      <c r="A2292" t="s">
        <v>453</v>
      </c>
      <c r="B2292" t="s">
        <v>28</v>
      </c>
      <c r="C2292" t="s">
        <v>29</v>
      </c>
      <c r="D2292" t="s">
        <v>64</v>
      </c>
      <c r="E2292">
        <v>2024</v>
      </c>
      <c r="F2292" t="s">
        <v>31</v>
      </c>
      <c r="G2292" t="s">
        <v>31</v>
      </c>
      <c r="H2292" t="s">
        <v>2645</v>
      </c>
      <c r="I2292" t="s">
        <v>34</v>
      </c>
      <c r="J2292" t="s">
        <v>5778</v>
      </c>
      <c r="K2292" t="s">
        <v>31</v>
      </c>
      <c r="L2292" t="s">
        <v>104</v>
      </c>
      <c r="M2292" t="s">
        <v>27</v>
      </c>
      <c r="N2292" t="s">
        <v>27</v>
      </c>
      <c r="O2292" t="s">
        <v>33</v>
      </c>
      <c r="P2292" t="s">
        <v>31</v>
      </c>
      <c r="Q2292" t="s">
        <v>31</v>
      </c>
      <c r="R2292" t="s">
        <v>31</v>
      </c>
      <c r="S2292" t="s">
        <v>31</v>
      </c>
      <c r="T2292" t="s">
        <v>31</v>
      </c>
    </row>
    <row r="2293" spans="1:20" hidden="1" x14ac:dyDescent="0.3">
      <c r="A2293" t="s">
        <v>454</v>
      </c>
      <c r="B2293" t="s">
        <v>28</v>
      </c>
      <c r="C2293" t="s">
        <v>29</v>
      </c>
      <c r="D2293" t="s">
        <v>30</v>
      </c>
      <c r="E2293">
        <v>2024</v>
      </c>
      <c r="F2293" t="s">
        <v>31</v>
      </c>
      <c r="G2293" t="s">
        <v>31</v>
      </c>
      <c r="H2293" t="s">
        <v>2672</v>
      </c>
      <c r="I2293" t="s">
        <v>73</v>
      </c>
      <c r="J2293" t="s">
        <v>5779</v>
      </c>
      <c r="K2293" t="s">
        <v>31</v>
      </c>
      <c r="L2293" t="s">
        <v>31</v>
      </c>
      <c r="M2293" t="s">
        <v>27</v>
      </c>
      <c r="N2293" t="s">
        <v>27</v>
      </c>
      <c r="O2293" t="s">
        <v>27</v>
      </c>
      <c r="P2293" t="s">
        <v>31</v>
      </c>
      <c r="Q2293" t="s">
        <v>31</v>
      </c>
      <c r="R2293" t="s">
        <v>31</v>
      </c>
      <c r="S2293" t="s">
        <v>31</v>
      </c>
      <c r="T2293" t="s">
        <v>31</v>
      </c>
    </row>
    <row r="2294" spans="1:20" hidden="1" x14ac:dyDescent="0.3">
      <c r="A2294" t="s">
        <v>455</v>
      </c>
      <c r="B2294" t="s">
        <v>28</v>
      </c>
      <c r="C2294" t="s">
        <v>29</v>
      </c>
      <c r="D2294" t="s">
        <v>30</v>
      </c>
      <c r="E2294">
        <v>2024</v>
      </c>
      <c r="F2294">
        <v>80000000</v>
      </c>
      <c r="G2294" t="s">
        <v>31</v>
      </c>
      <c r="H2294" t="s">
        <v>2645</v>
      </c>
      <c r="I2294" t="s">
        <v>34</v>
      </c>
      <c r="J2294" t="s">
        <v>5780</v>
      </c>
      <c r="K2294" t="s">
        <v>31</v>
      </c>
      <c r="L2294" t="s">
        <v>85</v>
      </c>
      <c r="M2294" t="s">
        <v>27</v>
      </c>
      <c r="N2294" t="s">
        <v>27</v>
      </c>
      <c r="O2294" t="s">
        <v>27</v>
      </c>
      <c r="P2294" t="s">
        <v>31</v>
      </c>
      <c r="Q2294">
        <v>225</v>
      </c>
      <c r="R2294" t="s">
        <v>31</v>
      </c>
      <c r="S2294" t="s">
        <v>31</v>
      </c>
      <c r="T2294" t="s">
        <v>31</v>
      </c>
    </row>
    <row r="2295" spans="1:20" hidden="1" x14ac:dyDescent="0.3">
      <c r="A2295" t="s">
        <v>456</v>
      </c>
      <c r="B2295" t="s">
        <v>28</v>
      </c>
      <c r="C2295" t="s">
        <v>29</v>
      </c>
      <c r="D2295" t="s">
        <v>30</v>
      </c>
      <c r="E2295">
        <v>2024</v>
      </c>
      <c r="F2295" t="s">
        <v>31</v>
      </c>
      <c r="G2295" t="s">
        <v>31</v>
      </c>
      <c r="H2295" t="s">
        <v>2716</v>
      </c>
      <c r="I2295" t="s">
        <v>242</v>
      </c>
      <c r="J2295" t="s">
        <v>5781</v>
      </c>
      <c r="K2295" t="s">
        <v>31</v>
      </c>
      <c r="L2295" t="s">
        <v>85</v>
      </c>
      <c r="M2295" t="s">
        <v>27</v>
      </c>
      <c r="N2295" t="s">
        <v>27</v>
      </c>
      <c r="O2295" t="s">
        <v>27</v>
      </c>
      <c r="P2295" t="s">
        <v>31</v>
      </c>
      <c r="Q2295" t="s">
        <v>31</v>
      </c>
      <c r="R2295" t="s">
        <v>31</v>
      </c>
      <c r="S2295" t="s">
        <v>31</v>
      </c>
      <c r="T2295" t="s">
        <v>31</v>
      </c>
    </row>
    <row r="2296" spans="1:20" hidden="1" x14ac:dyDescent="0.3">
      <c r="A2296" t="s">
        <v>457</v>
      </c>
      <c r="B2296" t="s">
        <v>28</v>
      </c>
      <c r="C2296" t="s">
        <v>29</v>
      </c>
      <c r="D2296" t="s">
        <v>65</v>
      </c>
      <c r="E2296">
        <v>2024</v>
      </c>
      <c r="F2296">
        <v>2700000</v>
      </c>
      <c r="G2296" t="s">
        <v>31</v>
      </c>
      <c r="H2296" t="s">
        <v>2739</v>
      </c>
      <c r="I2296" t="s">
        <v>77</v>
      </c>
      <c r="J2296" t="s">
        <v>5291</v>
      </c>
      <c r="K2296" t="s">
        <v>31</v>
      </c>
      <c r="L2296" t="s">
        <v>37</v>
      </c>
      <c r="M2296" t="s">
        <v>27</v>
      </c>
      <c r="N2296" t="s">
        <v>27</v>
      </c>
      <c r="O2296" t="s">
        <v>27</v>
      </c>
      <c r="P2296" t="s">
        <v>31</v>
      </c>
      <c r="Q2296">
        <v>100</v>
      </c>
      <c r="R2296" t="s">
        <v>31</v>
      </c>
      <c r="S2296" t="s">
        <v>31</v>
      </c>
      <c r="T2296" t="s">
        <v>31</v>
      </c>
    </row>
    <row r="2297" spans="1:20" hidden="1" x14ac:dyDescent="0.3">
      <c r="A2297" t="s">
        <v>458</v>
      </c>
      <c r="B2297" t="s">
        <v>39</v>
      </c>
      <c r="C2297" t="s">
        <v>40</v>
      </c>
      <c r="D2297" t="s">
        <v>142</v>
      </c>
      <c r="E2297">
        <v>2024</v>
      </c>
      <c r="F2297">
        <v>100000</v>
      </c>
      <c r="G2297" t="s">
        <v>5782</v>
      </c>
      <c r="H2297" t="s">
        <v>2669</v>
      </c>
      <c r="I2297" t="s">
        <v>111</v>
      </c>
      <c r="J2297" t="s">
        <v>5783</v>
      </c>
      <c r="K2297" t="s">
        <v>31</v>
      </c>
      <c r="L2297" t="s">
        <v>31</v>
      </c>
      <c r="M2297" t="s">
        <v>27</v>
      </c>
      <c r="N2297" t="s">
        <v>27</v>
      </c>
      <c r="O2297" t="s">
        <v>33</v>
      </c>
      <c r="P2297" t="s">
        <v>31</v>
      </c>
      <c r="Q2297" t="s">
        <v>31</v>
      </c>
      <c r="R2297" t="s">
        <v>31</v>
      </c>
      <c r="S2297" t="s">
        <v>31</v>
      </c>
      <c r="T2297" t="s">
        <v>31</v>
      </c>
    </row>
    <row r="2298" spans="1:20" hidden="1" x14ac:dyDescent="0.3">
      <c r="A2298" t="s">
        <v>459</v>
      </c>
      <c r="B2298" t="s">
        <v>28</v>
      </c>
      <c r="C2298" t="s">
        <v>29</v>
      </c>
      <c r="D2298" t="s">
        <v>189</v>
      </c>
      <c r="E2298">
        <v>2024</v>
      </c>
      <c r="F2298">
        <v>2400000</v>
      </c>
      <c r="G2298" t="s">
        <v>31</v>
      </c>
      <c r="H2298" t="s">
        <v>2645</v>
      </c>
      <c r="I2298" t="s">
        <v>34</v>
      </c>
      <c r="J2298" t="s">
        <v>5784</v>
      </c>
      <c r="K2298" t="s">
        <v>31</v>
      </c>
      <c r="L2298" t="s">
        <v>37</v>
      </c>
      <c r="M2298" t="s">
        <v>27</v>
      </c>
      <c r="N2298" t="s">
        <v>27</v>
      </c>
      <c r="O2298" t="s">
        <v>33</v>
      </c>
      <c r="P2298" t="s">
        <v>31</v>
      </c>
      <c r="Q2298" t="s">
        <v>31</v>
      </c>
      <c r="R2298" t="s">
        <v>31</v>
      </c>
      <c r="S2298" t="s">
        <v>31</v>
      </c>
      <c r="T2298" t="s">
        <v>31</v>
      </c>
    </row>
    <row r="2299" spans="1:20" hidden="1" x14ac:dyDescent="0.3">
      <c r="A2299" t="s">
        <v>460</v>
      </c>
      <c r="B2299" t="s">
        <v>28</v>
      </c>
      <c r="C2299" t="s">
        <v>29</v>
      </c>
      <c r="D2299" t="s">
        <v>30</v>
      </c>
      <c r="E2299">
        <v>2024</v>
      </c>
      <c r="F2299">
        <v>230600</v>
      </c>
      <c r="G2299" t="s">
        <v>5754</v>
      </c>
      <c r="H2299" t="s">
        <v>2903</v>
      </c>
      <c r="I2299" t="s">
        <v>148</v>
      </c>
      <c r="J2299" t="s">
        <v>5785</v>
      </c>
      <c r="K2299" t="s">
        <v>31</v>
      </c>
      <c r="L2299" t="s">
        <v>31</v>
      </c>
      <c r="M2299" t="s">
        <v>27</v>
      </c>
      <c r="N2299" t="s">
        <v>27</v>
      </c>
      <c r="O2299" t="s">
        <v>33</v>
      </c>
      <c r="P2299" t="s">
        <v>31</v>
      </c>
      <c r="Q2299">
        <v>265</v>
      </c>
      <c r="R2299" t="s">
        <v>31</v>
      </c>
      <c r="S2299" t="s">
        <v>31</v>
      </c>
      <c r="T2299" t="s">
        <v>31</v>
      </c>
    </row>
    <row r="2300" spans="1:20" hidden="1" x14ac:dyDescent="0.3">
      <c r="A2300" t="s">
        <v>461</v>
      </c>
      <c r="B2300" t="s">
        <v>28</v>
      </c>
      <c r="C2300" t="s">
        <v>29</v>
      </c>
      <c r="D2300" t="s">
        <v>30</v>
      </c>
      <c r="E2300">
        <v>2024</v>
      </c>
      <c r="F2300">
        <v>7200000</v>
      </c>
      <c r="G2300" t="s">
        <v>5754</v>
      </c>
      <c r="H2300" t="s">
        <v>2645</v>
      </c>
      <c r="I2300" t="s">
        <v>34</v>
      </c>
      <c r="J2300" t="s">
        <v>5466</v>
      </c>
      <c r="K2300" t="s">
        <v>31</v>
      </c>
      <c r="L2300" t="s">
        <v>37</v>
      </c>
      <c r="M2300" t="s">
        <v>27</v>
      </c>
      <c r="N2300" t="s">
        <v>27</v>
      </c>
      <c r="O2300" t="s">
        <v>33</v>
      </c>
      <c r="P2300" t="s">
        <v>31</v>
      </c>
      <c r="Q2300">
        <v>130</v>
      </c>
      <c r="R2300" t="s">
        <v>31</v>
      </c>
      <c r="S2300" t="s">
        <v>31</v>
      </c>
      <c r="T2300" t="s">
        <v>31</v>
      </c>
    </row>
    <row r="2301" spans="1:20" hidden="1" x14ac:dyDescent="0.3">
      <c r="A2301" t="s">
        <v>462</v>
      </c>
      <c r="B2301" t="s">
        <v>39</v>
      </c>
      <c r="C2301" t="s">
        <v>40</v>
      </c>
      <c r="D2301" t="s">
        <v>41</v>
      </c>
      <c r="E2301">
        <v>2024</v>
      </c>
      <c r="F2301">
        <v>1200000</v>
      </c>
      <c r="G2301" t="s">
        <v>31</v>
      </c>
      <c r="H2301" t="s">
        <v>2645</v>
      </c>
      <c r="I2301" t="s">
        <v>34</v>
      </c>
      <c r="J2301" t="s">
        <v>5786</v>
      </c>
      <c r="K2301" t="s">
        <v>31</v>
      </c>
      <c r="L2301" t="s">
        <v>31</v>
      </c>
      <c r="M2301" t="s">
        <v>27</v>
      </c>
      <c r="N2301" t="s">
        <v>27</v>
      </c>
      <c r="O2301" t="s">
        <v>33</v>
      </c>
      <c r="P2301" t="s">
        <v>31</v>
      </c>
      <c r="Q2301" t="s">
        <v>31</v>
      </c>
      <c r="R2301" t="s">
        <v>31</v>
      </c>
      <c r="S2301" t="s">
        <v>31</v>
      </c>
      <c r="T2301" t="s">
        <v>31</v>
      </c>
    </row>
    <row r="2302" spans="1:20" hidden="1" x14ac:dyDescent="0.3">
      <c r="A2302" t="s">
        <v>463</v>
      </c>
      <c r="B2302" t="s">
        <v>28</v>
      </c>
      <c r="C2302" t="s">
        <v>29</v>
      </c>
      <c r="D2302" t="s">
        <v>30</v>
      </c>
      <c r="E2302">
        <v>2024</v>
      </c>
      <c r="F2302" t="s">
        <v>31</v>
      </c>
      <c r="G2302" t="s">
        <v>31</v>
      </c>
      <c r="H2302" t="s">
        <v>2719</v>
      </c>
      <c r="I2302" t="s">
        <v>90</v>
      </c>
      <c r="J2302" t="s">
        <v>5787</v>
      </c>
      <c r="K2302" t="s">
        <v>31</v>
      </c>
      <c r="L2302" t="s">
        <v>82</v>
      </c>
      <c r="M2302" t="s">
        <v>27</v>
      </c>
      <c r="N2302" t="s">
        <v>27</v>
      </c>
      <c r="O2302" t="s">
        <v>27</v>
      </c>
      <c r="P2302" t="s">
        <v>31</v>
      </c>
      <c r="Q2302" t="s">
        <v>31</v>
      </c>
      <c r="R2302" t="s">
        <v>31</v>
      </c>
      <c r="S2302" t="s">
        <v>31</v>
      </c>
      <c r="T2302" t="s">
        <v>31</v>
      </c>
    </row>
    <row r="2303" spans="1:20" hidden="1" x14ac:dyDescent="0.3">
      <c r="A2303" t="s">
        <v>464</v>
      </c>
      <c r="B2303" t="s">
        <v>28</v>
      </c>
      <c r="C2303" t="s">
        <v>29</v>
      </c>
      <c r="D2303" t="s">
        <v>64</v>
      </c>
      <c r="E2303">
        <v>2024</v>
      </c>
      <c r="F2303">
        <v>540000</v>
      </c>
      <c r="G2303" t="s">
        <v>31</v>
      </c>
      <c r="H2303" t="s">
        <v>2701</v>
      </c>
      <c r="I2303" t="s">
        <v>60</v>
      </c>
      <c r="J2303" t="s">
        <v>5788</v>
      </c>
      <c r="K2303" t="s">
        <v>31</v>
      </c>
      <c r="L2303" t="s">
        <v>104</v>
      </c>
      <c r="M2303" t="s">
        <v>27</v>
      </c>
      <c r="N2303" t="s">
        <v>27</v>
      </c>
      <c r="O2303" t="s">
        <v>27</v>
      </c>
      <c r="P2303" t="s">
        <v>31</v>
      </c>
      <c r="Q2303" t="s">
        <v>31</v>
      </c>
      <c r="R2303" t="s">
        <v>31</v>
      </c>
      <c r="S2303" t="s">
        <v>31</v>
      </c>
      <c r="T2303" t="s">
        <v>31</v>
      </c>
    </row>
    <row r="2304" spans="1:20" hidden="1" x14ac:dyDescent="0.3">
      <c r="A2304" t="s">
        <v>465</v>
      </c>
      <c r="B2304" t="s">
        <v>28</v>
      </c>
      <c r="C2304" t="s">
        <v>29</v>
      </c>
      <c r="D2304" t="s">
        <v>64</v>
      </c>
      <c r="E2304">
        <v>2024</v>
      </c>
      <c r="F2304" t="s">
        <v>31</v>
      </c>
      <c r="G2304" t="s">
        <v>5789</v>
      </c>
      <c r="H2304" t="s">
        <v>2680</v>
      </c>
      <c r="I2304" t="s">
        <v>115</v>
      </c>
      <c r="J2304" t="s">
        <v>5790</v>
      </c>
      <c r="K2304" t="s">
        <v>4969</v>
      </c>
      <c r="L2304" t="s">
        <v>82</v>
      </c>
      <c r="M2304" t="s">
        <v>27</v>
      </c>
      <c r="N2304" t="s">
        <v>27</v>
      </c>
      <c r="O2304" t="s">
        <v>33</v>
      </c>
      <c r="P2304" t="s">
        <v>31</v>
      </c>
      <c r="Q2304" t="s">
        <v>31</v>
      </c>
      <c r="R2304" t="s">
        <v>31</v>
      </c>
      <c r="S2304" t="s">
        <v>31</v>
      </c>
      <c r="T2304" t="s">
        <v>31</v>
      </c>
    </row>
    <row r="2305" spans="1:20" hidden="1" x14ac:dyDescent="0.3">
      <c r="A2305" t="s">
        <v>466</v>
      </c>
      <c r="B2305" t="s">
        <v>51</v>
      </c>
      <c r="C2305" t="s">
        <v>37</v>
      </c>
      <c r="D2305" t="s">
        <v>52</v>
      </c>
      <c r="E2305">
        <v>2024</v>
      </c>
      <c r="F2305" t="s">
        <v>31</v>
      </c>
      <c r="G2305" t="s">
        <v>31</v>
      </c>
      <c r="H2305" t="s">
        <v>2719</v>
      </c>
      <c r="I2305" t="s">
        <v>90</v>
      </c>
      <c r="J2305" t="s">
        <v>5791</v>
      </c>
      <c r="K2305" t="s">
        <v>2649</v>
      </c>
      <c r="L2305" t="s">
        <v>31</v>
      </c>
      <c r="M2305" t="s">
        <v>27</v>
      </c>
      <c r="N2305" t="s">
        <v>27</v>
      </c>
      <c r="O2305" t="s">
        <v>27</v>
      </c>
      <c r="P2305" t="s">
        <v>31</v>
      </c>
      <c r="Q2305" t="s">
        <v>31</v>
      </c>
      <c r="R2305" t="s">
        <v>31</v>
      </c>
      <c r="S2305" t="s">
        <v>31</v>
      </c>
      <c r="T2305" t="s">
        <v>31</v>
      </c>
    </row>
    <row r="2306" spans="1:20" hidden="1" x14ac:dyDescent="0.3">
      <c r="A2306" t="s">
        <v>467</v>
      </c>
      <c r="B2306" t="s">
        <v>51</v>
      </c>
      <c r="C2306" t="s">
        <v>37</v>
      </c>
      <c r="D2306" t="s">
        <v>52</v>
      </c>
      <c r="E2306">
        <v>2024</v>
      </c>
      <c r="F2306">
        <v>540000</v>
      </c>
      <c r="G2306" t="s">
        <v>31</v>
      </c>
      <c r="H2306" t="s">
        <v>2701</v>
      </c>
      <c r="I2306" t="s">
        <v>60</v>
      </c>
      <c r="J2306" t="s">
        <v>5792</v>
      </c>
      <c r="K2306" t="s">
        <v>2649</v>
      </c>
      <c r="L2306" t="s">
        <v>468</v>
      </c>
      <c r="M2306" t="s">
        <v>27</v>
      </c>
      <c r="N2306" t="s">
        <v>27</v>
      </c>
      <c r="O2306" t="s">
        <v>27</v>
      </c>
      <c r="P2306" t="s">
        <v>31</v>
      </c>
      <c r="Q2306" t="s">
        <v>31</v>
      </c>
      <c r="R2306" t="s">
        <v>31</v>
      </c>
      <c r="S2306" t="s">
        <v>31</v>
      </c>
      <c r="T2306" t="s">
        <v>31</v>
      </c>
    </row>
    <row r="2307" spans="1:20" hidden="1" x14ac:dyDescent="0.3">
      <c r="A2307" t="s">
        <v>469</v>
      </c>
      <c r="B2307" t="s">
        <v>39</v>
      </c>
      <c r="C2307" t="s">
        <v>40</v>
      </c>
      <c r="D2307" t="s">
        <v>142</v>
      </c>
      <c r="E2307">
        <v>2024</v>
      </c>
      <c r="F2307" t="s">
        <v>31</v>
      </c>
      <c r="G2307" t="s">
        <v>5793</v>
      </c>
      <c r="H2307" t="s">
        <v>2706</v>
      </c>
      <c r="I2307" t="s">
        <v>32</v>
      </c>
      <c r="J2307" t="s">
        <v>5794</v>
      </c>
      <c r="K2307" t="s">
        <v>31</v>
      </c>
      <c r="L2307" t="s">
        <v>31</v>
      </c>
      <c r="M2307" t="s">
        <v>27</v>
      </c>
      <c r="N2307" t="s">
        <v>27</v>
      </c>
      <c r="O2307" t="s">
        <v>27</v>
      </c>
      <c r="P2307" t="s">
        <v>31</v>
      </c>
      <c r="Q2307" t="s">
        <v>31</v>
      </c>
      <c r="R2307" t="s">
        <v>31</v>
      </c>
      <c r="S2307" t="s">
        <v>31</v>
      </c>
      <c r="T2307" t="s">
        <v>31</v>
      </c>
    </row>
    <row r="2308" spans="1:20" hidden="1" x14ac:dyDescent="0.3">
      <c r="A2308" t="s">
        <v>470</v>
      </c>
      <c r="B2308" t="s">
        <v>28</v>
      </c>
      <c r="C2308" t="s">
        <v>29</v>
      </c>
      <c r="D2308" t="s">
        <v>97</v>
      </c>
      <c r="E2308">
        <v>2024</v>
      </c>
      <c r="F2308" t="s">
        <v>31</v>
      </c>
      <c r="G2308" t="s">
        <v>31</v>
      </c>
      <c r="H2308" t="s">
        <v>2645</v>
      </c>
      <c r="I2308" t="s">
        <v>34</v>
      </c>
      <c r="J2308" t="s">
        <v>5795</v>
      </c>
      <c r="K2308" t="s">
        <v>31</v>
      </c>
      <c r="L2308" t="s">
        <v>31</v>
      </c>
      <c r="M2308" t="s">
        <v>27</v>
      </c>
      <c r="N2308" t="s">
        <v>27</v>
      </c>
      <c r="O2308" t="s">
        <v>33</v>
      </c>
      <c r="P2308" t="s">
        <v>31</v>
      </c>
      <c r="Q2308" t="s">
        <v>31</v>
      </c>
      <c r="R2308" t="s">
        <v>31</v>
      </c>
      <c r="S2308" t="s">
        <v>31</v>
      </c>
      <c r="T2308" t="s">
        <v>31</v>
      </c>
    </row>
    <row r="2309" spans="1:20" hidden="1" x14ac:dyDescent="0.3">
      <c r="A2309" t="s">
        <v>471</v>
      </c>
      <c r="B2309" t="s">
        <v>51</v>
      </c>
      <c r="C2309" t="s">
        <v>2655</v>
      </c>
      <c r="D2309" t="s">
        <v>134</v>
      </c>
      <c r="E2309">
        <v>2024</v>
      </c>
      <c r="F2309" t="s">
        <v>31</v>
      </c>
      <c r="G2309" t="s">
        <v>31</v>
      </c>
      <c r="H2309" t="s">
        <v>2749</v>
      </c>
      <c r="I2309" t="s">
        <v>45</v>
      </c>
      <c r="J2309" t="s">
        <v>5796</v>
      </c>
      <c r="K2309" t="s">
        <v>2649</v>
      </c>
      <c r="L2309" t="s">
        <v>37</v>
      </c>
      <c r="M2309" t="s">
        <v>27</v>
      </c>
      <c r="N2309" t="s">
        <v>27</v>
      </c>
      <c r="O2309" t="s">
        <v>27</v>
      </c>
      <c r="P2309" t="s">
        <v>31</v>
      </c>
      <c r="Q2309" t="s">
        <v>31</v>
      </c>
      <c r="R2309" t="s">
        <v>31</v>
      </c>
      <c r="S2309" t="s">
        <v>31</v>
      </c>
      <c r="T2309" t="s">
        <v>31</v>
      </c>
    </row>
    <row r="2310" spans="1:20" x14ac:dyDescent="0.3">
      <c r="A2310" t="s">
        <v>472</v>
      </c>
      <c r="B2310" t="s">
        <v>51</v>
      </c>
      <c r="C2310" t="s">
        <v>37</v>
      </c>
      <c r="D2310" t="s">
        <v>52</v>
      </c>
      <c r="E2310">
        <v>2024</v>
      </c>
      <c r="F2310">
        <v>7000000</v>
      </c>
      <c r="G2310" t="s">
        <v>5797</v>
      </c>
      <c r="H2310" t="s">
        <v>2656</v>
      </c>
      <c r="I2310" t="s">
        <v>119</v>
      </c>
      <c r="J2310" t="s">
        <v>2589</v>
      </c>
      <c r="K2310" t="s">
        <v>31</v>
      </c>
      <c r="L2310" t="s">
        <v>473</v>
      </c>
      <c r="M2310" t="s">
        <v>27</v>
      </c>
      <c r="N2310" t="s">
        <v>27</v>
      </c>
      <c r="O2310" t="s">
        <v>33</v>
      </c>
      <c r="P2310" t="s">
        <v>31</v>
      </c>
      <c r="Q2310" t="s">
        <v>31</v>
      </c>
      <c r="R2310" t="s">
        <v>31</v>
      </c>
      <c r="S2310" t="s">
        <v>31</v>
      </c>
      <c r="T2310" t="s">
        <v>31</v>
      </c>
    </row>
    <row r="2311" spans="1:20" hidden="1" x14ac:dyDescent="0.3">
      <c r="A2311" t="s">
        <v>474</v>
      </c>
      <c r="B2311" t="s">
        <v>28</v>
      </c>
      <c r="C2311" t="s">
        <v>29</v>
      </c>
      <c r="D2311" t="s">
        <v>64</v>
      </c>
      <c r="E2311">
        <v>2024</v>
      </c>
      <c r="F2311">
        <v>2650000</v>
      </c>
      <c r="G2311" t="s">
        <v>31</v>
      </c>
      <c r="H2311" t="s">
        <v>2645</v>
      </c>
      <c r="I2311" t="s">
        <v>34</v>
      </c>
      <c r="J2311" t="s">
        <v>5798</v>
      </c>
      <c r="K2311" t="s">
        <v>5799</v>
      </c>
      <c r="L2311" t="s">
        <v>475</v>
      </c>
      <c r="M2311" t="s">
        <v>27</v>
      </c>
      <c r="N2311" t="s">
        <v>27</v>
      </c>
      <c r="O2311" t="s">
        <v>27</v>
      </c>
      <c r="P2311" t="s">
        <v>31</v>
      </c>
      <c r="Q2311" t="s">
        <v>31</v>
      </c>
      <c r="R2311" t="s">
        <v>31</v>
      </c>
      <c r="S2311" t="s">
        <v>31</v>
      </c>
      <c r="T2311" t="s">
        <v>31</v>
      </c>
    </row>
    <row r="2312" spans="1:20" x14ac:dyDescent="0.3">
      <c r="A2312" t="s">
        <v>476</v>
      </c>
      <c r="B2312" t="s">
        <v>51</v>
      </c>
      <c r="C2312" t="s">
        <v>37</v>
      </c>
      <c r="D2312" t="s">
        <v>52</v>
      </c>
      <c r="E2312">
        <v>2024</v>
      </c>
      <c r="F2312">
        <v>300000</v>
      </c>
      <c r="G2312" t="s">
        <v>31</v>
      </c>
      <c r="H2312" t="s">
        <v>2656</v>
      </c>
      <c r="I2312" t="s">
        <v>119</v>
      </c>
      <c r="J2312" t="s">
        <v>2590</v>
      </c>
      <c r="K2312" t="s">
        <v>2649</v>
      </c>
      <c r="L2312" t="s">
        <v>31</v>
      </c>
      <c r="M2312" t="s">
        <v>27</v>
      </c>
      <c r="N2312" t="s">
        <v>27</v>
      </c>
      <c r="O2312" t="s">
        <v>33</v>
      </c>
      <c r="P2312" t="s">
        <v>31</v>
      </c>
      <c r="Q2312" t="s">
        <v>31</v>
      </c>
      <c r="R2312" t="s">
        <v>31</v>
      </c>
      <c r="S2312" t="s">
        <v>31</v>
      </c>
      <c r="T2312" t="s">
        <v>31</v>
      </c>
    </row>
    <row r="2313" spans="1:20" hidden="1" x14ac:dyDescent="0.3">
      <c r="A2313" t="s">
        <v>477</v>
      </c>
      <c r="B2313" t="s">
        <v>28</v>
      </c>
      <c r="C2313" t="s">
        <v>29</v>
      </c>
      <c r="D2313" t="s">
        <v>97</v>
      </c>
      <c r="E2313">
        <v>2024</v>
      </c>
      <c r="F2313">
        <v>5900000</v>
      </c>
      <c r="G2313" t="s">
        <v>31</v>
      </c>
      <c r="H2313" t="s">
        <v>2645</v>
      </c>
      <c r="I2313" t="s">
        <v>34</v>
      </c>
      <c r="J2313" t="s">
        <v>5800</v>
      </c>
      <c r="K2313" t="s">
        <v>31</v>
      </c>
      <c r="L2313" t="s">
        <v>65</v>
      </c>
      <c r="M2313" t="s">
        <v>27</v>
      </c>
      <c r="N2313" t="s">
        <v>27</v>
      </c>
      <c r="O2313" t="s">
        <v>27</v>
      </c>
      <c r="P2313" t="s">
        <v>31</v>
      </c>
      <c r="Q2313" t="s">
        <v>31</v>
      </c>
      <c r="R2313" t="s">
        <v>31</v>
      </c>
      <c r="S2313" t="s">
        <v>31</v>
      </c>
      <c r="T2313" t="s">
        <v>31</v>
      </c>
    </row>
    <row r="2314" spans="1:20" hidden="1" x14ac:dyDescent="0.3">
      <c r="A2314" t="s">
        <v>478</v>
      </c>
      <c r="B2314" t="s">
        <v>28</v>
      </c>
      <c r="C2314" t="s">
        <v>29</v>
      </c>
      <c r="D2314" t="s">
        <v>64</v>
      </c>
      <c r="E2314">
        <v>2024</v>
      </c>
      <c r="F2314" t="s">
        <v>31</v>
      </c>
      <c r="G2314" t="s">
        <v>5801</v>
      </c>
      <c r="H2314" t="s">
        <v>2716</v>
      </c>
      <c r="I2314" t="s">
        <v>242</v>
      </c>
      <c r="J2314" t="s">
        <v>5802</v>
      </c>
      <c r="K2314" t="s">
        <v>31</v>
      </c>
      <c r="L2314" t="s">
        <v>479</v>
      </c>
      <c r="M2314" t="s">
        <v>27</v>
      </c>
      <c r="N2314" t="s">
        <v>27</v>
      </c>
      <c r="O2314" t="s">
        <v>27</v>
      </c>
      <c r="P2314" t="s">
        <v>31</v>
      </c>
      <c r="Q2314" t="s">
        <v>31</v>
      </c>
      <c r="R2314" t="s">
        <v>31</v>
      </c>
      <c r="S2314" t="s">
        <v>31</v>
      </c>
      <c r="T2314" t="s">
        <v>31</v>
      </c>
    </row>
    <row r="2315" spans="1:20" x14ac:dyDescent="0.3">
      <c r="A2315" t="s">
        <v>480</v>
      </c>
      <c r="B2315" t="s">
        <v>51</v>
      </c>
      <c r="C2315" t="s">
        <v>37</v>
      </c>
      <c r="D2315" t="s">
        <v>52</v>
      </c>
      <c r="E2315">
        <v>2024</v>
      </c>
      <c r="F2315">
        <v>140000</v>
      </c>
      <c r="G2315" t="s">
        <v>31</v>
      </c>
      <c r="H2315" t="s">
        <v>2656</v>
      </c>
      <c r="I2315" t="s">
        <v>119</v>
      </c>
      <c r="J2315" t="s">
        <v>2591</v>
      </c>
      <c r="K2315" t="s">
        <v>2649</v>
      </c>
      <c r="L2315" t="s">
        <v>54</v>
      </c>
      <c r="M2315" t="s">
        <v>27</v>
      </c>
      <c r="N2315" t="s">
        <v>27</v>
      </c>
      <c r="O2315" t="s">
        <v>27</v>
      </c>
      <c r="P2315" t="s">
        <v>31</v>
      </c>
      <c r="Q2315" t="s">
        <v>31</v>
      </c>
      <c r="R2315" t="s">
        <v>31</v>
      </c>
      <c r="S2315" t="s">
        <v>31</v>
      </c>
      <c r="T2315" t="s">
        <v>31</v>
      </c>
    </row>
    <row r="2316" spans="1:20" hidden="1" x14ac:dyDescent="0.3">
      <c r="A2316" t="s">
        <v>481</v>
      </c>
      <c r="B2316" t="s">
        <v>28</v>
      </c>
      <c r="C2316" t="s">
        <v>29</v>
      </c>
      <c r="D2316" t="s">
        <v>99</v>
      </c>
      <c r="E2316">
        <v>2024</v>
      </c>
      <c r="F2316">
        <v>250000</v>
      </c>
      <c r="G2316" t="s">
        <v>31</v>
      </c>
      <c r="H2316" t="s">
        <v>2658</v>
      </c>
      <c r="I2316" t="s">
        <v>130</v>
      </c>
      <c r="J2316" t="s">
        <v>5803</v>
      </c>
      <c r="K2316" t="s">
        <v>31</v>
      </c>
      <c r="L2316" t="s">
        <v>37</v>
      </c>
      <c r="M2316" t="s">
        <v>27</v>
      </c>
      <c r="N2316" t="s">
        <v>27</v>
      </c>
      <c r="O2316" t="s">
        <v>27</v>
      </c>
      <c r="P2316" t="s">
        <v>31</v>
      </c>
      <c r="Q2316">
        <v>150</v>
      </c>
      <c r="R2316" t="s">
        <v>31</v>
      </c>
      <c r="S2316" t="s">
        <v>31</v>
      </c>
      <c r="T2316" t="s">
        <v>31</v>
      </c>
    </row>
    <row r="2317" spans="1:20" hidden="1" x14ac:dyDescent="0.3">
      <c r="A2317" t="s">
        <v>482</v>
      </c>
      <c r="B2317" t="s">
        <v>39</v>
      </c>
      <c r="C2317" t="s">
        <v>40</v>
      </c>
      <c r="D2317" t="s">
        <v>142</v>
      </c>
      <c r="E2317">
        <v>2024</v>
      </c>
      <c r="F2317">
        <v>610000</v>
      </c>
      <c r="G2317" t="s">
        <v>31</v>
      </c>
      <c r="H2317" t="s">
        <v>2645</v>
      </c>
      <c r="I2317" t="s">
        <v>34</v>
      </c>
      <c r="J2317" t="s">
        <v>5450</v>
      </c>
      <c r="K2317" t="s">
        <v>5804</v>
      </c>
      <c r="L2317" t="s">
        <v>31</v>
      </c>
      <c r="M2317" t="s">
        <v>27</v>
      </c>
      <c r="N2317" t="s">
        <v>27</v>
      </c>
      <c r="O2317" t="s">
        <v>33</v>
      </c>
      <c r="P2317" t="s">
        <v>31</v>
      </c>
      <c r="Q2317" t="s">
        <v>31</v>
      </c>
      <c r="R2317" t="s">
        <v>31</v>
      </c>
      <c r="S2317" t="s">
        <v>31</v>
      </c>
      <c r="T2317" t="s">
        <v>31</v>
      </c>
    </row>
    <row r="2318" spans="1:20" hidden="1" x14ac:dyDescent="0.3">
      <c r="A2318" t="s">
        <v>483</v>
      </c>
      <c r="B2318" t="s">
        <v>51</v>
      </c>
      <c r="C2318" t="s">
        <v>37</v>
      </c>
      <c r="D2318" t="s">
        <v>52</v>
      </c>
      <c r="E2318">
        <v>2024</v>
      </c>
      <c r="F2318" t="s">
        <v>31</v>
      </c>
      <c r="G2318" t="s">
        <v>31</v>
      </c>
      <c r="H2318" t="s">
        <v>2669</v>
      </c>
      <c r="I2318" t="s">
        <v>111</v>
      </c>
      <c r="J2318" t="s">
        <v>5805</v>
      </c>
      <c r="K2318" t="s">
        <v>2649</v>
      </c>
      <c r="L2318" t="s">
        <v>473</v>
      </c>
      <c r="M2318" t="s">
        <v>27</v>
      </c>
      <c r="N2318" t="s">
        <v>27</v>
      </c>
      <c r="O2318" t="s">
        <v>27</v>
      </c>
      <c r="P2318" t="s">
        <v>31</v>
      </c>
      <c r="Q2318" t="s">
        <v>31</v>
      </c>
      <c r="R2318" t="s">
        <v>31</v>
      </c>
      <c r="S2318" t="s">
        <v>31</v>
      </c>
      <c r="T2318" t="s">
        <v>31</v>
      </c>
    </row>
    <row r="2319" spans="1:20" hidden="1" x14ac:dyDescent="0.3">
      <c r="A2319" t="s">
        <v>484</v>
      </c>
      <c r="B2319" t="s">
        <v>51</v>
      </c>
      <c r="C2319" t="s">
        <v>37</v>
      </c>
      <c r="D2319" t="s">
        <v>56</v>
      </c>
      <c r="E2319">
        <v>2024</v>
      </c>
      <c r="F2319" t="s">
        <v>31</v>
      </c>
      <c r="G2319" t="s">
        <v>31</v>
      </c>
      <c r="H2319" t="s">
        <v>2656</v>
      </c>
      <c r="I2319" t="s">
        <v>119</v>
      </c>
      <c r="J2319" t="s">
        <v>5806</v>
      </c>
      <c r="K2319" t="s">
        <v>2649</v>
      </c>
      <c r="L2319" t="s">
        <v>54</v>
      </c>
      <c r="M2319" t="s">
        <v>27</v>
      </c>
      <c r="N2319" t="s">
        <v>27</v>
      </c>
      <c r="O2319" t="s">
        <v>27</v>
      </c>
      <c r="P2319" t="s">
        <v>31</v>
      </c>
      <c r="Q2319" t="s">
        <v>31</v>
      </c>
      <c r="R2319" t="s">
        <v>31</v>
      </c>
      <c r="S2319" t="s">
        <v>31</v>
      </c>
      <c r="T2319" t="s">
        <v>31</v>
      </c>
    </row>
    <row r="2320" spans="1:20" hidden="1" x14ac:dyDescent="0.3">
      <c r="A2320" t="s">
        <v>485</v>
      </c>
      <c r="B2320" t="s">
        <v>28</v>
      </c>
      <c r="C2320" t="s">
        <v>29</v>
      </c>
      <c r="D2320" t="s">
        <v>64</v>
      </c>
      <c r="E2320">
        <v>2024</v>
      </c>
      <c r="F2320">
        <v>1100000</v>
      </c>
      <c r="G2320" t="s">
        <v>31</v>
      </c>
      <c r="H2320" t="s">
        <v>2645</v>
      </c>
      <c r="I2320" t="s">
        <v>34</v>
      </c>
      <c r="J2320" t="s">
        <v>5807</v>
      </c>
      <c r="K2320" t="s">
        <v>31</v>
      </c>
      <c r="L2320" t="s">
        <v>486</v>
      </c>
      <c r="M2320" t="s">
        <v>27</v>
      </c>
      <c r="N2320" t="s">
        <v>27</v>
      </c>
      <c r="O2320" t="s">
        <v>33</v>
      </c>
      <c r="P2320" t="s">
        <v>31</v>
      </c>
      <c r="Q2320">
        <v>160</v>
      </c>
      <c r="R2320" t="s">
        <v>31</v>
      </c>
      <c r="S2320" t="s">
        <v>31</v>
      </c>
      <c r="T2320" t="s">
        <v>31</v>
      </c>
    </row>
    <row r="2321" spans="1:20" hidden="1" x14ac:dyDescent="0.3">
      <c r="A2321" t="s">
        <v>487</v>
      </c>
      <c r="B2321" t="s">
        <v>51</v>
      </c>
      <c r="C2321" t="s">
        <v>37</v>
      </c>
      <c r="D2321" t="s">
        <v>52</v>
      </c>
      <c r="E2321">
        <v>2024</v>
      </c>
      <c r="F2321" t="s">
        <v>31</v>
      </c>
      <c r="G2321" t="s">
        <v>31</v>
      </c>
      <c r="H2321" t="s">
        <v>2656</v>
      </c>
      <c r="I2321" t="s">
        <v>119</v>
      </c>
      <c r="J2321" t="s">
        <v>5808</v>
      </c>
      <c r="K2321" t="s">
        <v>2649</v>
      </c>
      <c r="L2321" t="s">
        <v>31</v>
      </c>
      <c r="M2321" t="s">
        <v>27</v>
      </c>
      <c r="N2321" t="s">
        <v>27</v>
      </c>
      <c r="O2321" t="s">
        <v>27</v>
      </c>
      <c r="P2321" t="s">
        <v>31</v>
      </c>
      <c r="Q2321" t="s">
        <v>31</v>
      </c>
      <c r="R2321" t="s">
        <v>31</v>
      </c>
      <c r="S2321" t="s">
        <v>31</v>
      </c>
      <c r="T2321" t="s">
        <v>31</v>
      </c>
    </row>
    <row r="2322" spans="1:20" x14ac:dyDescent="0.3">
      <c r="A2322" t="s">
        <v>2592</v>
      </c>
      <c r="B2322" t="s">
        <v>51</v>
      </c>
      <c r="C2322" t="s">
        <v>37</v>
      </c>
      <c r="D2322" t="s">
        <v>56</v>
      </c>
      <c r="E2322">
        <v>2024</v>
      </c>
      <c r="F2322">
        <v>120000</v>
      </c>
      <c r="G2322" t="s">
        <v>31</v>
      </c>
      <c r="H2322" t="s">
        <v>2656</v>
      </c>
      <c r="I2322" t="s">
        <v>119</v>
      </c>
      <c r="J2322" t="s">
        <v>2593</v>
      </c>
      <c r="K2322" t="s">
        <v>2649</v>
      </c>
      <c r="L2322" t="s">
        <v>488</v>
      </c>
      <c r="M2322" t="s">
        <v>27</v>
      </c>
      <c r="N2322" t="s">
        <v>27</v>
      </c>
      <c r="O2322" t="s">
        <v>33</v>
      </c>
      <c r="P2322" t="s">
        <v>31</v>
      </c>
      <c r="Q2322" t="s">
        <v>31</v>
      </c>
      <c r="R2322" t="s">
        <v>31</v>
      </c>
      <c r="S2322" t="s">
        <v>31</v>
      </c>
      <c r="T2322" t="s">
        <v>31</v>
      </c>
    </row>
    <row r="2323" spans="1:20" hidden="1" x14ac:dyDescent="0.3">
      <c r="A2323" t="s">
        <v>1366</v>
      </c>
      <c r="B2323" t="s">
        <v>51</v>
      </c>
      <c r="C2323" t="s">
        <v>2655</v>
      </c>
      <c r="D2323" t="s">
        <v>134</v>
      </c>
      <c r="E2323">
        <v>2024</v>
      </c>
      <c r="F2323" t="s">
        <v>31</v>
      </c>
      <c r="G2323" t="s">
        <v>31</v>
      </c>
      <c r="H2323" t="s">
        <v>2647</v>
      </c>
      <c r="I2323" t="s">
        <v>47</v>
      </c>
      <c r="J2323" t="s">
        <v>5809</v>
      </c>
      <c r="K2323" t="s">
        <v>31</v>
      </c>
      <c r="L2323" t="s">
        <v>31</v>
      </c>
      <c r="M2323" t="s">
        <v>27</v>
      </c>
      <c r="N2323" t="s">
        <v>27</v>
      </c>
      <c r="O2323" t="s">
        <v>27</v>
      </c>
      <c r="P2323" t="s">
        <v>31</v>
      </c>
      <c r="Q2323" t="s">
        <v>31</v>
      </c>
      <c r="R2323" t="s">
        <v>31</v>
      </c>
      <c r="S2323" t="s">
        <v>31</v>
      </c>
      <c r="T2323" t="s">
        <v>31</v>
      </c>
    </row>
    <row r="2324" spans="1:20" hidden="1" x14ac:dyDescent="0.3">
      <c r="A2324" t="s">
        <v>1367</v>
      </c>
      <c r="B2324" t="s">
        <v>28</v>
      </c>
      <c r="C2324" t="s">
        <v>29</v>
      </c>
      <c r="D2324" t="s">
        <v>64</v>
      </c>
      <c r="E2324">
        <v>2024</v>
      </c>
      <c r="F2324" t="s">
        <v>31</v>
      </c>
      <c r="G2324" t="s">
        <v>31</v>
      </c>
      <c r="H2324" t="s">
        <v>2656</v>
      </c>
      <c r="I2324" t="s">
        <v>119</v>
      </c>
      <c r="J2324" t="s">
        <v>5810</v>
      </c>
      <c r="K2324" t="s">
        <v>31</v>
      </c>
      <c r="L2324" t="s">
        <v>1368</v>
      </c>
      <c r="M2324" t="s">
        <v>27</v>
      </c>
      <c r="N2324" t="s">
        <v>27</v>
      </c>
      <c r="O2324" t="s">
        <v>27</v>
      </c>
      <c r="P2324" t="s">
        <v>31</v>
      </c>
      <c r="Q2324" t="s">
        <v>31</v>
      </c>
      <c r="R2324" t="s">
        <v>31</v>
      </c>
      <c r="S2324" t="s">
        <v>31</v>
      </c>
      <c r="T2324" t="s">
        <v>31</v>
      </c>
    </row>
    <row r="2325" spans="1:20" hidden="1" x14ac:dyDescent="0.3">
      <c r="A2325" t="s">
        <v>1369</v>
      </c>
      <c r="B2325" t="s">
        <v>28</v>
      </c>
      <c r="C2325" t="s">
        <v>29</v>
      </c>
      <c r="D2325" t="s">
        <v>64</v>
      </c>
      <c r="E2325">
        <v>2024</v>
      </c>
      <c r="F2325" t="s">
        <v>31</v>
      </c>
      <c r="G2325" t="s">
        <v>31</v>
      </c>
      <c r="H2325" t="s">
        <v>2678</v>
      </c>
      <c r="I2325" t="s">
        <v>53</v>
      </c>
      <c r="J2325" t="s">
        <v>5811</v>
      </c>
      <c r="K2325" t="s">
        <v>31</v>
      </c>
      <c r="L2325" t="s">
        <v>31</v>
      </c>
      <c r="M2325" t="s">
        <v>27</v>
      </c>
      <c r="N2325" t="s">
        <v>27</v>
      </c>
      <c r="O2325" t="s">
        <v>27</v>
      </c>
      <c r="P2325" t="s">
        <v>31</v>
      </c>
      <c r="Q2325" t="s">
        <v>31</v>
      </c>
      <c r="R2325" t="s">
        <v>31</v>
      </c>
      <c r="S2325" t="s">
        <v>31</v>
      </c>
      <c r="T2325" t="s">
        <v>5812</v>
      </c>
    </row>
    <row r="2326" spans="1:20" hidden="1" x14ac:dyDescent="0.3">
      <c r="A2326" t="s">
        <v>1370</v>
      </c>
      <c r="B2326" t="s">
        <v>39</v>
      </c>
      <c r="C2326" t="s">
        <v>40</v>
      </c>
      <c r="D2326" t="s">
        <v>142</v>
      </c>
      <c r="E2326">
        <v>2024</v>
      </c>
      <c r="F2326">
        <v>1000000</v>
      </c>
      <c r="G2326" t="s">
        <v>5813</v>
      </c>
      <c r="H2326" t="s">
        <v>2701</v>
      </c>
      <c r="I2326" t="s">
        <v>60</v>
      </c>
      <c r="J2326" t="s">
        <v>5814</v>
      </c>
      <c r="K2326" t="s">
        <v>31</v>
      </c>
      <c r="L2326" t="s">
        <v>31</v>
      </c>
      <c r="M2326" t="s">
        <v>27</v>
      </c>
      <c r="N2326" t="s">
        <v>27</v>
      </c>
      <c r="O2326" t="s">
        <v>33</v>
      </c>
      <c r="P2326" t="s">
        <v>31</v>
      </c>
      <c r="Q2326" t="s">
        <v>31</v>
      </c>
      <c r="R2326" t="s">
        <v>31</v>
      </c>
      <c r="S2326" t="s">
        <v>31</v>
      </c>
      <c r="T2326" t="s">
        <v>31</v>
      </c>
    </row>
    <row r="2327" spans="1:20" hidden="1" x14ac:dyDescent="0.3">
      <c r="A2327" t="s">
        <v>1371</v>
      </c>
      <c r="B2327" t="s">
        <v>28</v>
      </c>
      <c r="C2327" t="s">
        <v>29</v>
      </c>
      <c r="D2327" t="s">
        <v>64</v>
      </c>
      <c r="E2327">
        <v>2024</v>
      </c>
      <c r="F2327" t="s">
        <v>31</v>
      </c>
      <c r="G2327" t="s">
        <v>31</v>
      </c>
      <c r="H2327" t="s">
        <v>2656</v>
      </c>
      <c r="I2327" t="s">
        <v>119</v>
      </c>
      <c r="J2327" t="s">
        <v>5815</v>
      </c>
      <c r="K2327" t="s">
        <v>31</v>
      </c>
      <c r="L2327" t="s">
        <v>82</v>
      </c>
      <c r="M2327" t="s">
        <v>27</v>
      </c>
      <c r="N2327" t="s">
        <v>27</v>
      </c>
      <c r="O2327" t="s">
        <v>33</v>
      </c>
      <c r="P2327" t="s">
        <v>31</v>
      </c>
      <c r="Q2327" t="s">
        <v>31</v>
      </c>
      <c r="R2327" t="s">
        <v>31</v>
      </c>
      <c r="S2327" t="s">
        <v>31</v>
      </c>
      <c r="T2327" t="s">
        <v>5816</v>
      </c>
    </row>
    <row r="2328" spans="1:20" hidden="1" x14ac:dyDescent="0.3">
      <c r="A2328" t="s">
        <v>1372</v>
      </c>
      <c r="B2328" t="s">
        <v>51</v>
      </c>
      <c r="C2328" t="s">
        <v>37</v>
      </c>
      <c r="D2328" t="s">
        <v>52</v>
      </c>
      <c r="E2328">
        <v>2024</v>
      </c>
      <c r="F2328" t="s">
        <v>31</v>
      </c>
      <c r="G2328" t="s">
        <v>31</v>
      </c>
      <c r="H2328" t="s">
        <v>2656</v>
      </c>
      <c r="I2328" t="s">
        <v>119</v>
      </c>
      <c r="J2328" t="s">
        <v>5817</v>
      </c>
      <c r="K2328" t="s">
        <v>2649</v>
      </c>
      <c r="L2328" t="s">
        <v>31</v>
      </c>
      <c r="M2328" t="s">
        <v>27</v>
      </c>
      <c r="N2328" t="s">
        <v>27</v>
      </c>
      <c r="O2328" t="s">
        <v>33</v>
      </c>
      <c r="P2328" t="s">
        <v>31</v>
      </c>
      <c r="Q2328" t="s">
        <v>31</v>
      </c>
      <c r="R2328" t="s">
        <v>31</v>
      </c>
      <c r="S2328" t="s">
        <v>31</v>
      </c>
      <c r="T2328" t="s">
        <v>31</v>
      </c>
    </row>
    <row r="2329" spans="1:20" hidden="1" x14ac:dyDescent="0.3">
      <c r="A2329" t="s">
        <v>1373</v>
      </c>
      <c r="B2329" t="s">
        <v>51</v>
      </c>
      <c r="C2329" t="s">
        <v>37</v>
      </c>
      <c r="D2329" t="s">
        <v>52</v>
      </c>
      <c r="E2329">
        <v>2024</v>
      </c>
      <c r="F2329" t="s">
        <v>31</v>
      </c>
      <c r="G2329" t="s">
        <v>31</v>
      </c>
      <c r="H2329" t="s">
        <v>2678</v>
      </c>
      <c r="I2329" t="s">
        <v>53</v>
      </c>
      <c r="J2329" t="s">
        <v>5818</v>
      </c>
      <c r="K2329" t="s">
        <v>2649</v>
      </c>
      <c r="L2329" t="s">
        <v>37</v>
      </c>
      <c r="M2329" t="s">
        <v>27</v>
      </c>
      <c r="N2329" t="s">
        <v>27</v>
      </c>
      <c r="O2329" t="s">
        <v>27</v>
      </c>
      <c r="P2329" t="s">
        <v>31</v>
      </c>
      <c r="Q2329" t="s">
        <v>31</v>
      </c>
      <c r="R2329" t="s">
        <v>31</v>
      </c>
      <c r="S2329" t="s">
        <v>31</v>
      </c>
      <c r="T2329" t="s">
        <v>31</v>
      </c>
    </row>
    <row r="2330" spans="1:20" hidden="1" x14ac:dyDescent="0.3">
      <c r="A2330" t="s">
        <v>1374</v>
      </c>
      <c r="B2330" t="s">
        <v>39</v>
      </c>
      <c r="C2330" t="s">
        <v>40</v>
      </c>
      <c r="D2330" t="s">
        <v>142</v>
      </c>
      <c r="E2330">
        <v>2024</v>
      </c>
      <c r="F2330" t="s">
        <v>31</v>
      </c>
      <c r="G2330" t="s">
        <v>31</v>
      </c>
      <c r="H2330" t="s">
        <v>2719</v>
      </c>
      <c r="I2330" t="s">
        <v>90</v>
      </c>
      <c r="J2330" t="s">
        <v>5819</v>
      </c>
      <c r="K2330" t="s">
        <v>31</v>
      </c>
      <c r="L2330" t="s">
        <v>31</v>
      </c>
      <c r="M2330" t="s">
        <v>27</v>
      </c>
      <c r="N2330" t="s">
        <v>27</v>
      </c>
      <c r="O2330" t="s">
        <v>33</v>
      </c>
      <c r="P2330" t="s">
        <v>31</v>
      </c>
      <c r="Q2330" t="s">
        <v>31</v>
      </c>
      <c r="R2330" t="s">
        <v>31</v>
      </c>
      <c r="S2330" t="s">
        <v>31</v>
      </c>
      <c r="T2330" t="s">
        <v>31</v>
      </c>
    </row>
    <row r="2331" spans="1:20" hidden="1" x14ac:dyDescent="0.3">
      <c r="A2331" t="s">
        <v>1375</v>
      </c>
      <c r="B2331" t="s">
        <v>39</v>
      </c>
      <c r="C2331" t="s">
        <v>40</v>
      </c>
      <c r="D2331" t="s">
        <v>41</v>
      </c>
      <c r="E2331">
        <v>2024</v>
      </c>
      <c r="F2331" t="s">
        <v>31</v>
      </c>
      <c r="G2331" t="s">
        <v>31</v>
      </c>
      <c r="H2331" t="s">
        <v>2739</v>
      </c>
      <c r="I2331" t="s">
        <v>77</v>
      </c>
      <c r="J2331" t="s">
        <v>5820</v>
      </c>
      <c r="K2331" t="s">
        <v>31</v>
      </c>
      <c r="L2331" t="s">
        <v>31</v>
      </c>
      <c r="M2331" t="s">
        <v>27</v>
      </c>
      <c r="N2331" t="s">
        <v>27</v>
      </c>
      <c r="O2331" t="s">
        <v>27</v>
      </c>
      <c r="P2331" t="s">
        <v>31</v>
      </c>
      <c r="Q2331" t="s">
        <v>31</v>
      </c>
      <c r="R2331" t="s">
        <v>31</v>
      </c>
      <c r="S2331" t="s">
        <v>31</v>
      </c>
      <c r="T2331" t="s">
        <v>31</v>
      </c>
    </row>
    <row r="2332" spans="1:20" hidden="1" x14ac:dyDescent="0.3">
      <c r="A2332" t="s">
        <v>1376</v>
      </c>
      <c r="B2332" t="s">
        <v>28</v>
      </c>
      <c r="C2332" t="s">
        <v>29</v>
      </c>
      <c r="D2332" t="s">
        <v>64</v>
      </c>
      <c r="E2332">
        <v>2024</v>
      </c>
      <c r="F2332">
        <v>3500000</v>
      </c>
      <c r="G2332" t="s">
        <v>31</v>
      </c>
      <c r="H2332" t="s">
        <v>2645</v>
      </c>
      <c r="I2332" t="s">
        <v>34</v>
      </c>
      <c r="J2332" t="s">
        <v>5821</v>
      </c>
      <c r="K2332" t="s">
        <v>31</v>
      </c>
      <c r="L2332" t="s">
        <v>1377</v>
      </c>
      <c r="M2332" t="s">
        <v>27</v>
      </c>
      <c r="N2332" t="s">
        <v>27</v>
      </c>
      <c r="O2332" t="s">
        <v>27</v>
      </c>
      <c r="P2332" t="s">
        <v>31</v>
      </c>
      <c r="Q2332" t="s">
        <v>31</v>
      </c>
      <c r="R2332" t="s">
        <v>31</v>
      </c>
      <c r="S2332" t="s">
        <v>31</v>
      </c>
      <c r="T2332" t="s">
        <v>31</v>
      </c>
    </row>
    <row r="2333" spans="1:20" hidden="1" x14ac:dyDescent="0.3">
      <c r="A2333" t="s">
        <v>1378</v>
      </c>
      <c r="B2333" t="s">
        <v>28</v>
      </c>
      <c r="C2333" t="s">
        <v>2685</v>
      </c>
      <c r="D2333" t="s">
        <v>95</v>
      </c>
      <c r="E2333">
        <v>2024</v>
      </c>
      <c r="F2333" t="s">
        <v>31</v>
      </c>
      <c r="G2333" t="s">
        <v>31</v>
      </c>
      <c r="H2333" t="s">
        <v>2672</v>
      </c>
      <c r="I2333" t="s">
        <v>73</v>
      </c>
      <c r="J2333" t="s">
        <v>31</v>
      </c>
      <c r="K2333" t="s">
        <v>5822</v>
      </c>
      <c r="L2333" t="s">
        <v>31</v>
      </c>
      <c r="M2333" t="s">
        <v>27</v>
      </c>
      <c r="N2333" t="s">
        <v>27</v>
      </c>
      <c r="O2333" t="s">
        <v>27</v>
      </c>
      <c r="P2333" t="s">
        <v>31</v>
      </c>
      <c r="Q2333">
        <v>45</v>
      </c>
      <c r="R2333" t="s">
        <v>31</v>
      </c>
      <c r="S2333" t="s">
        <v>31</v>
      </c>
      <c r="T2333" t="s">
        <v>31</v>
      </c>
    </row>
    <row r="2334" spans="1:20" hidden="1" x14ac:dyDescent="0.3">
      <c r="A2334" t="s">
        <v>1379</v>
      </c>
      <c r="B2334" t="s">
        <v>28</v>
      </c>
      <c r="C2334" t="s">
        <v>29</v>
      </c>
      <c r="D2334" t="s">
        <v>64</v>
      </c>
      <c r="E2334">
        <v>2024</v>
      </c>
      <c r="F2334" t="s">
        <v>31</v>
      </c>
      <c r="G2334" t="s">
        <v>5789</v>
      </c>
      <c r="H2334" t="s">
        <v>2675</v>
      </c>
      <c r="I2334" t="s">
        <v>81</v>
      </c>
      <c r="J2334" t="s">
        <v>31</v>
      </c>
      <c r="K2334" t="s">
        <v>2664</v>
      </c>
      <c r="L2334" t="s">
        <v>31</v>
      </c>
      <c r="M2334" t="s">
        <v>27</v>
      </c>
      <c r="N2334" t="s">
        <v>27</v>
      </c>
      <c r="O2334" t="s">
        <v>27</v>
      </c>
      <c r="P2334" t="s">
        <v>31</v>
      </c>
      <c r="Q2334" t="s">
        <v>31</v>
      </c>
      <c r="R2334" t="s">
        <v>31</v>
      </c>
      <c r="S2334" t="s">
        <v>31</v>
      </c>
      <c r="T2334" t="s">
        <v>31</v>
      </c>
    </row>
    <row r="2335" spans="1:20" hidden="1" x14ac:dyDescent="0.3">
      <c r="A2335" t="s">
        <v>1380</v>
      </c>
      <c r="B2335" t="s">
        <v>28</v>
      </c>
      <c r="C2335" t="s">
        <v>29</v>
      </c>
      <c r="D2335" t="s">
        <v>30</v>
      </c>
      <c r="E2335">
        <v>2024</v>
      </c>
      <c r="F2335" t="s">
        <v>31</v>
      </c>
      <c r="G2335" t="s">
        <v>31</v>
      </c>
      <c r="H2335" t="s">
        <v>2753</v>
      </c>
      <c r="I2335" t="s">
        <v>49</v>
      </c>
      <c r="J2335" t="s">
        <v>5823</v>
      </c>
      <c r="K2335" t="s">
        <v>31</v>
      </c>
      <c r="L2335" t="s">
        <v>31</v>
      </c>
      <c r="M2335" t="s">
        <v>27</v>
      </c>
      <c r="N2335" t="s">
        <v>27</v>
      </c>
      <c r="O2335" t="s">
        <v>27</v>
      </c>
      <c r="P2335" t="s">
        <v>31</v>
      </c>
      <c r="Q2335" t="s">
        <v>31</v>
      </c>
      <c r="R2335" t="s">
        <v>31</v>
      </c>
      <c r="S2335" t="s">
        <v>31</v>
      </c>
      <c r="T2335" t="s">
        <v>31</v>
      </c>
    </row>
    <row r="2336" spans="1:20" hidden="1" x14ac:dyDescent="0.3">
      <c r="A2336" t="s">
        <v>1381</v>
      </c>
      <c r="B2336" t="s">
        <v>28</v>
      </c>
      <c r="C2336" t="s">
        <v>29</v>
      </c>
      <c r="D2336" t="s">
        <v>30</v>
      </c>
      <c r="E2336">
        <v>2024</v>
      </c>
      <c r="F2336">
        <v>15900</v>
      </c>
      <c r="G2336" t="s">
        <v>5754</v>
      </c>
      <c r="H2336" t="s">
        <v>2751</v>
      </c>
      <c r="I2336" t="s">
        <v>234</v>
      </c>
      <c r="J2336" t="s">
        <v>5824</v>
      </c>
      <c r="K2336" t="s">
        <v>31</v>
      </c>
      <c r="L2336" t="s">
        <v>31</v>
      </c>
      <c r="M2336" t="s">
        <v>27</v>
      </c>
      <c r="N2336" t="s">
        <v>27</v>
      </c>
      <c r="O2336" t="s">
        <v>33</v>
      </c>
      <c r="P2336" t="s">
        <v>31</v>
      </c>
      <c r="Q2336">
        <v>270</v>
      </c>
      <c r="R2336" t="s">
        <v>31</v>
      </c>
      <c r="S2336" t="s">
        <v>31</v>
      </c>
      <c r="T2336" t="s">
        <v>31</v>
      </c>
    </row>
    <row r="2337" spans="1:20" hidden="1" x14ac:dyDescent="0.3">
      <c r="A2337" t="s">
        <v>1382</v>
      </c>
      <c r="B2337" t="s">
        <v>39</v>
      </c>
      <c r="C2337" t="s">
        <v>40</v>
      </c>
      <c r="D2337" t="s">
        <v>142</v>
      </c>
      <c r="E2337">
        <v>2024</v>
      </c>
      <c r="F2337">
        <v>1000000</v>
      </c>
      <c r="G2337" t="s">
        <v>31</v>
      </c>
      <c r="H2337" t="s">
        <v>2739</v>
      </c>
      <c r="I2337" t="s">
        <v>77</v>
      </c>
      <c r="J2337" t="s">
        <v>5825</v>
      </c>
      <c r="K2337" t="s">
        <v>5826</v>
      </c>
      <c r="L2337" t="s">
        <v>31</v>
      </c>
      <c r="M2337" t="s">
        <v>27</v>
      </c>
      <c r="N2337" t="s">
        <v>27</v>
      </c>
      <c r="O2337" t="s">
        <v>33</v>
      </c>
      <c r="P2337" t="s">
        <v>31</v>
      </c>
      <c r="Q2337" t="s">
        <v>31</v>
      </c>
      <c r="R2337" t="s">
        <v>31</v>
      </c>
      <c r="S2337" t="s">
        <v>31</v>
      </c>
      <c r="T2337" t="s">
        <v>31</v>
      </c>
    </row>
    <row r="2338" spans="1:20" hidden="1" x14ac:dyDescent="0.3">
      <c r="A2338" t="s">
        <v>1383</v>
      </c>
      <c r="B2338" t="s">
        <v>28</v>
      </c>
      <c r="C2338" t="s">
        <v>29</v>
      </c>
      <c r="D2338" t="s">
        <v>30</v>
      </c>
      <c r="E2338">
        <v>2024</v>
      </c>
      <c r="F2338">
        <v>3000000</v>
      </c>
      <c r="G2338" t="s">
        <v>31</v>
      </c>
      <c r="H2338" t="s">
        <v>2739</v>
      </c>
      <c r="I2338" t="s">
        <v>77</v>
      </c>
      <c r="J2338" t="s">
        <v>5827</v>
      </c>
      <c r="K2338" t="s">
        <v>31</v>
      </c>
      <c r="L2338" t="s">
        <v>37</v>
      </c>
      <c r="M2338" t="s">
        <v>27</v>
      </c>
      <c r="N2338" t="s">
        <v>27</v>
      </c>
      <c r="O2338" t="s">
        <v>27</v>
      </c>
      <c r="P2338" t="s">
        <v>31</v>
      </c>
      <c r="Q2338" t="s">
        <v>31</v>
      </c>
      <c r="R2338" t="s">
        <v>31</v>
      </c>
      <c r="S2338" t="s">
        <v>31</v>
      </c>
      <c r="T2338" t="s">
        <v>31</v>
      </c>
    </row>
    <row r="2339" spans="1:20" hidden="1" x14ac:dyDescent="0.3">
      <c r="A2339" t="s">
        <v>1384</v>
      </c>
      <c r="B2339" t="s">
        <v>28</v>
      </c>
      <c r="C2339" t="s">
        <v>29</v>
      </c>
      <c r="D2339" t="s">
        <v>30</v>
      </c>
      <c r="E2339">
        <v>2024</v>
      </c>
      <c r="F2339">
        <v>2500000</v>
      </c>
      <c r="G2339" t="s">
        <v>31</v>
      </c>
      <c r="H2339" t="s">
        <v>2645</v>
      </c>
      <c r="I2339" t="s">
        <v>34</v>
      </c>
      <c r="J2339" t="s">
        <v>5828</v>
      </c>
      <c r="K2339" t="s">
        <v>31</v>
      </c>
      <c r="L2339" t="s">
        <v>37</v>
      </c>
      <c r="M2339" t="s">
        <v>27</v>
      </c>
      <c r="N2339" t="s">
        <v>27</v>
      </c>
      <c r="O2339" t="s">
        <v>33</v>
      </c>
      <c r="P2339" t="s">
        <v>31</v>
      </c>
      <c r="Q2339">
        <v>120</v>
      </c>
      <c r="R2339" t="s">
        <v>31</v>
      </c>
      <c r="S2339" t="s">
        <v>31</v>
      </c>
      <c r="T2339" t="s">
        <v>31</v>
      </c>
    </row>
    <row r="2340" spans="1:20" hidden="1" x14ac:dyDescent="0.3">
      <c r="A2340" t="s">
        <v>1385</v>
      </c>
      <c r="B2340" t="s">
        <v>28</v>
      </c>
      <c r="C2340" t="s">
        <v>29</v>
      </c>
      <c r="D2340" t="s">
        <v>30</v>
      </c>
      <c r="E2340">
        <v>2024</v>
      </c>
      <c r="F2340">
        <v>1300000</v>
      </c>
      <c r="G2340" t="s">
        <v>31</v>
      </c>
      <c r="H2340" t="s">
        <v>2645</v>
      </c>
      <c r="I2340" t="s">
        <v>34</v>
      </c>
      <c r="J2340" t="s">
        <v>5829</v>
      </c>
      <c r="K2340" t="s">
        <v>31</v>
      </c>
      <c r="L2340" t="s">
        <v>37</v>
      </c>
      <c r="M2340" t="s">
        <v>27</v>
      </c>
      <c r="N2340" t="s">
        <v>27</v>
      </c>
      <c r="O2340" t="s">
        <v>33</v>
      </c>
      <c r="P2340" t="s">
        <v>31</v>
      </c>
      <c r="Q2340">
        <v>148</v>
      </c>
      <c r="R2340" t="s">
        <v>31</v>
      </c>
      <c r="S2340" t="s">
        <v>31</v>
      </c>
      <c r="T2340" t="s">
        <v>31</v>
      </c>
    </row>
    <row r="2341" spans="1:20" hidden="1" x14ac:dyDescent="0.3">
      <c r="A2341" t="s">
        <v>1386</v>
      </c>
      <c r="B2341" t="s">
        <v>39</v>
      </c>
      <c r="C2341" t="s">
        <v>40</v>
      </c>
      <c r="D2341" t="s">
        <v>142</v>
      </c>
      <c r="E2341">
        <v>2024</v>
      </c>
      <c r="F2341">
        <v>190000</v>
      </c>
      <c r="G2341" t="s">
        <v>31</v>
      </c>
      <c r="H2341" t="s">
        <v>2678</v>
      </c>
      <c r="I2341" t="s">
        <v>53</v>
      </c>
      <c r="J2341" t="s">
        <v>5830</v>
      </c>
      <c r="K2341" t="s">
        <v>31</v>
      </c>
      <c r="L2341" t="s">
        <v>31</v>
      </c>
      <c r="M2341" t="s">
        <v>27</v>
      </c>
      <c r="N2341" t="s">
        <v>27</v>
      </c>
      <c r="O2341" t="s">
        <v>33</v>
      </c>
      <c r="P2341" t="s">
        <v>31</v>
      </c>
      <c r="Q2341" t="s">
        <v>31</v>
      </c>
      <c r="R2341" t="s">
        <v>31</v>
      </c>
      <c r="S2341" t="s">
        <v>31</v>
      </c>
      <c r="T2341" t="s">
        <v>31</v>
      </c>
    </row>
    <row r="2342" spans="1:20" hidden="1" x14ac:dyDescent="0.3">
      <c r="A2342" t="s">
        <v>1387</v>
      </c>
      <c r="B2342" t="s">
        <v>28</v>
      </c>
      <c r="C2342" t="s">
        <v>29</v>
      </c>
      <c r="D2342" t="s">
        <v>30</v>
      </c>
      <c r="E2342">
        <v>2024</v>
      </c>
      <c r="F2342">
        <v>38000000</v>
      </c>
      <c r="G2342" t="s">
        <v>31</v>
      </c>
      <c r="H2342" t="s">
        <v>2645</v>
      </c>
      <c r="I2342" t="s">
        <v>34</v>
      </c>
      <c r="J2342" t="s">
        <v>5831</v>
      </c>
      <c r="K2342" t="s">
        <v>31</v>
      </c>
      <c r="L2342" t="s">
        <v>85</v>
      </c>
      <c r="M2342" t="s">
        <v>27</v>
      </c>
      <c r="N2342" t="s">
        <v>27</v>
      </c>
      <c r="O2342" t="s">
        <v>33</v>
      </c>
      <c r="P2342" t="s">
        <v>31</v>
      </c>
      <c r="Q2342">
        <v>205</v>
      </c>
      <c r="R2342" t="s">
        <v>31</v>
      </c>
      <c r="S2342" t="s">
        <v>31</v>
      </c>
      <c r="T2342" t="s">
        <v>31</v>
      </c>
    </row>
    <row r="2343" spans="1:20" hidden="1" x14ac:dyDescent="0.3">
      <c r="A2343" t="s">
        <v>1388</v>
      </c>
      <c r="B2343" t="s">
        <v>28</v>
      </c>
      <c r="C2343" t="s">
        <v>29</v>
      </c>
      <c r="D2343" t="s">
        <v>30</v>
      </c>
      <c r="E2343">
        <v>2024</v>
      </c>
      <c r="F2343">
        <v>50000</v>
      </c>
      <c r="G2343" t="s">
        <v>5832</v>
      </c>
      <c r="H2343" t="s">
        <v>2716</v>
      </c>
      <c r="I2343" t="s">
        <v>242</v>
      </c>
      <c r="J2343" t="s">
        <v>5833</v>
      </c>
      <c r="K2343" t="s">
        <v>31</v>
      </c>
      <c r="L2343" t="s">
        <v>1389</v>
      </c>
      <c r="M2343" t="s">
        <v>27</v>
      </c>
      <c r="N2343" t="s">
        <v>27</v>
      </c>
      <c r="O2343" t="s">
        <v>33</v>
      </c>
      <c r="P2343" t="s">
        <v>31</v>
      </c>
      <c r="Q2343">
        <v>139</v>
      </c>
      <c r="R2343" t="s">
        <v>31</v>
      </c>
      <c r="S2343" t="s">
        <v>31</v>
      </c>
      <c r="T2343" t="s">
        <v>31</v>
      </c>
    </row>
    <row r="2344" spans="1:20" hidden="1" x14ac:dyDescent="0.3">
      <c r="A2344" t="s">
        <v>1390</v>
      </c>
      <c r="B2344" t="s">
        <v>28</v>
      </c>
      <c r="C2344" t="s">
        <v>29</v>
      </c>
      <c r="D2344" t="s">
        <v>30</v>
      </c>
      <c r="E2344">
        <v>2024</v>
      </c>
      <c r="F2344">
        <v>150000</v>
      </c>
      <c r="G2344" t="s">
        <v>5834</v>
      </c>
      <c r="H2344" t="s">
        <v>2647</v>
      </c>
      <c r="I2344" t="s">
        <v>47</v>
      </c>
      <c r="J2344" t="s">
        <v>31</v>
      </c>
      <c r="K2344" t="s">
        <v>31</v>
      </c>
      <c r="L2344" t="s">
        <v>31</v>
      </c>
      <c r="M2344" t="s">
        <v>27</v>
      </c>
      <c r="N2344" t="s">
        <v>27</v>
      </c>
      <c r="O2344" t="s">
        <v>27</v>
      </c>
      <c r="P2344" t="s">
        <v>31</v>
      </c>
      <c r="Q2344" t="s">
        <v>31</v>
      </c>
      <c r="R2344" t="s">
        <v>31</v>
      </c>
      <c r="S2344" t="s">
        <v>31</v>
      </c>
      <c r="T2344" t="s">
        <v>31</v>
      </c>
    </row>
    <row r="2345" spans="1:20" hidden="1" x14ac:dyDescent="0.3">
      <c r="A2345" t="s">
        <v>1391</v>
      </c>
      <c r="B2345" t="s">
        <v>28</v>
      </c>
      <c r="C2345" t="s">
        <v>29</v>
      </c>
      <c r="D2345" t="s">
        <v>30</v>
      </c>
      <c r="E2345">
        <v>2024</v>
      </c>
      <c r="F2345">
        <v>980</v>
      </c>
      <c r="G2345" t="s">
        <v>5834</v>
      </c>
      <c r="H2345" t="s">
        <v>2695</v>
      </c>
      <c r="I2345" t="s">
        <v>161</v>
      </c>
      <c r="J2345" t="s">
        <v>31</v>
      </c>
      <c r="K2345" t="s">
        <v>31</v>
      </c>
      <c r="L2345" t="s">
        <v>31</v>
      </c>
      <c r="M2345" t="s">
        <v>27</v>
      </c>
      <c r="N2345" t="s">
        <v>27</v>
      </c>
      <c r="O2345" t="s">
        <v>27</v>
      </c>
      <c r="P2345" t="s">
        <v>31</v>
      </c>
      <c r="Q2345" t="s">
        <v>31</v>
      </c>
      <c r="R2345" t="s">
        <v>31</v>
      </c>
      <c r="S2345" t="s">
        <v>31</v>
      </c>
      <c r="T2345" t="s">
        <v>31</v>
      </c>
    </row>
    <row r="2346" spans="1:20" hidden="1" x14ac:dyDescent="0.3">
      <c r="A2346" t="s">
        <v>1392</v>
      </c>
      <c r="B2346" t="s">
        <v>28</v>
      </c>
      <c r="C2346" t="s">
        <v>29</v>
      </c>
      <c r="D2346" t="s">
        <v>30</v>
      </c>
      <c r="E2346">
        <v>2024</v>
      </c>
      <c r="F2346">
        <v>1080000</v>
      </c>
      <c r="G2346" t="s">
        <v>5834</v>
      </c>
      <c r="H2346" t="s">
        <v>2716</v>
      </c>
      <c r="I2346" t="s">
        <v>242</v>
      </c>
      <c r="J2346" t="s">
        <v>5835</v>
      </c>
      <c r="K2346" t="s">
        <v>31</v>
      </c>
      <c r="L2346" t="s">
        <v>31</v>
      </c>
      <c r="M2346" t="s">
        <v>27</v>
      </c>
      <c r="N2346" t="s">
        <v>27</v>
      </c>
      <c r="O2346" t="s">
        <v>27</v>
      </c>
      <c r="P2346" t="s">
        <v>31</v>
      </c>
      <c r="Q2346">
        <v>185</v>
      </c>
      <c r="R2346" t="s">
        <v>31</v>
      </c>
      <c r="S2346" t="s">
        <v>31</v>
      </c>
      <c r="T2346" t="s">
        <v>31</v>
      </c>
    </row>
    <row r="2347" spans="1:20" hidden="1" x14ac:dyDescent="0.3">
      <c r="A2347" t="s">
        <v>1393</v>
      </c>
      <c r="B2347" t="s">
        <v>28</v>
      </c>
      <c r="C2347" t="s">
        <v>29</v>
      </c>
      <c r="D2347" t="s">
        <v>30</v>
      </c>
      <c r="E2347">
        <v>2024</v>
      </c>
      <c r="F2347">
        <v>8000</v>
      </c>
      <c r="G2347" t="s">
        <v>5834</v>
      </c>
      <c r="H2347" t="s">
        <v>2751</v>
      </c>
      <c r="I2347" t="s">
        <v>234</v>
      </c>
      <c r="J2347" t="s">
        <v>31</v>
      </c>
      <c r="K2347" t="s">
        <v>31</v>
      </c>
      <c r="L2347" t="s">
        <v>31</v>
      </c>
      <c r="M2347" t="s">
        <v>27</v>
      </c>
      <c r="N2347" t="s">
        <v>27</v>
      </c>
      <c r="O2347" t="s">
        <v>27</v>
      </c>
      <c r="P2347" t="s">
        <v>31</v>
      </c>
      <c r="Q2347" t="s">
        <v>31</v>
      </c>
      <c r="R2347" t="s">
        <v>31</v>
      </c>
      <c r="S2347" t="s">
        <v>31</v>
      </c>
      <c r="T2347" t="s">
        <v>31</v>
      </c>
    </row>
    <row r="2348" spans="1:20" hidden="1" x14ac:dyDescent="0.3">
      <c r="A2348" t="s">
        <v>1394</v>
      </c>
      <c r="B2348" t="s">
        <v>39</v>
      </c>
      <c r="C2348" t="s">
        <v>40</v>
      </c>
      <c r="D2348" t="s">
        <v>142</v>
      </c>
      <c r="E2348">
        <v>2024</v>
      </c>
      <c r="F2348">
        <v>100000</v>
      </c>
      <c r="G2348" t="s">
        <v>31</v>
      </c>
      <c r="H2348" t="s">
        <v>2645</v>
      </c>
      <c r="I2348" t="s">
        <v>34</v>
      </c>
      <c r="J2348" t="s">
        <v>5836</v>
      </c>
      <c r="K2348" t="s">
        <v>31</v>
      </c>
      <c r="L2348" t="s">
        <v>31</v>
      </c>
      <c r="M2348" t="s">
        <v>27</v>
      </c>
      <c r="N2348" t="s">
        <v>27</v>
      </c>
      <c r="O2348" t="s">
        <v>33</v>
      </c>
      <c r="P2348" t="s">
        <v>31</v>
      </c>
      <c r="Q2348" t="s">
        <v>31</v>
      </c>
      <c r="R2348" t="s">
        <v>31</v>
      </c>
      <c r="S2348" t="s">
        <v>31</v>
      </c>
      <c r="T2348" t="s">
        <v>31</v>
      </c>
    </row>
    <row r="2349" spans="1:20" hidden="1" x14ac:dyDescent="0.3">
      <c r="A2349" t="s">
        <v>1395</v>
      </c>
      <c r="B2349" t="s">
        <v>28</v>
      </c>
      <c r="C2349" t="s">
        <v>29</v>
      </c>
      <c r="D2349" t="s">
        <v>64</v>
      </c>
      <c r="E2349">
        <v>2024</v>
      </c>
      <c r="F2349" t="s">
        <v>31</v>
      </c>
      <c r="G2349" t="s">
        <v>5837</v>
      </c>
      <c r="H2349" t="s">
        <v>2647</v>
      </c>
      <c r="I2349" t="s">
        <v>47</v>
      </c>
      <c r="J2349" t="s">
        <v>5838</v>
      </c>
      <c r="K2349" t="s">
        <v>3912</v>
      </c>
      <c r="L2349" t="s">
        <v>82</v>
      </c>
      <c r="M2349" t="s">
        <v>27</v>
      </c>
      <c r="N2349" t="s">
        <v>27</v>
      </c>
      <c r="O2349" t="s">
        <v>33</v>
      </c>
      <c r="P2349" t="s">
        <v>31</v>
      </c>
      <c r="Q2349" t="s">
        <v>31</v>
      </c>
      <c r="R2349" t="s">
        <v>31</v>
      </c>
      <c r="S2349" t="s">
        <v>31</v>
      </c>
      <c r="T2349" t="s">
        <v>31</v>
      </c>
    </row>
    <row r="2350" spans="1:20" hidden="1" x14ac:dyDescent="0.3">
      <c r="A2350" t="s">
        <v>1396</v>
      </c>
      <c r="B2350" t="s">
        <v>51</v>
      </c>
      <c r="C2350" t="s">
        <v>37</v>
      </c>
      <c r="D2350" t="s">
        <v>52</v>
      </c>
      <c r="E2350">
        <v>2024</v>
      </c>
      <c r="F2350" t="s">
        <v>31</v>
      </c>
      <c r="G2350" t="s">
        <v>5839</v>
      </c>
      <c r="H2350" t="s">
        <v>2888</v>
      </c>
      <c r="I2350" t="s">
        <v>75</v>
      </c>
      <c r="J2350" t="s">
        <v>5775</v>
      </c>
      <c r="K2350" t="s">
        <v>2664</v>
      </c>
      <c r="L2350" t="s">
        <v>31</v>
      </c>
      <c r="M2350" t="s">
        <v>27</v>
      </c>
      <c r="N2350" t="s">
        <v>27</v>
      </c>
      <c r="O2350" t="s">
        <v>27</v>
      </c>
      <c r="P2350" t="s">
        <v>31</v>
      </c>
      <c r="Q2350" t="s">
        <v>31</v>
      </c>
      <c r="R2350" t="s">
        <v>31</v>
      </c>
      <c r="S2350" t="s">
        <v>31</v>
      </c>
      <c r="T2350" t="s">
        <v>31</v>
      </c>
    </row>
    <row r="2351" spans="1:20" hidden="1" x14ac:dyDescent="0.3">
      <c r="A2351" t="s">
        <v>1397</v>
      </c>
      <c r="B2351" t="s">
        <v>51</v>
      </c>
      <c r="C2351" t="s">
        <v>37</v>
      </c>
      <c r="D2351" t="s">
        <v>52</v>
      </c>
      <c r="E2351">
        <v>2024</v>
      </c>
      <c r="F2351" t="s">
        <v>31</v>
      </c>
      <c r="G2351" t="s">
        <v>5839</v>
      </c>
      <c r="H2351" t="s">
        <v>2749</v>
      </c>
      <c r="I2351" t="s">
        <v>45</v>
      </c>
      <c r="J2351" t="s">
        <v>5840</v>
      </c>
      <c r="K2351" t="s">
        <v>2649</v>
      </c>
      <c r="L2351" t="s">
        <v>31</v>
      </c>
      <c r="M2351" t="s">
        <v>27</v>
      </c>
      <c r="N2351" t="s">
        <v>27</v>
      </c>
      <c r="O2351" t="s">
        <v>27</v>
      </c>
      <c r="P2351" t="s">
        <v>31</v>
      </c>
      <c r="Q2351" t="s">
        <v>31</v>
      </c>
      <c r="R2351" t="s">
        <v>31</v>
      </c>
      <c r="S2351" t="s">
        <v>31</v>
      </c>
      <c r="T2351" t="s">
        <v>31</v>
      </c>
    </row>
    <row r="2352" spans="1:20" hidden="1" x14ac:dyDescent="0.3">
      <c r="A2352" t="s">
        <v>1398</v>
      </c>
      <c r="B2352" t="s">
        <v>28</v>
      </c>
      <c r="C2352" t="s">
        <v>29</v>
      </c>
      <c r="D2352" t="s">
        <v>30</v>
      </c>
      <c r="E2352">
        <v>2024</v>
      </c>
      <c r="F2352" t="s">
        <v>31</v>
      </c>
      <c r="G2352" t="s">
        <v>5764</v>
      </c>
      <c r="H2352" t="s">
        <v>2706</v>
      </c>
      <c r="I2352" t="s">
        <v>32</v>
      </c>
      <c r="J2352" t="s">
        <v>31</v>
      </c>
      <c r="K2352" t="s">
        <v>31</v>
      </c>
      <c r="L2352" t="s">
        <v>31</v>
      </c>
      <c r="M2352" t="s">
        <v>27</v>
      </c>
      <c r="N2352" t="s">
        <v>27</v>
      </c>
      <c r="O2352" t="s">
        <v>27</v>
      </c>
      <c r="P2352" t="s">
        <v>31</v>
      </c>
      <c r="Q2352" t="s">
        <v>31</v>
      </c>
      <c r="R2352" t="s">
        <v>31</v>
      </c>
      <c r="S2352" t="s">
        <v>31</v>
      </c>
      <c r="T2352" t="s">
        <v>31</v>
      </c>
    </row>
    <row r="2353" spans="1:20" hidden="1" x14ac:dyDescent="0.3">
      <c r="A2353" t="s">
        <v>1399</v>
      </c>
      <c r="B2353" t="s">
        <v>28</v>
      </c>
      <c r="C2353" t="s">
        <v>29</v>
      </c>
      <c r="D2353" t="s">
        <v>30</v>
      </c>
      <c r="E2353">
        <v>2024</v>
      </c>
      <c r="F2353" t="s">
        <v>31</v>
      </c>
      <c r="G2353" t="s">
        <v>5764</v>
      </c>
      <c r="H2353" t="s">
        <v>2753</v>
      </c>
      <c r="I2353" t="s">
        <v>49</v>
      </c>
      <c r="J2353" t="s">
        <v>5841</v>
      </c>
      <c r="K2353" t="s">
        <v>31</v>
      </c>
      <c r="L2353" t="s">
        <v>31</v>
      </c>
      <c r="M2353" t="s">
        <v>27</v>
      </c>
      <c r="N2353" t="s">
        <v>27</v>
      </c>
      <c r="O2353" t="s">
        <v>27</v>
      </c>
      <c r="P2353" t="s">
        <v>31</v>
      </c>
      <c r="Q2353" t="s">
        <v>31</v>
      </c>
      <c r="R2353" t="s">
        <v>31</v>
      </c>
      <c r="S2353" t="s">
        <v>31</v>
      </c>
      <c r="T2353" t="s">
        <v>31</v>
      </c>
    </row>
    <row r="2354" spans="1:20" hidden="1" x14ac:dyDescent="0.3">
      <c r="A2354" t="s">
        <v>1400</v>
      </c>
      <c r="B2354" t="s">
        <v>28</v>
      </c>
      <c r="C2354" t="s">
        <v>29</v>
      </c>
      <c r="D2354" t="s">
        <v>189</v>
      </c>
      <c r="E2354">
        <v>2024</v>
      </c>
      <c r="F2354" t="s">
        <v>31</v>
      </c>
      <c r="G2354" t="s">
        <v>31</v>
      </c>
      <c r="H2354" t="s">
        <v>2656</v>
      </c>
      <c r="I2354" t="s">
        <v>119</v>
      </c>
      <c r="J2354" t="s">
        <v>5842</v>
      </c>
      <c r="K2354" t="s">
        <v>31</v>
      </c>
      <c r="L2354" t="s">
        <v>100</v>
      </c>
      <c r="M2354" t="s">
        <v>27</v>
      </c>
      <c r="N2354" t="s">
        <v>27</v>
      </c>
      <c r="O2354" t="s">
        <v>27</v>
      </c>
      <c r="P2354" t="s">
        <v>31</v>
      </c>
      <c r="Q2354">
        <v>100</v>
      </c>
      <c r="R2354" t="s">
        <v>31</v>
      </c>
      <c r="S2354" t="s">
        <v>31</v>
      </c>
      <c r="T2354" t="s">
        <v>31</v>
      </c>
    </row>
    <row r="2355" spans="1:20" hidden="1" x14ac:dyDescent="0.3">
      <c r="A2355" t="s">
        <v>2090</v>
      </c>
      <c r="B2355" t="s">
        <v>28</v>
      </c>
      <c r="C2355" t="s">
        <v>29</v>
      </c>
      <c r="D2355" t="s">
        <v>64</v>
      </c>
      <c r="E2355">
        <v>2024</v>
      </c>
      <c r="F2355">
        <v>2850000</v>
      </c>
      <c r="G2355" t="s">
        <v>31</v>
      </c>
      <c r="H2355" t="s">
        <v>2645</v>
      </c>
      <c r="I2355" t="s">
        <v>34</v>
      </c>
      <c r="J2355" t="s">
        <v>5843</v>
      </c>
      <c r="K2355" t="s">
        <v>5844</v>
      </c>
      <c r="L2355" t="s">
        <v>2091</v>
      </c>
      <c r="M2355" t="s">
        <v>27</v>
      </c>
      <c r="N2355" t="s">
        <v>27</v>
      </c>
      <c r="O2355" t="s">
        <v>27</v>
      </c>
      <c r="P2355" t="s">
        <v>31</v>
      </c>
      <c r="Q2355" t="s">
        <v>31</v>
      </c>
      <c r="R2355" t="s">
        <v>31</v>
      </c>
      <c r="S2355" t="s">
        <v>31</v>
      </c>
      <c r="T2355" t="s">
        <v>31</v>
      </c>
    </row>
    <row r="2356" spans="1:20" hidden="1" x14ac:dyDescent="0.3">
      <c r="A2356" t="s">
        <v>2092</v>
      </c>
      <c r="B2356" t="s">
        <v>51</v>
      </c>
      <c r="C2356" t="s">
        <v>37</v>
      </c>
      <c r="D2356" t="s">
        <v>56</v>
      </c>
      <c r="E2356">
        <v>2024</v>
      </c>
      <c r="F2356" t="s">
        <v>31</v>
      </c>
      <c r="G2356" t="s">
        <v>31</v>
      </c>
      <c r="H2356" t="s">
        <v>2669</v>
      </c>
      <c r="I2356" t="s">
        <v>111</v>
      </c>
      <c r="J2356" t="s">
        <v>5845</v>
      </c>
      <c r="K2356" t="s">
        <v>2649</v>
      </c>
      <c r="L2356" t="s">
        <v>31</v>
      </c>
      <c r="M2356" t="s">
        <v>27</v>
      </c>
      <c r="N2356" t="s">
        <v>27</v>
      </c>
      <c r="O2356" t="s">
        <v>27</v>
      </c>
      <c r="P2356" t="s">
        <v>31</v>
      </c>
      <c r="Q2356" t="s">
        <v>31</v>
      </c>
      <c r="R2356" t="s">
        <v>31</v>
      </c>
      <c r="S2356" t="s">
        <v>31</v>
      </c>
      <c r="T2356" t="s">
        <v>31</v>
      </c>
    </row>
    <row r="2357" spans="1:20" hidden="1" x14ac:dyDescent="0.3">
      <c r="A2357" t="s">
        <v>2093</v>
      </c>
      <c r="B2357" t="s">
        <v>28</v>
      </c>
      <c r="C2357" t="s">
        <v>29</v>
      </c>
      <c r="D2357" t="s">
        <v>64</v>
      </c>
      <c r="E2357">
        <v>2024</v>
      </c>
      <c r="F2357">
        <v>1300000</v>
      </c>
      <c r="G2357" t="s">
        <v>31</v>
      </c>
      <c r="H2357" t="s">
        <v>2645</v>
      </c>
      <c r="I2357" t="s">
        <v>34</v>
      </c>
      <c r="J2357" t="s">
        <v>5846</v>
      </c>
      <c r="K2357" t="s">
        <v>5847</v>
      </c>
      <c r="L2357" t="s">
        <v>287</v>
      </c>
      <c r="M2357" t="s">
        <v>27</v>
      </c>
      <c r="N2357" t="s">
        <v>27</v>
      </c>
      <c r="O2357" t="s">
        <v>27</v>
      </c>
      <c r="P2357" t="s">
        <v>31</v>
      </c>
      <c r="Q2357" t="s">
        <v>31</v>
      </c>
      <c r="R2357" t="s">
        <v>31</v>
      </c>
      <c r="S2357" t="s">
        <v>31</v>
      </c>
      <c r="T2357" t="s">
        <v>31</v>
      </c>
    </row>
    <row r="2358" spans="1:20" hidden="1" x14ac:dyDescent="0.3">
      <c r="A2358" t="s">
        <v>2094</v>
      </c>
      <c r="B2358" t="s">
        <v>51</v>
      </c>
      <c r="C2358" t="s">
        <v>37</v>
      </c>
      <c r="D2358" t="s">
        <v>52</v>
      </c>
      <c r="E2358">
        <v>2024</v>
      </c>
      <c r="F2358" t="s">
        <v>31</v>
      </c>
      <c r="G2358" t="s">
        <v>31</v>
      </c>
      <c r="H2358" t="s">
        <v>2678</v>
      </c>
      <c r="I2358" t="s">
        <v>53</v>
      </c>
      <c r="J2358" t="s">
        <v>5848</v>
      </c>
      <c r="K2358" t="s">
        <v>2649</v>
      </c>
      <c r="L2358" t="s">
        <v>31</v>
      </c>
      <c r="M2358" t="s">
        <v>27</v>
      </c>
      <c r="N2358" t="s">
        <v>27</v>
      </c>
      <c r="O2358" t="s">
        <v>27</v>
      </c>
      <c r="P2358" t="s">
        <v>31</v>
      </c>
      <c r="Q2358" t="s">
        <v>31</v>
      </c>
      <c r="R2358" t="s">
        <v>31</v>
      </c>
      <c r="S2358" t="s">
        <v>31</v>
      </c>
      <c r="T2358" t="s">
        <v>5849</v>
      </c>
    </row>
    <row r="2359" spans="1:20" hidden="1" x14ac:dyDescent="0.3">
      <c r="A2359" t="s">
        <v>2095</v>
      </c>
      <c r="B2359" t="s">
        <v>51</v>
      </c>
      <c r="C2359" t="s">
        <v>37</v>
      </c>
      <c r="D2359" t="s">
        <v>52</v>
      </c>
      <c r="E2359">
        <v>2024</v>
      </c>
      <c r="F2359" t="s">
        <v>31</v>
      </c>
      <c r="G2359" t="s">
        <v>31</v>
      </c>
      <c r="H2359" t="s">
        <v>2658</v>
      </c>
      <c r="I2359" t="s">
        <v>130</v>
      </c>
      <c r="J2359" t="s">
        <v>5850</v>
      </c>
      <c r="K2359" t="s">
        <v>5851</v>
      </c>
      <c r="L2359" t="s">
        <v>31</v>
      </c>
      <c r="M2359" t="s">
        <v>27</v>
      </c>
      <c r="N2359" t="s">
        <v>27</v>
      </c>
      <c r="O2359" t="s">
        <v>27</v>
      </c>
      <c r="P2359" t="s">
        <v>31</v>
      </c>
      <c r="Q2359" t="s">
        <v>31</v>
      </c>
      <c r="R2359" t="s">
        <v>31</v>
      </c>
      <c r="S2359" t="s">
        <v>31</v>
      </c>
      <c r="T2359" t="s">
        <v>31</v>
      </c>
    </row>
    <row r="2360" spans="1:20" hidden="1" x14ac:dyDescent="0.3">
      <c r="A2360" t="s">
        <v>2096</v>
      </c>
      <c r="B2360" t="s">
        <v>51</v>
      </c>
      <c r="C2360" t="s">
        <v>37</v>
      </c>
      <c r="D2360" t="s">
        <v>56</v>
      </c>
      <c r="E2360">
        <v>2024</v>
      </c>
      <c r="F2360" t="s">
        <v>31</v>
      </c>
      <c r="G2360" t="s">
        <v>5852</v>
      </c>
      <c r="H2360" t="s">
        <v>2730</v>
      </c>
      <c r="I2360" t="s">
        <v>57</v>
      </c>
      <c r="J2360" t="s">
        <v>5853</v>
      </c>
      <c r="K2360" t="s">
        <v>2649</v>
      </c>
      <c r="L2360" t="s">
        <v>54</v>
      </c>
      <c r="M2360" t="s">
        <v>27</v>
      </c>
      <c r="N2360" t="s">
        <v>27</v>
      </c>
      <c r="O2360" t="s">
        <v>33</v>
      </c>
      <c r="P2360" t="s">
        <v>31</v>
      </c>
      <c r="Q2360" t="s">
        <v>31</v>
      </c>
      <c r="R2360" t="s">
        <v>31</v>
      </c>
      <c r="S2360" t="s">
        <v>31</v>
      </c>
      <c r="T2360" t="s">
        <v>31</v>
      </c>
    </row>
    <row r="2361" spans="1:20" hidden="1" x14ac:dyDescent="0.3">
      <c r="A2361" t="s">
        <v>2097</v>
      </c>
      <c r="B2361" t="s">
        <v>51</v>
      </c>
      <c r="C2361" t="s">
        <v>37</v>
      </c>
      <c r="D2361" t="s">
        <v>52</v>
      </c>
      <c r="E2361">
        <v>2024</v>
      </c>
      <c r="F2361">
        <v>2700000</v>
      </c>
      <c r="G2361" t="s">
        <v>31</v>
      </c>
      <c r="H2361" t="s">
        <v>2645</v>
      </c>
      <c r="I2361" t="s">
        <v>34</v>
      </c>
      <c r="J2361" t="s">
        <v>5854</v>
      </c>
      <c r="K2361" t="s">
        <v>31</v>
      </c>
      <c r="L2361" t="s">
        <v>29</v>
      </c>
      <c r="M2361" t="s">
        <v>27</v>
      </c>
      <c r="N2361" t="s">
        <v>27</v>
      </c>
      <c r="O2361" t="s">
        <v>33</v>
      </c>
      <c r="P2361" t="s">
        <v>31</v>
      </c>
      <c r="Q2361" t="s">
        <v>31</v>
      </c>
      <c r="R2361" t="s">
        <v>31</v>
      </c>
      <c r="S2361" t="s">
        <v>31</v>
      </c>
      <c r="T2361" t="s">
        <v>31</v>
      </c>
    </row>
    <row r="2362" spans="1:20" hidden="1" x14ac:dyDescent="0.3">
      <c r="A2362" t="s">
        <v>2098</v>
      </c>
      <c r="B2362" t="s">
        <v>51</v>
      </c>
      <c r="C2362" t="s">
        <v>37</v>
      </c>
      <c r="D2362" t="s">
        <v>52</v>
      </c>
      <c r="E2362">
        <v>2024</v>
      </c>
      <c r="F2362" t="s">
        <v>31</v>
      </c>
      <c r="G2362" t="s">
        <v>5797</v>
      </c>
      <c r="H2362" t="s">
        <v>2658</v>
      </c>
      <c r="I2362" t="s">
        <v>130</v>
      </c>
      <c r="J2362" t="s">
        <v>5855</v>
      </c>
      <c r="K2362" t="s">
        <v>2649</v>
      </c>
      <c r="L2362" t="s">
        <v>31</v>
      </c>
      <c r="M2362" t="s">
        <v>27</v>
      </c>
      <c r="N2362" t="s">
        <v>27</v>
      </c>
      <c r="O2362" t="s">
        <v>27</v>
      </c>
      <c r="P2362" t="s">
        <v>31</v>
      </c>
      <c r="Q2362" t="s">
        <v>31</v>
      </c>
      <c r="R2362" t="s">
        <v>31</v>
      </c>
      <c r="S2362" t="s">
        <v>31</v>
      </c>
      <c r="T2362" t="s">
        <v>31</v>
      </c>
    </row>
    <row r="2363" spans="1:20" hidden="1" x14ac:dyDescent="0.3">
      <c r="A2363" t="s">
        <v>2099</v>
      </c>
      <c r="B2363" t="s">
        <v>51</v>
      </c>
      <c r="C2363" t="s">
        <v>37</v>
      </c>
      <c r="D2363" t="s">
        <v>52</v>
      </c>
      <c r="E2363">
        <v>2024</v>
      </c>
      <c r="F2363" t="s">
        <v>31</v>
      </c>
      <c r="G2363" t="s">
        <v>31</v>
      </c>
      <c r="H2363" t="s">
        <v>2730</v>
      </c>
      <c r="I2363" t="s">
        <v>57</v>
      </c>
      <c r="J2363" t="s">
        <v>5856</v>
      </c>
      <c r="K2363" t="s">
        <v>2649</v>
      </c>
      <c r="L2363" t="s">
        <v>31</v>
      </c>
      <c r="M2363" t="s">
        <v>27</v>
      </c>
      <c r="N2363" t="s">
        <v>27</v>
      </c>
      <c r="O2363" t="s">
        <v>27</v>
      </c>
      <c r="P2363" t="s">
        <v>31</v>
      </c>
      <c r="Q2363" t="s">
        <v>31</v>
      </c>
      <c r="R2363" t="s">
        <v>31</v>
      </c>
      <c r="S2363" t="s">
        <v>31</v>
      </c>
      <c r="T2363" t="s">
        <v>31</v>
      </c>
    </row>
    <row r="2364" spans="1:20" hidden="1" x14ac:dyDescent="0.3">
      <c r="A2364" t="s">
        <v>2100</v>
      </c>
      <c r="B2364" t="s">
        <v>28</v>
      </c>
      <c r="C2364" t="s">
        <v>29</v>
      </c>
      <c r="D2364" t="s">
        <v>97</v>
      </c>
      <c r="E2364">
        <v>2024</v>
      </c>
      <c r="F2364">
        <v>6600000</v>
      </c>
      <c r="G2364" t="s">
        <v>31</v>
      </c>
      <c r="H2364" t="s">
        <v>2645</v>
      </c>
      <c r="I2364" t="s">
        <v>34</v>
      </c>
      <c r="J2364" t="s">
        <v>5857</v>
      </c>
      <c r="K2364" t="s">
        <v>31</v>
      </c>
      <c r="L2364" t="s">
        <v>1377</v>
      </c>
      <c r="M2364" t="s">
        <v>27</v>
      </c>
      <c r="N2364" t="s">
        <v>27</v>
      </c>
      <c r="O2364" t="s">
        <v>27</v>
      </c>
      <c r="P2364" t="s">
        <v>31</v>
      </c>
      <c r="Q2364" t="s">
        <v>31</v>
      </c>
      <c r="R2364" t="s">
        <v>31</v>
      </c>
      <c r="S2364" t="s">
        <v>31</v>
      </c>
      <c r="T2364" t="s">
        <v>31</v>
      </c>
    </row>
    <row r="2365" spans="1:20" hidden="1" x14ac:dyDescent="0.3">
      <c r="A2365" t="s">
        <v>2101</v>
      </c>
      <c r="B2365" t="s">
        <v>28</v>
      </c>
      <c r="C2365" t="s">
        <v>29</v>
      </c>
      <c r="D2365" t="s">
        <v>64</v>
      </c>
      <c r="E2365">
        <v>2024</v>
      </c>
      <c r="F2365" t="s">
        <v>31</v>
      </c>
      <c r="G2365" t="s">
        <v>31</v>
      </c>
      <c r="H2365" t="s">
        <v>2647</v>
      </c>
      <c r="I2365" t="s">
        <v>47</v>
      </c>
      <c r="J2365" t="s">
        <v>5858</v>
      </c>
      <c r="K2365" t="s">
        <v>31</v>
      </c>
      <c r="L2365" t="s">
        <v>37</v>
      </c>
      <c r="M2365" t="s">
        <v>27</v>
      </c>
      <c r="N2365" t="s">
        <v>27</v>
      </c>
      <c r="O2365" t="s">
        <v>33</v>
      </c>
      <c r="P2365" t="s">
        <v>31</v>
      </c>
      <c r="Q2365" t="s">
        <v>31</v>
      </c>
      <c r="R2365" t="s">
        <v>31</v>
      </c>
      <c r="S2365" t="s">
        <v>31</v>
      </c>
      <c r="T2365" t="s">
        <v>5859</v>
      </c>
    </row>
    <row r="2366" spans="1:20" hidden="1" x14ac:dyDescent="0.3">
      <c r="A2366" t="s">
        <v>2102</v>
      </c>
      <c r="B2366" t="s">
        <v>28</v>
      </c>
      <c r="C2366" t="s">
        <v>29</v>
      </c>
      <c r="D2366" t="s">
        <v>64</v>
      </c>
      <c r="E2366">
        <v>2024</v>
      </c>
      <c r="F2366">
        <v>3200000</v>
      </c>
      <c r="G2366" t="s">
        <v>31</v>
      </c>
      <c r="H2366" t="s">
        <v>2645</v>
      </c>
      <c r="I2366" t="s">
        <v>34</v>
      </c>
      <c r="J2366" t="s">
        <v>5860</v>
      </c>
      <c r="K2366" t="s">
        <v>31</v>
      </c>
      <c r="L2366" t="s">
        <v>65</v>
      </c>
      <c r="M2366" t="s">
        <v>27</v>
      </c>
      <c r="N2366" t="s">
        <v>27</v>
      </c>
      <c r="O2366" t="s">
        <v>27</v>
      </c>
      <c r="P2366" t="s">
        <v>31</v>
      </c>
      <c r="Q2366" t="s">
        <v>31</v>
      </c>
      <c r="R2366" t="s">
        <v>31</v>
      </c>
      <c r="S2366" t="s">
        <v>31</v>
      </c>
      <c r="T2366" t="s">
        <v>31</v>
      </c>
    </row>
    <row r="2367" spans="1:20" hidden="1" x14ac:dyDescent="0.3">
      <c r="A2367" t="s">
        <v>2103</v>
      </c>
      <c r="B2367" t="s">
        <v>39</v>
      </c>
      <c r="C2367" t="s">
        <v>40</v>
      </c>
      <c r="D2367" t="s">
        <v>142</v>
      </c>
      <c r="E2367">
        <v>2024</v>
      </c>
      <c r="F2367" t="s">
        <v>31</v>
      </c>
      <c r="G2367" t="s">
        <v>5793</v>
      </c>
      <c r="H2367" t="s">
        <v>2719</v>
      </c>
      <c r="I2367" t="s">
        <v>90</v>
      </c>
      <c r="J2367" t="s">
        <v>5861</v>
      </c>
      <c r="K2367" t="s">
        <v>5862</v>
      </c>
      <c r="L2367" t="s">
        <v>31</v>
      </c>
      <c r="M2367" t="s">
        <v>27</v>
      </c>
      <c r="N2367" t="s">
        <v>27</v>
      </c>
      <c r="O2367" t="s">
        <v>27</v>
      </c>
      <c r="P2367" t="s">
        <v>31</v>
      </c>
      <c r="Q2367" t="s">
        <v>31</v>
      </c>
      <c r="R2367" t="s">
        <v>31</v>
      </c>
      <c r="S2367" t="s">
        <v>31</v>
      </c>
      <c r="T2367" t="s">
        <v>31</v>
      </c>
    </row>
    <row r="2368" spans="1:20" hidden="1" x14ac:dyDescent="0.3">
      <c r="A2368" t="s">
        <v>2104</v>
      </c>
      <c r="B2368" t="s">
        <v>51</v>
      </c>
      <c r="C2368" t="s">
        <v>2655</v>
      </c>
      <c r="D2368" t="s">
        <v>134</v>
      </c>
      <c r="E2368">
        <v>2024</v>
      </c>
      <c r="F2368">
        <v>10000</v>
      </c>
      <c r="G2368" t="s">
        <v>31</v>
      </c>
      <c r="H2368" t="s">
        <v>2666</v>
      </c>
      <c r="I2368" t="s">
        <v>109</v>
      </c>
      <c r="J2368" t="s">
        <v>5863</v>
      </c>
      <c r="K2368" t="s">
        <v>2649</v>
      </c>
      <c r="L2368" t="s">
        <v>82</v>
      </c>
      <c r="M2368" t="s">
        <v>27</v>
      </c>
      <c r="N2368" t="s">
        <v>27</v>
      </c>
      <c r="O2368" t="s">
        <v>27</v>
      </c>
      <c r="P2368" t="s">
        <v>31</v>
      </c>
      <c r="Q2368" t="s">
        <v>31</v>
      </c>
      <c r="R2368" t="s">
        <v>31</v>
      </c>
      <c r="S2368" t="s">
        <v>31</v>
      </c>
      <c r="T2368" t="s">
        <v>31</v>
      </c>
    </row>
    <row r="2369" spans="1:20" hidden="1" x14ac:dyDescent="0.3">
      <c r="A2369" t="s">
        <v>2105</v>
      </c>
      <c r="B2369" t="s">
        <v>28</v>
      </c>
      <c r="C2369" t="s">
        <v>29</v>
      </c>
      <c r="D2369" t="s">
        <v>30</v>
      </c>
      <c r="E2369">
        <v>2024</v>
      </c>
      <c r="F2369">
        <v>218000</v>
      </c>
      <c r="G2369" t="s">
        <v>5754</v>
      </c>
      <c r="H2369" t="s">
        <v>2898</v>
      </c>
      <c r="I2369" t="s">
        <v>446</v>
      </c>
      <c r="J2369" t="s">
        <v>5864</v>
      </c>
      <c r="K2369" t="s">
        <v>31</v>
      </c>
      <c r="L2369" t="s">
        <v>31</v>
      </c>
      <c r="M2369" t="s">
        <v>27</v>
      </c>
      <c r="N2369" t="s">
        <v>27</v>
      </c>
      <c r="O2369" t="s">
        <v>33</v>
      </c>
      <c r="P2369" t="s">
        <v>31</v>
      </c>
      <c r="Q2369">
        <v>265</v>
      </c>
      <c r="R2369" t="s">
        <v>31</v>
      </c>
      <c r="S2369" t="s">
        <v>31</v>
      </c>
      <c r="T2369" t="s">
        <v>31</v>
      </c>
    </row>
    <row r="2370" spans="1:20" hidden="1" x14ac:dyDescent="0.3">
      <c r="A2370" t="s">
        <v>2106</v>
      </c>
      <c r="B2370" t="s">
        <v>91</v>
      </c>
      <c r="C2370" t="s">
        <v>92</v>
      </c>
      <c r="D2370" t="s">
        <v>93</v>
      </c>
      <c r="E2370">
        <v>2024</v>
      </c>
      <c r="F2370" t="s">
        <v>31</v>
      </c>
      <c r="G2370" t="s">
        <v>31</v>
      </c>
      <c r="H2370" t="s">
        <v>2678</v>
      </c>
      <c r="I2370" t="s">
        <v>53</v>
      </c>
      <c r="J2370" t="s">
        <v>5865</v>
      </c>
      <c r="K2370" t="s">
        <v>31</v>
      </c>
      <c r="L2370" t="s">
        <v>214</v>
      </c>
      <c r="M2370" t="s">
        <v>27</v>
      </c>
      <c r="N2370" t="s">
        <v>27</v>
      </c>
      <c r="O2370" t="s">
        <v>27</v>
      </c>
      <c r="P2370" t="s">
        <v>31</v>
      </c>
      <c r="Q2370">
        <v>7.2</v>
      </c>
      <c r="R2370">
        <v>-15.827</v>
      </c>
      <c r="S2370">
        <v>-74.463999999999999</v>
      </c>
      <c r="T2370" t="s">
        <v>31</v>
      </c>
    </row>
    <row r="2371" spans="1:20" hidden="1" x14ac:dyDescent="0.3">
      <c r="A2371" t="s">
        <v>2107</v>
      </c>
      <c r="B2371" t="s">
        <v>28</v>
      </c>
      <c r="C2371" t="s">
        <v>29</v>
      </c>
      <c r="D2371" t="s">
        <v>189</v>
      </c>
      <c r="E2371">
        <v>2024</v>
      </c>
      <c r="F2371">
        <v>2250000</v>
      </c>
      <c r="G2371" t="s">
        <v>31</v>
      </c>
      <c r="H2371" t="s">
        <v>2739</v>
      </c>
      <c r="I2371" t="s">
        <v>77</v>
      </c>
      <c r="J2371" t="s">
        <v>5866</v>
      </c>
      <c r="K2371" t="s">
        <v>31</v>
      </c>
      <c r="L2371" t="s">
        <v>37</v>
      </c>
      <c r="M2371" t="s">
        <v>27</v>
      </c>
      <c r="N2371" t="s">
        <v>27</v>
      </c>
      <c r="O2371" t="s">
        <v>27</v>
      </c>
      <c r="P2371" t="s">
        <v>31</v>
      </c>
      <c r="Q2371" t="s">
        <v>31</v>
      </c>
      <c r="R2371" t="s">
        <v>31</v>
      </c>
      <c r="S2371" t="s">
        <v>31</v>
      </c>
      <c r="T2371" t="s">
        <v>31</v>
      </c>
    </row>
    <row r="2372" spans="1:20" hidden="1" x14ac:dyDescent="0.3">
      <c r="A2372" t="s">
        <v>2108</v>
      </c>
      <c r="B2372" t="s">
        <v>43</v>
      </c>
      <c r="C2372" t="s">
        <v>2665</v>
      </c>
      <c r="D2372" t="s">
        <v>114</v>
      </c>
      <c r="E2372">
        <v>2024</v>
      </c>
      <c r="F2372" t="s">
        <v>31</v>
      </c>
      <c r="G2372" t="s">
        <v>5867</v>
      </c>
      <c r="H2372" t="s">
        <v>2774</v>
      </c>
      <c r="I2372" t="s">
        <v>166</v>
      </c>
      <c r="J2372" t="s">
        <v>5868</v>
      </c>
      <c r="K2372" t="s">
        <v>31</v>
      </c>
      <c r="L2372" t="s">
        <v>31</v>
      </c>
      <c r="M2372" t="s">
        <v>27</v>
      </c>
      <c r="N2372" t="s">
        <v>27</v>
      </c>
      <c r="O2372" t="s">
        <v>33</v>
      </c>
      <c r="P2372" t="s">
        <v>31</v>
      </c>
      <c r="Q2372" t="s">
        <v>31</v>
      </c>
      <c r="R2372" t="s">
        <v>31</v>
      </c>
      <c r="S2372" t="s">
        <v>31</v>
      </c>
      <c r="T2372" t="s">
        <v>31</v>
      </c>
    </row>
    <row r="2373" spans="1:20" hidden="1" x14ac:dyDescent="0.3">
      <c r="A2373" t="s">
        <v>2109</v>
      </c>
      <c r="B2373" t="s">
        <v>51</v>
      </c>
      <c r="C2373" t="s">
        <v>2655</v>
      </c>
      <c r="D2373" t="s">
        <v>134</v>
      </c>
      <c r="E2373">
        <v>2024</v>
      </c>
      <c r="F2373" t="s">
        <v>31</v>
      </c>
      <c r="G2373" t="s">
        <v>31</v>
      </c>
      <c r="H2373" t="s">
        <v>2672</v>
      </c>
      <c r="I2373" t="s">
        <v>73</v>
      </c>
      <c r="J2373" t="s">
        <v>5869</v>
      </c>
      <c r="K2373" t="s">
        <v>2649</v>
      </c>
      <c r="L2373" t="s">
        <v>31</v>
      </c>
      <c r="M2373" t="s">
        <v>27</v>
      </c>
      <c r="N2373" t="s">
        <v>27</v>
      </c>
      <c r="O2373" t="s">
        <v>27</v>
      </c>
      <c r="P2373" t="s">
        <v>31</v>
      </c>
      <c r="Q2373" t="s">
        <v>31</v>
      </c>
      <c r="R2373" t="s">
        <v>31</v>
      </c>
      <c r="S2373" t="s">
        <v>31</v>
      </c>
      <c r="T2373" t="s">
        <v>31</v>
      </c>
    </row>
    <row r="2374" spans="1:20" hidden="1" x14ac:dyDescent="0.3">
      <c r="A2374" t="s">
        <v>2110</v>
      </c>
      <c r="B2374" t="s">
        <v>28</v>
      </c>
      <c r="C2374" t="s">
        <v>29</v>
      </c>
      <c r="D2374" t="s">
        <v>30</v>
      </c>
      <c r="E2374">
        <v>2024</v>
      </c>
      <c r="F2374">
        <v>2450000</v>
      </c>
      <c r="G2374" t="s">
        <v>31</v>
      </c>
      <c r="H2374" t="s">
        <v>2672</v>
      </c>
      <c r="I2374" t="s">
        <v>73</v>
      </c>
      <c r="J2374" t="s">
        <v>5870</v>
      </c>
      <c r="K2374" t="s">
        <v>31</v>
      </c>
      <c r="L2374" t="s">
        <v>82</v>
      </c>
      <c r="M2374" t="s">
        <v>27</v>
      </c>
      <c r="N2374" t="s">
        <v>27</v>
      </c>
      <c r="O2374" t="s">
        <v>27</v>
      </c>
      <c r="P2374" t="s">
        <v>31</v>
      </c>
      <c r="Q2374">
        <v>194</v>
      </c>
      <c r="R2374" t="s">
        <v>31</v>
      </c>
      <c r="S2374" t="s">
        <v>31</v>
      </c>
      <c r="T2374" t="s">
        <v>31</v>
      </c>
    </row>
    <row r="2375" spans="1:20" hidden="1" x14ac:dyDescent="0.3">
      <c r="A2375" t="s">
        <v>2111</v>
      </c>
      <c r="B2375" t="s">
        <v>28</v>
      </c>
      <c r="C2375" t="s">
        <v>2685</v>
      </c>
      <c r="D2375" t="s">
        <v>95</v>
      </c>
      <c r="E2375">
        <v>2024</v>
      </c>
      <c r="F2375" t="s">
        <v>31</v>
      </c>
      <c r="G2375" t="s">
        <v>31</v>
      </c>
      <c r="H2375" t="s">
        <v>2645</v>
      </c>
      <c r="I2375" t="s">
        <v>34</v>
      </c>
      <c r="J2375" t="s">
        <v>5871</v>
      </c>
      <c r="K2375" t="s">
        <v>31</v>
      </c>
      <c r="L2375" t="s">
        <v>31</v>
      </c>
      <c r="M2375" t="s">
        <v>27</v>
      </c>
      <c r="N2375" t="s">
        <v>27</v>
      </c>
      <c r="O2375" t="s">
        <v>27</v>
      </c>
      <c r="P2375" t="s">
        <v>31</v>
      </c>
      <c r="Q2375">
        <v>40</v>
      </c>
      <c r="R2375" t="s">
        <v>31</v>
      </c>
      <c r="S2375" t="s">
        <v>31</v>
      </c>
      <c r="T2375" t="s">
        <v>31</v>
      </c>
    </row>
    <row r="2376" spans="1:20" hidden="1" x14ac:dyDescent="0.3">
      <c r="A2376" t="s">
        <v>2112</v>
      </c>
      <c r="B2376" t="s">
        <v>51</v>
      </c>
      <c r="C2376" t="s">
        <v>37</v>
      </c>
      <c r="D2376" t="s">
        <v>56</v>
      </c>
      <c r="E2376">
        <v>2024</v>
      </c>
      <c r="F2376" t="s">
        <v>31</v>
      </c>
      <c r="G2376" t="s">
        <v>31</v>
      </c>
      <c r="H2376" t="s">
        <v>2645</v>
      </c>
      <c r="I2376" t="s">
        <v>34</v>
      </c>
      <c r="J2376" t="s">
        <v>5872</v>
      </c>
      <c r="K2376" t="s">
        <v>2649</v>
      </c>
      <c r="L2376" t="s">
        <v>31</v>
      </c>
      <c r="M2376" t="s">
        <v>27</v>
      </c>
      <c r="N2376" t="s">
        <v>27</v>
      </c>
      <c r="O2376" t="s">
        <v>33</v>
      </c>
      <c r="P2376" t="s">
        <v>31</v>
      </c>
      <c r="Q2376" t="s">
        <v>31</v>
      </c>
      <c r="R2376" t="s">
        <v>31</v>
      </c>
      <c r="S2376" t="s">
        <v>31</v>
      </c>
      <c r="T2376" t="s">
        <v>31</v>
      </c>
    </row>
    <row r="2377" spans="1:20" hidden="1" x14ac:dyDescent="0.3">
      <c r="A2377" t="s">
        <v>2113</v>
      </c>
      <c r="B2377" t="s">
        <v>28</v>
      </c>
      <c r="C2377" t="s">
        <v>29</v>
      </c>
      <c r="D2377" t="s">
        <v>64</v>
      </c>
      <c r="E2377">
        <v>2024</v>
      </c>
      <c r="F2377">
        <v>110000</v>
      </c>
      <c r="G2377" t="s">
        <v>5873</v>
      </c>
      <c r="H2377" t="s">
        <v>2774</v>
      </c>
      <c r="I2377" t="s">
        <v>166</v>
      </c>
      <c r="J2377" t="s">
        <v>5874</v>
      </c>
      <c r="K2377" t="s">
        <v>5875</v>
      </c>
      <c r="L2377" t="s">
        <v>82</v>
      </c>
      <c r="M2377" t="s">
        <v>27</v>
      </c>
      <c r="N2377" t="s">
        <v>27</v>
      </c>
      <c r="O2377" t="s">
        <v>27</v>
      </c>
      <c r="P2377" t="s">
        <v>31</v>
      </c>
      <c r="Q2377" t="s">
        <v>31</v>
      </c>
      <c r="R2377" t="s">
        <v>31</v>
      </c>
      <c r="S2377" t="s">
        <v>31</v>
      </c>
      <c r="T2377" t="s">
        <v>31</v>
      </c>
    </row>
    <row r="2378" spans="1:20" hidden="1" x14ac:dyDescent="0.3">
      <c r="A2378" t="s">
        <v>2114</v>
      </c>
      <c r="B2378" t="s">
        <v>28</v>
      </c>
      <c r="C2378" t="s">
        <v>29</v>
      </c>
      <c r="D2378" t="s">
        <v>30</v>
      </c>
      <c r="E2378">
        <v>2024</v>
      </c>
      <c r="F2378" t="s">
        <v>31</v>
      </c>
      <c r="G2378" t="s">
        <v>5764</v>
      </c>
      <c r="H2378" t="s">
        <v>2695</v>
      </c>
      <c r="I2378" t="s">
        <v>161</v>
      </c>
      <c r="J2378" t="s">
        <v>31</v>
      </c>
      <c r="K2378" t="s">
        <v>31</v>
      </c>
      <c r="L2378" t="s">
        <v>31</v>
      </c>
      <c r="M2378" t="s">
        <v>27</v>
      </c>
      <c r="N2378" t="s">
        <v>27</v>
      </c>
      <c r="O2378" t="s">
        <v>27</v>
      </c>
      <c r="P2378" t="s">
        <v>31</v>
      </c>
      <c r="Q2378" t="s">
        <v>31</v>
      </c>
      <c r="R2378" t="s">
        <v>31</v>
      </c>
      <c r="S2378" t="s">
        <v>31</v>
      </c>
      <c r="T2378" t="s">
        <v>31</v>
      </c>
    </row>
    <row r="2379" spans="1:20" hidden="1" x14ac:dyDescent="0.3">
      <c r="A2379" t="s">
        <v>2115</v>
      </c>
      <c r="B2379" t="s">
        <v>28</v>
      </c>
      <c r="C2379" t="s">
        <v>29</v>
      </c>
      <c r="D2379" t="s">
        <v>30</v>
      </c>
      <c r="E2379">
        <v>2024</v>
      </c>
      <c r="F2379" t="s">
        <v>31</v>
      </c>
      <c r="G2379" t="s">
        <v>5764</v>
      </c>
      <c r="H2379" t="s">
        <v>2719</v>
      </c>
      <c r="I2379" t="s">
        <v>90</v>
      </c>
      <c r="J2379" t="s">
        <v>5876</v>
      </c>
      <c r="K2379" t="s">
        <v>31</v>
      </c>
      <c r="L2379" t="s">
        <v>82</v>
      </c>
      <c r="M2379" t="s">
        <v>27</v>
      </c>
      <c r="N2379" t="s">
        <v>27</v>
      </c>
      <c r="O2379" t="s">
        <v>27</v>
      </c>
      <c r="P2379" t="s">
        <v>31</v>
      </c>
      <c r="Q2379" t="s">
        <v>31</v>
      </c>
      <c r="R2379" t="s">
        <v>31</v>
      </c>
      <c r="S2379" t="s">
        <v>31</v>
      </c>
      <c r="T2379" t="s">
        <v>31</v>
      </c>
    </row>
    <row r="2380" spans="1:20" hidden="1" x14ac:dyDescent="0.3">
      <c r="A2380" t="s">
        <v>2116</v>
      </c>
      <c r="B2380" t="s">
        <v>28</v>
      </c>
      <c r="C2380" t="s">
        <v>29</v>
      </c>
      <c r="D2380" t="s">
        <v>30</v>
      </c>
      <c r="E2380">
        <v>2024</v>
      </c>
      <c r="F2380" t="s">
        <v>31</v>
      </c>
      <c r="G2380" t="s">
        <v>5764</v>
      </c>
      <c r="H2380" t="s">
        <v>2680</v>
      </c>
      <c r="I2380" t="s">
        <v>115</v>
      </c>
      <c r="J2380" t="s">
        <v>31</v>
      </c>
      <c r="K2380" t="s">
        <v>31</v>
      </c>
      <c r="L2380" t="s">
        <v>82</v>
      </c>
      <c r="M2380" t="s">
        <v>27</v>
      </c>
      <c r="N2380" t="s">
        <v>27</v>
      </c>
      <c r="O2380" t="s">
        <v>27</v>
      </c>
      <c r="P2380" t="s">
        <v>31</v>
      </c>
      <c r="Q2380" t="s">
        <v>31</v>
      </c>
      <c r="R2380" t="s">
        <v>31</v>
      </c>
      <c r="S2380" t="s">
        <v>31</v>
      </c>
      <c r="T2380" t="s">
        <v>31</v>
      </c>
    </row>
    <row r="2381" spans="1:20" hidden="1" x14ac:dyDescent="0.3">
      <c r="A2381" t="s">
        <v>2117</v>
      </c>
      <c r="B2381" t="s">
        <v>39</v>
      </c>
      <c r="C2381" t="s">
        <v>157</v>
      </c>
      <c r="D2381" t="s">
        <v>157</v>
      </c>
      <c r="E2381">
        <v>2024</v>
      </c>
      <c r="F2381">
        <v>6050000</v>
      </c>
      <c r="G2381" t="s">
        <v>31</v>
      </c>
      <c r="H2381" t="s">
        <v>2656</v>
      </c>
      <c r="I2381" t="s">
        <v>119</v>
      </c>
      <c r="J2381" t="s">
        <v>5877</v>
      </c>
      <c r="K2381" t="s">
        <v>3910</v>
      </c>
      <c r="L2381" t="s">
        <v>31</v>
      </c>
      <c r="M2381" t="s">
        <v>27</v>
      </c>
      <c r="N2381" t="s">
        <v>27</v>
      </c>
      <c r="O2381" t="s">
        <v>27</v>
      </c>
      <c r="P2381" t="s">
        <v>31</v>
      </c>
      <c r="Q2381" t="s">
        <v>31</v>
      </c>
      <c r="R2381" t="s">
        <v>31</v>
      </c>
      <c r="S2381" t="s">
        <v>31</v>
      </c>
      <c r="T2381" t="s">
        <v>31</v>
      </c>
    </row>
    <row r="2382" spans="1:20" hidden="1" x14ac:dyDescent="0.3">
      <c r="A2382" t="s">
        <v>2118</v>
      </c>
      <c r="B2382" t="s">
        <v>39</v>
      </c>
      <c r="C2382" t="s">
        <v>157</v>
      </c>
      <c r="D2382" t="s">
        <v>157</v>
      </c>
      <c r="E2382">
        <v>2024</v>
      </c>
      <c r="F2382">
        <v>5400000</v>
      </c>
      <c r="G2382" t="s">
        <v>31</v>
      </c>
      <c r="H2382" t="s">
        <v>2645</v>
      </c>
      <c r="I2382" t="s">
        <v>34</v>
      </c>
      <c r="J2382" t="s">
        <v>5878</v>
      </c>
      <c r="K2382" t="s">
        <v>31</v>
      </c>
      <c r="L2382" t="s">
        <v>31</v>
      </c>
      <c r="M2382" t="s">
        <v>27</v>
      </c>
      <c r="N2382" t="s">
        <v>27</v>
      </c>
      <c r="O2382" t="s">
        <v>27</v>
      </c>
      <c r="P2382" t="s">
        <v>31</v>
      </c>
      <c r="Q2382" t="s">
        <v>31</v>
      </c>
      <c r="R2382" t="s">
        <v>31</v>
      </c>
      <c r="S2382" t="s">
        <v>31</v>
      </c>
      <c r="T2382" t="s">
        <v>31</v>
      </c>
    </row>
  </sheetData>
  <autoFilter ref="A1:T2382">
    <filterColumn colId="2">
      <filters>
        <filter val="Flood"/>
      </filters>
    </filterColumn>
    <filterColumn colId="5">
      <customFilters>
        <customFilter operator="notEqual" val=" "/>
      </customFilters>
    </filterColumn>
    <filterColumn colId="8">
      <filters>
        <filter val="Brazil"/>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2402"/>
  <sheetViews>
    <sheetView topLeftCell="A1006" zoomScale="70" zoomScaleNormal="70" workbookViewId="0">
      <selection activeCell="E314" sqref="E314"/>
    </sheetView>
  </sheetViews>
  <sheetFormatPr defaultRowHeight="14.4" x14ac:dyDescent="0.3"/>
  <cols>
    <col min="1" max="1" width="14" customWidth="1"/>
    <col min="2" max="2" width="21.88671875" bestFit="1" customWidth="1"/>
    <col min="3" max="3" width="19.21875" customWidth="1"/>
    <col min="4" max="4" width="12.44140625" customWidth="1"/>
    <col min="5" max="5" width="25.5546875" customWidth="1"/>
    <col min="6" max="6" width="11.109375" customWidth="1"/>
    <col min="7" max="10" width="0" hidden="1" customWidth="1"/>
    <col min="11" max="11" width="12.6640625" customWidth="1"/>
    <col min="12" max="12" width="29.77734375" customWidth="1"/>
    <col min="13" max="13" width="11.5546875" customWidth="1"/>
  </cols>
  <sheetData>
    <row r="1" spans="1:13" x14ac:dyDescent="0.3">
      <c r="A1" t="s">
        <v>13</v>
      </c>
      <c r="B1" t="s">
        <v>14</v>
      </c>
      <c r="C1" t="s">
        <v>15</v>
      </c>
      <c r="D1" t="s">
        <v>21</v>
      </c>
      <c r="E1" t="s">
        <v>23</v>
      </c>
      <c r="F1" t="s">
        <v>16</v>
      </c>
      <c r="G1" t="s">
        <v>17</v>
      </c>
      <c r="H1" t="s">
        <v>18</v>
      </c>
      <c r="I1" t="s">
        <v>19</v>
      </c>
      <c r="J1" t="s">
        <v>20</v>
      </c>
      <c r="K1" t="s">
        <v>22</v>
      </c>
      <c r="L1" t="s">
        <v>24</v>
      </c>
      <c r="M1" t="s">
        <v>25</v>
      </c>
    </row>
    <row r="2" spans="1:13" hidden="1" x14ac:dyDescent="0.3">
      <c r="A2" t="s">
        <v>38</v>
      </c>
      <c r="B2" t="s">
        <v>39</v>
      </c>
      <c r="C2" t="s">
        <v>41</v>
      </c>
      <c r="D2">
        <v>2000</v>
      </c>
      <c r="E2">
        <v>1000000</v>
      </c>
      <c r="F2" t="s">
        <v>34</v>
      </c>
      <c r="G2" t="s">
        <v>31</v>
      </c>
      <c r="H2" t="s">
        <v>27</v>
      </c>
      <c r="I2" t="s">
        <v>27</v>
      </c>
      <c r="J2" t="s">
        <v>27</v>
      </c>
      <c r="K2">
        <v>1000</v>
      </c>
      <c r="L2">
        <v>1869587</v>
      </c>
      <c r="M2">
        <v>53.487736681678719</v>
      </c>
    </row>
    <row r="3" spans="1:13" hidden="1" x14ac:dyDescent="0.3">
      <c r="A3" t="s">
        <v>416</v>
      </c>
      <c r="B3" t="s">
        <v>51</v>
      </c>
      <c r="C3" t="s">
        <v>121</v>
      </c>
      <c r="D3">
        <v>2000</v>
      </c>
      <c r="E3" t="s">
        <v>31</v>
      </c>
      <c r="F3" t="s">
        <v>47</v>
      </c>
      <c r="G3" t="s">
        <v>417</v>
      </c>
      <c r="H3" t="s">
        <v>27</v>
      </c>
      <c r="I3" t="s">
        <v>27</v>
      </c>
      <c r="J3" t="s">
        <v>27</v>
      </c>
      <c r="K3">
        <v>12000</v>
      </c>
      <c r="L3" t="s">
        <v>31</v>
      </c>
      <c r="M3">
        <v>53.487736681678719</v>
      </c>
    </row>
    <row r="4" spans="1:13" hidden="1" x14ac:dyDescent="0.3">
      <c r="A4" t="s">
        <v>420</v>
      </c>
      <c r="B4" t="s">
        <v>51</v>
      </c>
      <c r="C4" t="s">
        <v>56</v>
      </c>
      <c r="D4">
        <v>2000</v>
      </c>
      <c r="E4" t="s">
        <v>31</v>
      </c>
      <c r="F4" t="s">
        <v>34</v>
      </c>
      <c r="G4" t="s">
        <v>31</v>
      </c>
      <c r="H4" t="s">
        <v>27</v>
      </c>
      <c r="I4" t="s">
        <v>27</v>
      </c>
      <c r="J4" t="s">
        <v>27</v>
      </c>
      <c r="K4">
        <v>300</v>
      </c>
      <c r="L4" t="s">
        <v>31</v>
      </c>
      <c r="M4">
        <v>53.487736681678719</v>
      </c>
    </row>
    <row r="5" spans="1:13" hidden="1" x14ac:dyDescent="0.3">
      <c r="A5" t="s">
        <v>504</v>
      </c>
      <c r="B5" t="s">
        <v>39</v>
      </c>
      <c r="C5" t="s">
        <v>41</v>
      </c>
      <c r="D5">
        <v>2000</v>
      </c>
      <c r="E5" t="s">
        <v>31</v>
      </c>
      <c r="F5" t="s">
        <v>34</v>
      </c>
      <c r="G5" t="s">
        <v>31</v>
      </c>
      <c r="H5" t="s">
        <v>27</v>
      </c>
      <c r="I5" t="s">
        <v>27</v>
      </c>
      <c r="J5" t="s">
        <v>27</v>
      </c>
      <c r="K5" t="s">
        <v>31</v>
      </c>
      <c r="L5" t="s">
        <v>31</v>
      </c>
      <c r="M5">
        <v>53.487736681678719</v>
      </c>
    </row>
    <row r="6" spans="1:13" hidden="1" x14ac:dyDescent="0.3">
      <c r="A6" t="s">
        <v>510</v>
      </c>
      <c r="B6" t="s">
        <v>51</v>
      </c>
      <c r="C6" t="s">
        <v>150</v>
      </c>
      <c r="D6">
        <v>2000</v>
      </c>
      <c r="E6">
        <v>75000</v>
      </c>
      <c r="F6" t="s">
        <v>119</v>
      </c>
      <c r="G6" t="s">
        <v>31</v>
      </c>
      <c r="H6" t="s">
        <v>27</v>
      </c>
      <c r="I6" t="s">
        <v>27</v>
      </c>
      <c r="J6" t="s">
        <v>27</v>
      </c>
      <c r="K6">
        <v>143000</v>
      </c>
      <c r="L6">
        <v>140219</v>
      </c>
      <c r="M6">
        <v>53.487736681678719</v>
      </c>
    </row>
    <row r="7" spans="1:13" hidden="1" x14ac:dyDescent="0.3">
      <c r="A7" t="s">
        <v>517</v>
      </c>
      <c r="B7" t="s">
        <v>51</v>
      </c>
      <c r="C7" t="s">
        <v>52</v>
      </c>
      <c r="D7">
        <v>2000</v>
      </c>
      <c r="E7" t="s">
        <v>31</v>
      </c>
      <c r="F7" t="s">
        <v>34</v>
      </c>
      <c r="G7" t="s">
        <v>31</v>
      </c>
      <c r="H7" t="s">
        <v>27</v>
      </c>
      <c r="I7" t="s">
        <v>27</v>
      </c>
      <c r="J7" t="s">
        <v>27</v>
      </c>
      <c r="K7">
        <v>300</v>
      </c>
      <c r="L7" t="s">
        <v>31</v>
      </c>
      <c r="M7">
        <v>53.487736681678719</v>
      </c>
    </row>
    <row r="8" spans="1:13" hidden="1" x14ac:dyDescent="0.3">
      <c r="A8" t="s">
        <v>578</v>
      </c>
      <c r="B8" t="s">
        <v>39</v>
      </c>
      <c r="C8" t="s">
        <v>41</v>
      </c>
      <c r="D8">
        <v>2000</v>
      </c>
      <c r="E8" t="s">
        <v>31</v>
      </c>
      <c r="F8" t="s">
        <v>130</v>
      </c>
      <c r="G8" t="s">
        <v>31</v>
      </c>
      <c r="H8" t="s">
        <v>27</v>
      </c>
      <c r="I8" t="s">
        <v>27</v>
      </c>
      <c r="J8" t="s">
        <v>27</v>
      </c>
      <c r="K8" t="s">
        <v>31</v>
      </c>
      <c r="L8" t="s">
        <v>31</v>
      </c>
      <c r="M8">
        <v>53.487736681678719</v>
      </c>
    </row>
    <row r="9" spans="1:13" hidden="1" x14ac:dyDescent="0.3">
      <c r="A9" t="s">
        <v>589</v>
      </c>
      <c r="B9" t="s">
        <v>51</v>
      </c>
      <c r="C9" t="s">
        <v>121</v>
      </c>
      <c r="D9">
        <v>2000</v>
      </c>
      <c r="E9">
        <v>20000</v>
      </c>
      <c r="F9" t="s">
        <v>34</v>
      </c>
      <c r="G9" t="s">
        <v>31</v>
      </c>
      <c r="H9" t="s">
        <v>27</v>
      </c>
      <c r="I9" t="s">
        <v>27</v>
      </c>
      <c r="J9" t="s">
        <v>27</v>
      </c>
      <c r="K9">
        <v>100</v>
      </c>
      <c r="L9">
        <v>37392</v>
      </c>
      <c r="M9">
        <v>53.487736681678719</v>
      </c>
    </row>
    <row r="10" spans="1:13" hidden="1" x14ac:dyDescent="0.3">
      <c r="A10" t="s">
        <v>598</v>
      </c>
      <c r="B10" t="s">
        <v>28</v>
      </c>
      <c r="C10" t="s">
        <v>97</v>
      </c>
      <c r="D10">
        <v>2000</v>
      </c>
      <c r="E10" t="s">
        <v>31</v>
      </c>
      <c r="F10" t="s">
        <v>34</v>
      </c>
      <c r="G10" t="s">
        <v>31</v>
      </c>
      <c r="H10" t="s">
        <v>27</v>
      </c>
      <c r="I10" t="s">
        <v>27</v>
      </c>
      <c r="J10" t="s">
        <v>27</v>
      </c>
      <c r="K10">
        <v>1000</v>
      </c>
      <c r="L10" t="s">
        <v>31</v>
      </c>
      <c r="M10">
        <v>53.487736681678719</v>
      </c>
    </row>
    <row r="11" spans="1:13" hidden="1" x14ac:dyDescent="0.3">
      <c r="A11" t="s">
        <v>611</v>
      </c>
      <c r="B11" t="s">
        <v>51</v>
      </c>
      <c r="C11" t="s">
        <v>52</v>
      </c>
      <c r="D11">
        <v>2000</v>
      </c>
      <c r="E11" t="s">
        <v>31</v>
      </c>
      <c r="F11" t="s">
        <v>47</v>
      </c>
      <c r="G11" t="s">
        <v>31</v>
      </c>
      <c r="H11" t="s">
        <v>27</v>
      </c>
      <c r="I11" t="s">
        <v>27</v>
      </c>
      <c r="J11" t="s">
        <v>27</v>
      </c>
      <c r="K11">
        <v>39000</v>
      </c>
      <c r="L11" t="s">
        <v>31</v>
      </c>
      <c r="M11">
        <v>53.487736681678719</v>
      </c>
    </row>
    <row r="12" spans="1:13" hidden="1" x14ac:dyDescent="0.3">
      <c r="A12" t="s">
        <v>628</v>
      </c>
      <c r="B12" t="s">
        <v>51</v>
      </c>
      <c r="C12" t="s">
        <v>121</v>
      </c>
      <c r="D12">
        <v>2000</v>
      </c>
      <c r="E12" t="s">
        <v>31</v>
      </c>
      <c r="F12" t="s">
        <v>130</v>
      </c>
      <c r="G12" t="s">
        <v>31</v>
      </c>
      <c r="H12" t="s">
        <v>27</v>
      </c>
      <c r="I12" t="s">
        <v>27</v>
      </c>
      <c r="J12" t="s">
        <v>27</v>
      </c>
      <c r="K12">
        <v>6000</v>
      </c>
      <c r="L12" t="s">
        <v>31</v>
      </c>
      <c r="M12">
        <v>53.487736681678719</v>
      </c>
    </row>
    <row r="13" spans="1:13" hidden="1" x14ac:dyDescent="0.3">
      <c r="A13" t="s">
        <v>684</v>
      </c>
      <c r="B13" t="s">
        <v>43</v>
      </c>
      <c r="C13" t="s">
        <v>627</v>
      </c>
      <c r="D13">
        <v>2000</v>
      </c>
      <c r="E13" t="s">
        <v>31</v>
      </c>
      <c r="F13" t="s">
        <v>109</v>
      </c>
      <c r="G13" t="s">
        <v>31</v>
      </c>
      <c r="H13" t="s">
        <v>27</v>
      </c>
      <c r="I13" t="s">
        <v>27</v>
      </c>
      <c r="J13" t="s">
        <v>27</v>
      </c>
      <c r="K13">
        <v>100000</v>
      </c>
      <c r="L13" t="s">
        <v>31</v>
      </c>
      <c r="M13">
        <v>53.487736681678719</v>
      </c>
    </row>
    <row r="14" spans="1:13" hidden="1" x14ac:dyDescent="0.3">
      <c r="A14" t="s">
        <v>692</v>
      </c>
      <c r="B14" t="s">
        <v>51</v>
      </c>
      <c r="C14" t="s">
        <v>134</v>
      </c>
      <c r="D14">
        <v>2000</v>
      </c>
      <c r="E14" t="s">
        <v>31</v>
      </c>
      <c r="F14" t="s">
        <v>109</v>
      </c>
      <c r="G14" t="s">
        <v>31</v>
      </c>
      <c r="H14" t="s">
        <v>27</v>
      </c>
      <c r="I14" t="s">
        <v>27</v>
      </c>
      <c r="J14" t="s">
        <v>27</v>
      </c>
      <c r="K14">
        <v>205</v>
      </c>
      <c r="L14" t="s">
        <v>31</v>
      </c>
      <c r="M14">
        <v>53.487736681678719</v>
      </c>
    </row>
    <row r="15" spans="1:13" hidden="1" x14ac:dyDescent="0.3">
      <c r="A15" t="s">
        <v>775</v>
      </c>
      <c r="B15" t="s">
        <v>51</v>
      </c>
      <c r="C15" t="s">
        <v>121</v>
      </c>
      <c r="D15">
        <v>2000</v>
      </c>
      <c r="E15" t="s">
        <v>31</v>
      </c>
      <c r="F15" t="s">
        <v>111</v>
      </c>
      <c r="G15" t="s">
        <v>31</v>
      </c>
      <c r="H15" t="s">
        <v>27</v>
      </c>
      <c r="I15" t="s">
        <v>27</v>
      </c>
      <c r="J15" t="s">
        <v>27</v>
      </c>
      <c r="K15">
        <v>7000</v>
      </c>
      <c r="L15" t="s">
        <v>31</v>
      </c>
      <c r="M15">
        <v>53.487736681678719</v>
      </c>
    </row>
    <row r="16" spans="1:13" hidden="1" x14ac:dyDescent="0.3">
      <c r="A16" t="s">
        <v>777</v>
      </c>
      <c r="B16" t="s">
        <v>51</v>
      </c>
      <c r="C16" t="s">
        <v>52</v>
      </c>
      <c r="D16">
        <v>2000</v>
      </c>
      <c r="E16" t="s">
        <v>31</v>
      </c>
      <c r="F16" t="s">
        <v>73</v>
      </c>
      <c r="G16" t="s">
        <v>31</v>
      </c>
      <c r="H16" t="s">
        <v>27</v>
      </c>
      <c r="I16" t="s">
        <v>27</v>
      </c>
      <c r="J16" t="s">
        <v>27</v>
      </c>
      <c r="K16">
        <v>2000</v>
      </c>
      <c r="L16" t="s">
        <v>31</v>
      </c>
      <c r="M16">
        <v>53.487736681678719</v>
      </c>
    </row>
    <row r="17" spans="1:13" hidden="1" x14ac:dyDescent="0.3">
      <c r="A17" t="s">
        <v>778</v>
      </c>
      <c r="B17" t="s">
        <v>51</v>
      </c>
      <c r="C17" t="s">
        <v>52</v>
      </c>
      <c r="D17">
        <v>2000</v>
      </c>
      <c r="E17" t="s">
        <v>31</v>
      </c>
      <c r="F17" t="s">
        <v>73</v>
      </c>
      <c r="G17" t="s">
        <v>54</v>
      </c>
      <c r="H17" t="s">
        <v>27</v>
      </c>
      <c r="I17" t="s">
        <v>27</v>
      </c>
      <c r="J17" t="s">
        <v>27</v>
      </c>
      <c r="K17" t="s">
        <v>31</v>
      </c>
      <c r="L17" t="s">
        <v>31</v>
      </c>
      <c r="M17">
        <v>53.487736681678719</v>
      </c>
    </row>
    <row r="18" spans="1:13" hidden="1" x14ac:dyDescent="0.3">
      <c r="A18" t="s">
        <v>779</v>
      </c>
      <c r="B18" t="s">
        <v>51</v>
      </c>
      <c r="C18" t="s">
        <v>121</v>
      </c>
      <c r="D18">
        <v>2000</v>
      </c>
      <c r="E18" t="s">
        <v>31</v>
      </c>
      <c r="F18" t="s">
        <v>81</v>
      </c>
      <c r="G18" t="s">
        <v>31</v>
      </c>
      <c r="H18" t="s">
        <v>27</v>
      </c>
      <c r="I18" t="s">
        <v>27</v>
      </c>
      <c r="J18" t="s">
        <v>27</v>
      </c>
      <c r="K18">
        <v>5500</v>
      </c>
      <c r="L18" t="s">
        <v>31</v>
      </c>
      <c r="M18">
        <v>53.487736681678719</v>
      </c>
    </row>
    <row r="19" spans="1:13" hidden="1" x14ac:dyDescent="0.3">
      <c r="A19" t="s">
        <v>780</v>
      </c>
      <c r="B19" t="s">
        <v>39</v>
      </c>
      <c r="C19" t="s">
        <v>41</v>
      </c>
      <c r="D19">
        <v>2000</v>
      </c>
      <c r="E19" t="s">
        <v>31</v>
      </c>
      <c r="F19" t="s">
        <v>34</v>
      </c>
      <c r="G19" t="s">
        <v>31</v>
      </c>
      <c r="H19" t="s">
        <v>27</v>
      </c>
      <c r="I19" t="s">
        <v>27</v>
      </c>
      <c r="J19" t="s">
        <v>27</v>
      </c>
      <c r="K19">
        <v>1010</v>
      </c>
      <c r="L19" t="s">
        <v>31</v>
      </c>
      <c r="M19">
        <v>53.487736681678719</v>
      </c>
    </row>
    <row r="20" spans="1:13" hidden="1" x14ac:dyDescent="0.3">
      <c r="A20" t="s">
        <v>781</v>
      </c>
      <c r="B20" t="s">
        <v>51</v>
      </c>
      <c r="C20" t="s">
        <v>134</v>
      </c>
      <c r="D20">
        <v>2000</v>
      </c>
      <c r="E20" t="s">
        <v>31</v>
      </c>
      <c r="F20" t="s">
        <v>53</v>
      </c>
      <c r="G20" t="s">
        <v>31</v>
      </c>
      <c r="H20" t="s">
        <v>27</v>
      </c>
      <c r="I20" t="s">
        <v>27</v>
      </c>
      <c r="J20" t="s">
        <v>27</v>
      </c>
      <c r="K20" t="s">
        <v>31</v>
      </c>
      <c r="L20" t="s">
        <v>31</v>
      </c>
      <c r="M20">
        <v>53.487736681678719</v>
      </c>
    </row>
    <row r="21" spans="1:13" hidden="1" x14ac:dyDescent="0.3">
      <c r="A21" t="s">
        <v>782</v>
      </c>
      <c r="B21" t="s">
        <v>28</v>
      </c>
      <c r="C21" t="s">
        <v>30</v>
      </c>
      <c r="D21">
        <v>2000</v>
      </c>
      <c r="E21" t="s">
        <v>31</v>
      </c>
      <c r="F21" t="s">
        <v>115</v>
      </c>
      <c r="G21" t="s">
        <v>31</v>
      </c>
      <c r="H21" t="s">
        <v>27</v>
      </c>
      <c r="I21" t="s">
        <v>27</v>
      </c>
      <c r="J21" t="s">
        <v>27</v>
      </c>
      <c r="K21">
        <v>100</v>
      </c>
      <c r="L21" t="s">
        <v>31</v>
      </c>
      <c r="M21">
        <v>53.487736681678719</v>
      </c>
    </row>
    <row r="22" spans="1:13" hidden="1" x14ac:dyDescent="0.3">
      <c r="A22" t="s">
        <v>783</v>
      </c>
      <c r="B22" t="s">
        <v>28</v>
      </c>
      <c r="C22" t="s">
        <v>30</v>
      </c>
      <c r="D22">
        <v>2000</v>
      </c>
      <c r="E22">
        <v>219000</v>
      </c>
      <c r="F22" t="s">
        <v>34</v>
      </c>
      <c r="G22" t="s">
        <v>31</v>
      </c>
      <c r="H22" t="s">
        <v>27</v>
      </c>
      <c r="I22" t="s">
        <v>27</v>
      </c>
      <c r="J22" t="s">
        <v>27</v>
      </c>
      <c r="K22">
        <v>17433</v>
      </c>
      <c r="L22">
        <v>409440</v>
      </c>
      <c r="M22">
        <v>53.487736681678719</v>
      </c>
    </row>
    <row r="23" spans="1:13" hidden="1" x14ac:dyDescent="0.3">
      <c r="A23" t="s">
        <v>784</v>
      </c>
      <c r="B23" t="s">
        <v>51</v>
      </c>
      <c r="C23" t="s">
        <v>150</v>
      </c>
      <c r="D23">
        <v>2000</v>
      </c>
      <c r="E23" t="s">
        <v>31</v>
      </c>
      <c r="F23" t="s">
        <v>109</v>
      </c>
      <c r="G23" t="s">
        <v>31</v>
      </c>
      <c r="H23" t="s">
        <v>27</v>
      </c>
      <c r="I23" t="s">
        <v>27</v>
      </c>
      <c r="J23" t="s">
        <v>27</v>
      </c>
      <c r="K23">
        <v>180</v>
      </c>
      <c r="L23" t="s">
        <v>31</v>
      </c>
      <c r="M23">
        <v>53.487736681678719</v>
      </c>
    </row>
    <row r="24" spans="1:13" hidden="1" x14ac:dyDescent="0.3">
      <c r="A24" t="s">
        <v>785</v>
      </c>
      <c r="B24" t="s">
        <v>28</v>
      </c>
      <c r="C24" t="s">
        <v>99</v>
      </c>
      <c r="D24">
        <v>2000</v>
      </c>
      <c r="E24" t="s">
        <v>31</v>
      </c>
      <c r="F24" t="s">
        <v>130</v>
      </c>
      <c r="G24" t="s">
        <v>31</v>
      </c>
      <c r="H24" t="s">
        <v>27</v>
      </c>
      <c r="I24" t="s">
        <v>27</v>
      </c>
      <c r="J24" t="s">
        <v>27</v>
      </c>
      <c r="K24">
        <v>430</v>
      </c>
      <c r="L24" t="s">
        <v>31</v>
      </c>
      <c r="M24">
        <v>53.487736681678719</v>
      </c>
    </row>
    <row r="25" spans="1:13" hidden="1" x14ac:dyDescent="0.3">
      <c r="A25" t="s">
        <v>786</v>
      </c>
      <c r="B25" t="s">
        <v>28</v>
      </c>
      <c r="C25" t="s">
        <v>68</v>
      </c>
      <c r="D25">
        <v>2000</v>
      </c>
      <c r="E25" t="s">
        <v>31</v>
      </c>
      <c r="F25" t="s">
        <v>73</v>
      </c>
      <c r="G25" t="s">
        <v>31</v>
      </c>
      <c r="H25" t="s">
        <v>27</v>
      </c>
      <c r="I25" t="s">
        <v>27</v>
      </c>
      <c r="J25" t="s">
        <v>27</v>
      </c>
      <c r="K25" t="s">
        <v>31</v>
      </c>
      <c r="L25" t="s">
        <v>31</v>
      </c>
      <c r="M25">
        <v>53.487736681678719</v>
      </c>
    </row>
    <row r="26" spans="1:13" hidden="1" x14ac:dyDescent="0.3">
      <c r="A26" t="s">
        <v>787</v>
      </c>
      <c r="B26" t="s">
        <v>51</v>
      </c>
      <c r="C26" t="s">
        <v>52</v>
      </c>
      <c r="D26">
        <v>2000</v>
      </c>
      <c r="E26" t="s">
        <v>31</v>
      </c>
      <c r="F26" t="s">
        <v>111</v>
      </c>
      <c r="G26" t="s">
        <v>54</v>
      </c>
      <c r="H26" t="s">
        <v>27</v>
      </c>
      <c r="I26" t="s">
        <v>27</v>
      </c>
      <c r="J26" t="s">
        <v>27</v>
      </c>
      <c r="K26">
        <v>10</v>
      </c>
      <c r="L26" t="s">
        <v>31</v>
      </c>
      <c r="M26">
        <v>53.487736681678719</v>
      </c>
    </row>
    <row r="27" spans="1:13" hidden="1" x14ac:dyDescent="0.3">
      <c r="A27" t="s">
        <v>788</v>
      </c>
      <c r="B27" t="s">
        <v>28</v>
      </c>
      <c r="C27" t="s">
        <v>189</v>
      </c>
      <c r="D27">
        <v>2000</v>
      </c>
      <c r="E27">
        <v>350000</v>
      </c>
      <c r="F27" t="s">
        <v>34</v>
      </c>
      <c r="G27" t="s">
        <v>68</v>
      </c>
      <c r="H27" t="s">
        <v>27</v>
      </c>
      <c r="I27" t="s">
        <v>27</v>
      </c>
      <c r="J27" t="s">
        <v>27</v>
      </c>
      <c r="K27" t="s">
        <v>31</v>
      </c>
      <c r="L27">
        <v>654356</v>
      </c>
      <c r="M27">
        <v>53.487736681678719</v>
      </c>
    </row>
    <row r="28" spans="1:13" hidden="1" x14ac:dyDescent="0.3">
      <c r="A28" t="s">
        <v>789</v>
      </c>
      <c r="B28" t="s">
        <v>28</v>
      </c>
      <c r="C28" t="s">
        <v>189</v>
      </c>
      <c r="D28">
        <v>2000</v>
      </c>
      <c r="E28">
        <v>500000</v>
      </c>
      <c r="F28" t="s">
        <v>34</v>
      </c>
      <c r="G28" t="s">
        <v>31</v>
      </c>
      <c r="H28" t="s">
        <v>27</v>
      </c>
      <c r="I28" t="s">
        <v>27</v>
      </c>
      <c r="J28" t="s">
        <v>27</v>
      </c>
      <c r="K28">
        <v>75</v>
      </c>
      <c r="L28">
        <v>934794</v>
      </c>
      <c r="M28">
        <v>53.487736681678719</v>
      </c>
    </row>
    <row r="29" spans="1:13" hidden="1" x14ac:dyDescent="0.3">
      <c r="A29" t="s">
        <v>790</v>
      </c>
      <c r="B29" t="s">
        <v>39</v>
      </c>
      <c r="C29" t="s">
        <v>157</v>
      </c>
      <c r="D29">
        <v>2000</v>
      </c>
      <c r="E29">
        <v>1100000</v>
      </c>
      <c r="F29" t="s">
        <v>34</v>
      </c>
      <c r="G29" t="s">
        <v>31</v>
      </c>
      <c r="H29" t="s">
        <v>27</v>
      </c>
      <c r="I29" t="s">
        <v>27</v>
      </c>
      <c r="J29" t="s">
        <v>33</v>
      </c>
      <c r="K29" t="s">
        <v>31</v>
      </c>
      <c r="L29">
        <v>2056546</v>
      </c>
      <c r="M29">
        <v>53.487736681678719</v>
      </c>
    </row>
    <row r="30" spans="1:13" hidden="1" x14ac:dyDescent="0.3">
      <c r="A30" t="s">
        <v>791</v>
      </c>
      <c r="B30" t="s">
        <v>39</v>
      </c>
      <c r="C30" t="s">
        <v>157</v>
      </c>
      <c r="D30">
        <v>2000</v>
      </c>
      <c r="E30" t="s">
        <v>31</v>
      </c>
      <c r="F30" t="s">
        <v>81</v>
      </c>
      <c r="G30" t="s">
        <v>792</v>
      </c>
      <c r="H30" t="s">
        <v>27</v>
      </c>
      <c r="I30" t="s">
        <v>27</v>
      </c>
      <c r="J30" t="s">
        <v>27</v>
      </c>
      <c r="K30" t="s">
        <v>31</v>
      </c>
      <c r="L30" t="s">
        <v>31</v>
      </c>
      <c r="M30">
        <v>53.487736681678719</v>
      </c>
    </row>
    <row r="31" spans="1:13" hidden="1" x14ac:dyDescent="0.3">
      <c r="A31" t="s">
        <v>821</v>
      </c>
      <c r="B31" t="s">
        <v>39</v>
      </c>
      <c r="C31" t="s">
        <v>41</v>
      </c>
      <c r="D31">
        <v>2000</v>
      </c>
      <c r="E31" t="s">
        <v>31</v>
      </c>
      <c r="F31" t="s">
        <v>34</v>
      </c>
      <c r="G31" t="s">
        <v>31</v>
      </c>
      <c r="H31" t="s">
        <v>27</v>
      </c>
      <c r="I31" t="s">
        <v>27</v>
      </c>
      <c r="J31" t="s">
        <v>27</v>
      </c>
      <c r="K31">
        <v>600</v>
      </c>
      <c r="L31" t="s">
        <v>31</v>
      </c>
      <c r="M31">
        <v>53.487736681678719</v>
      </c>
    </row>
    <row r="32" spans="1:13" hidden="1" x14ac:dyDescent="0.3">
      <c r="A32" t="s">
        <v>822</v>
      </c>
      <c r="B32" t="s">
        <v>51</v>
      </c>
      <c r="C32" t="s">
        <v>52</v>
      </c>
      <c r="D32">
        <v>2000</v>
      </c>
      <c r="E32" t="s">
        <v>31</v>
      </c>
      <c r="F32" t="s">
        <v>109</v>
      </c>
      <c r="G32" t="s">
        <v>31</v>
      </c>
      <c r="H32" t="s">
        <v>27</v>
      </c>
      <c r="I32" t="s">
        <v>27</v>
      </c>
      <c r="J32" t="s">
        <v>27</v>
      </c>
      <c r="K32">
        <v>32</v>
      </c>
      <c r="L32" t="s">
        <v>31</v>
      </c>
      <c r="M32">
        <v>53.487736681678719</v>
      </c>
    </row>
    <row r="33" spans="1:13" hidden="1" x14ac:dyDescent="0.3">
      <c r="A33" t="s">
        <v>823</v>
      </c>
      <c r="B33" t="s">
        <v>28</v>
      </c>
      <c r="C33" t="s">
        <v>97</v>
      </c>
      <c r="D33">
        <v>2000</v>
      </c>
      <c r="E33">
        <v>28500</v>
      </c>
      <c r="F33" t="s">
        <v>34</v>
      </c>
      <c r="G33" t="s">
        <v>31</v>
      </c>
      <c r="H33" t="s">
        <v>27</v>
      </c>
      <c r="I33" t="s">
        <v>27</v>
      </c>
      <c r="J33" t="s">
        <v>27</v>
      </c>
      <c r="K33" t="s">
        <v>31</v>
      </c>
      <c r="L33">
        <v>53283</v>
      </c>
      <c r="M33">
        <v>53.487736681678719</v>
      </c>
    </row>
    <row r="34" spans="1:13" hidden="1" x14ac:dyDescent="0.3">
      <c r="A34" t="s">
        <v>824</v>
      </c>
      <c r="B34" t="s">
        <v>51</v>
      </c>
      <c r="C34" t="s">
        <v>134</v>
      </c>
      <c r="D34">
        <v>2000</v>
      </c>
      <c r="E34" t="s">
        <v>31</v>
      </c>
      <c r="F34" t="s">
        <v>161</v>
      </c>
      <c r="G34" t="s">
        <v>31</v>
      </c>
      <c r="H34" t="s">
        <v>27</v>
      </c>
      <c r="I34" t="s">
        <v>27</v>
      </c>
      <c r="J34" t="s">
        <v>27</v>
      </c>
      <c r="K34">
        <v>200</v>
      </c>
      <c r="L34" t="s">
        <v>31</v>
      </c>
      <c r="M34">
        <v>53.487736681678719</v>
      </c>
    </row>
    <row r="35" spans="1:13" hidden="1" x14ac:dyDescent="0.3">
      <c r="A35" t="s">
        <v>825</v>
      </c>
      <c r="B35" t="s">
        <v>91</v>
      </c>
      <c r="C35" t="s">
        <v>93</v>
      </c>
      <c r="D35">
        <v>2000</v>
      </c>
      <c r="E35" t="s">
        <v>31</v>
      </c>
      <c r="F35" t="s">
        <v>81</v>
      </c>
      <c r="G35" t="s">
        <v>31</v>
      </c>
      <c r="H35" t="s">
        <v>27</v>
      </c>
      <c r="I35" t="s">
        <v>27</v>
      </c>
      <c r="J35" t="s">
        <v>27</v>
      </c>
      <c r="K35">
        <v>7477</v>
      </c>
      <c r="L35" t="s">
        <v>31</v>
      </c>
      <c r="M35">
        <v>53.487736681678719</v>
      </c>
    </row>
    <row r="36" spans="1:13" hidden="1" x14ac:dyDescent="0.3">
      <c r="A36" t="s">
        <v>826</v>
      </c>
      <c r="B36" t="s">
        <v>39</v>
      </c>
      <c r="C36" t="s">
        <v>41</v>
      </c>
      <c r="D36">
        <v>2000</v>
      </c>
      <c r="E36" t="s">
        <v>31</v>
      </c>
      <c r="F36" t="s">
        <v>34</v>
      </c>
      <c r="G36" t="s">
        <v>31</v>
      </c>
      <c r="H36" t="s">
        <v>27</v>
      </c>
      <c r="I36" t="s">
        <v>27</v>
      </c>
      <c r="J36" t="s">
        <v>27</v>
      </c>
      <c r="K36">
        <v>8077</v>
      </c>
      <c r="L36" t="s">
        <v>31</v>
      </c>
      <c r="M36">
        <v>53.487736681678719</v>
      </c>
    </row>
    <row r="37" spans="1:13" hidden="1" x14ac:dyDescent="0.3">
      <c r="A37" t="s">
        <v>827</v>
      </c>
      <c r="B37" t="s">
        <v>28</v>
      </c>
      <c r="C37" t="s">
        <v>68</v>
      </c>
      <c r="D37">
        <v>2000</v>
      </c>
      <c r="E37" t="s">
        <v>31</v>
      </c>
      <c r="F37" t="s">
        <v>130</v>
      </c>
      <c r="G37" t="s">
        <v>31</v>
      </c>
      <c r="H37" t="s">
        <v>27</v>
      </c>
      <c r="I37" t="s">
        <v>27</v>
      </c>
      <c r="J37" t="s">
        <v>27</v>
      </c>
      <c r="K37">
        <v>300</v>
      </c>
      <c r="L37" t="s">
        <v>31</v>
      </c>
      <c r="M37">
        <v>53.487736681678719</v>
      </c>
    </row>
    <row r="38" spans="1:13" hidden="1" x14ac:dyDescent="0.3">
      <c r="A38" t="s">
        <v>828</v>
      </c>
      <c r="B38" t="s">
        <v>28</v>
      </c>
      <c r="C38" t="s">
        <v>68</v>
      </c>
      <c r="D38">
        <v>2000</v>
      </c>
      <c r="E38">
        <v>10000</v>
      </c>
      <c r="F38" t="s">
        <v>60</v>
      </c>
      <c r="G38" t="s">
        <v>31</v>
      </c>
      <c r="H38" t="s">
        <v>27</v>
      </c>
      <c r="I38" t="s">
        <v>27</v>
      </c>
      <c r="J38" t="s">
        <v>27</v>
      </c>
      <c r="K38" t="s">
        <v>31</v>
      </c>
      <c r="L38">
        <v>18696</v>
      </c>
      <c r="M38">
        <v>53.487736681678719</v>
      </c>
    </row>
    <row r="39" spans="1:13" hidden="1" x14ac:dyDescent="0.3">
      <c r="A39" t="s">
        <v>829</v>
      </c>
      <c r="B39" t="s">
        <v>28</v>
      </c>
      <c r="C39" t="s">
        <v>95</v>
      </c>
      <c r="D39">
        <v>2000</v>
      </c>
      <c r="E39" t="s">
        <v>31</v>
      </c>
      <c r="F39" t="s">
        <v>34</v>
      </c>
      <c r="G39" t="s">
        <v>31</v>
      </c>
      <c r="H39" t="s">
        <v>27</v>
      </c>
      <c r="I39" t="s">
        <v>27</v>
      </c>
      <c r="J39" t="s">
        <v>27</v>
      </c>
      <c r="K39" t="s">
        <v>31</v>
      </c>
      <c r="L39" t="s">
        <v>31</v>
      </c>
      <c r="M39">
        <v>53.487736681678719</v>
      </c>
    </row>
    <row r="40" spans="1:13" hidden="1" x14ac:dyDescent="0.3">
      <c r="A40" t="s">
        <v>830</v>
      </c>
      <c r="B40" t="s">
        <v>51</v>
      </c>
      <c r="C40" t="s">
        <v>121</v>
      </c>
      <c r="D40">
        <v>2000</v>
      </c>
      <c r="E40" t="s">
        <v>31</v>
      </c>
      <c r="F40" t="s">
        <v>115</v>
      </c>
      <c r="G40" t="s">
        <v>31</v>
      </c>
      <c r="H40" t="s">
        <v>27</v>
      </c>
      <c r="I40" t="s">
        <v>27</v>
      </c>
      <c r="J40" t="s">
        <v>33</v>
      </c>
      <c r="K40">
        <v>400</v>
      </c>
      <c r="L40" t="s">
        <v>31</v>
      </c>
      <c r="M40">
        <v>53.487736681678719</v>
      </c>
    </row>
    <row r="41" spans="1:13" hidden="1" x14ac:dyDescent="0.3">
      <c r="A41" t="s">
        <v>831</v>
      </c>
      <c r="B41" t="s">
        <v>28</v>
      </c>
      <c r="C41" t="s">
        <v>67</v>
      </c>
      <c r="D41">
        <v>2000</v>
      </c>
      <c r="E41" t="s">
        <v>31</v>
      </c>
      <c r="F41" t="s">
        <v>130</v>
      </c>
      <c r="G41" t="s">
        <v>31</v>
      </c>
      <c r="H41" t="s">
        <v>27</v>
      </c>
      <c r="I41" t="s">
        <v>27</v>
      </c>
      <c r="J41" t="s">
        <v>27</v>
      </c>
      <c r="K41" t="s">
        <v>31</v>
      </c>
      <c r="L41" t="s">
        <v>31</v>
      </c>
      <c r="M41">
        <v>53.487736681678719</v>
      </c>
    </row>
    <row r="42" spans="1:13" hidden="1" x14ac:dyDescent="0.3">
      <c r="A42" t="s">
        <v>832</v>
      </c>
      <c r="B42" t="s">
        <v>28</v>
      </c>
      <c r="C42" t="s">
        <v>30</v>
      </c>
      <c r="D42">
        <v>2000</v>
      </c>
      <c r="E42">
        <v>277460</v>
      </c>
      <c r="F42" t="s">
        <v>32</v>
      </c>
      <c r="G42" t="s">
        <v>31</v>
      </c>
      <c r="H42" t="s">
        <v>33</v>
      </c>
      <c r="I42" t="s">
        <v>27</v>
      </c>
      <c r="J42" t="s">
        <v>27</v>
      </c>
      <c r="K42">
        <v>62570</v>
      </c>
      <c r="L42">
        <v>518736</v>
      </c>
      <c r="M42">
        <v>53.487736681678719</v>
      </c>
    </row>
    <row r="43" spans="1:13" hidden="1" x14ac:dyDescent="0.3">
      <c r="A43" t="s">
        <v>833</v>
      </c>
      <c r="B43" t="s">
        <v>28</v>
      </c>
      <c r="C43" t="s">
        <v>30</v>
      </c>
      <c r="D43">
        <v>2000</v>
      </c>
      <c r="E43">
        <v>1000</v>
      </c>
      <c r="F43" t="s">
        <v>73</v>
      </c>
      <c r="G43" t="s">
        <v>31</v>
      </c>
      <c r="H43" t="s">
        <v>27</v>
      </c>
      <c r="I43" t="s">
        <v>27</v>
      </c>
      <c r="J43" t="s">
        <v>27</v>
      </c>
      <c r="K43">
        <v>30000</v>
      </c>
      <c r="L43">
        <v>1870</v>
      </c>
      <c r="M43">
        <v>53.487736681678719</v>
      </c>
    </row>
    <row r="44" spans="1:13" hidden="1" x14ac:dyDescent="0.3">
      <c r="A44" t="s">
        <v>834</v>
      </c>
      <c r="B44" t="s">
        <v>51</v>
      </c>
      <c r="C44" t="s">
        <v>121</v>
      </c>
      <c r="D44">
        <v>2000</v>
      </c>
      <c r="E44" t="s">
        <v>31</v>
      </c>
      <c r="F44" t="s">
        <v>70</v>
      </c>
      <c r="G44" t="s">
        <v>31</v>
      </c>
      <c r="H44" t="s">
        <v>27</v>
      </c>
      <c r="I44" t="s">
        <v>27</v>
      </c>
      <c r="J44" t="s">
        <v>33</v>
      </c>
      <c r="K44">
        <v>7000</v>
      </c>
      <c r="L44" t="s">
        <v>31</v>
      </c>
      <c r="M44">
        <v>53.487736681678719</v>
      </c>
    </row>
    <row r="45" spans="1:13" hidden="1" x14ac:dyDescent="0.3">
      <c r="A45" t="s">
        <v>835</v>
      </c>
      <c r="B45" t="s">
        <v>51</v>
      </c>
      <c r="C45" t="s">
        <v>52</v>
      </c>
      <c r="D45">
        <v>2000</v>
      </c>
      <c r="E45" t="s">
        <v>31</v>
      </c>
      <c r="F45" t="s">
        <v>130</v>
      </c>
      <c r="G45" t="s">
        <v>31</v>
      </c>
      <c r="H45" t="s">
        <v>27</v>
      </c>
      <c r="I45" t="s">
        <v>27</v>
      </c>
      <c r="J45" t="s">
        <v>27</v>
      </c>
      <c r="K45">
        <v>1800</v>
      </c>
      <c r="L45" t="s">
        <v>31</v>
      </c>
      <c r="M45">
        <v>53.487736681678719</v>
      </c>
    </row>
    <row r="46" spans="1:13" hidden="1" x14ac:dyDescent="0.3">
      <c r="A46" t="s">
        <v>836</v>
      </c>
      <c r="B46" t="s">
        <v>91</v>
      </c>
      <c r="C46" t="s">
        <v>105</v>
      </c>
      <c r="D46">
        <v>2000</v>
      </c>
      <c r="E46" t="s">
        <v>31</v>
      </c>
      <c r="F46" t="s">
        <v>73</v>
      </c>
      <c r="G46" t="s">
        <v>31</v>
      </c>
      <c r="H46" t="s">
        <v>27</v>
      </c>
      <c r="I46" t="s">
        <v>27</v>
      </c>
      <c r="J46" t="s">
        <v>27</v>
      </c>
      <c r="K46">
        <v>41000</v>
      </c>
      <c r="L46" t="s">
        <v>31</v>
      </c>
      <c r="M46">
        <v>53.487736681678719</v>
      </c>
    </row>
    <row r="47" spans="1:13" hidden="1" x14ac:dyDescent="0.3">
      <c r="A47" t="s">
        <v>837</v>
      </c>
      <c r="B47" t="s">
        <v>28</v>
      </c>
      <c r="C47" t="s">
        <v>67</v>
      </c>
      <c r="D47">
        <v>2000</v>
      </c>
      <c r="E47" t="s">
        <v>31</v>
      </c>
      <c r="F47" t="s">
        <v>34</v>
      </c>
      <c r="G47" t="s">
        <v>290</v>
      </c>
      <c r="H47" t="s">
        <v>27</v>
      </c>
      <c r="I47" t="s">
        <v>27</v>
      </c>
      <c r="J47" t="s">
        <v>27</v>
      </c>
      <c r="K47">
        <v>34</v>
      </c>
      <c r="L47" t="s">
        <v>31</v>
      </c>
      <c r="M47">
        <v>53.487736681678719</v>
      </c>
    </row>
    <row r="48" spans="1:13" hidden="1" x14ac:dyDescent="0.3">
      <c r="A48" t="s">
        <v>838</v>
      </c>
      <c r="B48" t="s">
        <v>28</v>
      </c>
      <c r="C48" t="s">
        <v>97</v>
      </c>
      <c r="D48">
        <v>2000</v>
      </c>
      <c r="E48" t="s">
        <v>31</v>
      </c>
      <c r="F48" t="s">
        <v>81</v>
      </c>
      <c r="G48" t="s">
        <v>31</v>
      </c>
      <c r="H48" t="s">
        <v>27</v>
      </c>
      <c r="I48" t="s">
        <v>27</v>
      </c>
      <c r="J48" t="s">
        <v>27</v>
      </c>
      <c r="K48">
        <v>210</v>
      </c>
      <c r="L48" t="s">
        <v>31</v>
      </c>
      <c r="M48">
        <v>53.487736681678719</v>
      </c>
    </row>
    <row r="49" spans="1:13" hidden="1" x14ac:dyDescent="0.3">
      <c r="A49" t="s">
        <v>839</v>
      </c>
      <c r="B49" t="s">
        <v>39</v>
      </c>
      <c r="C49" t="s">
        <v>157</v>
      </c>
      <c r="D49">
        <v>2000</v>
      </c>
      <c r="E49" t="s">
        <v>31</v>
      </c>
      <c r="F49" t="s">
        <v>242</v>
      </c>
      <c r="G49" t="s">
        <v>31</v>
      </c>
      <c r="H49" t="s">
        <v>27</v>
      </c>
      <c r="I49" t="s">
        <v>27</v>
      </c>
      <c r="J49" t="s">
        <v>33</v>
      </c>
      <c r="K49" t="s">
        <v>31</v>
      </c>
      <c r="L49" t="s">
        <v>31</v>
      </c>
      <c r="M49">
        <v>53.487736681678719</v>
      </c>
    </row>
    <row r="50" spans="1:13" hidden="1" x14ac:dyDescent="0.3">
      <c r="A50" t="s">
        <v>840</v>
      </c>
      <c r="B50" t="s">
        <v>39</v>
      </c>
      <c r="C50" t="s">
        <v>157</v>
      </c>
      <c r="D50">
        <v>2000</v>
      </c>
      <c r="E50" t="s">
        <v>31</v>
      </c>
      <c r="F50" t="s">
        <v>34</v>
      </c>
      <c r="G50" t="s">
        <v>40</v>
      </c>
      <c r="H50" t="s">
        <v>27</v>
      </c>
      <c r="I50" t="s">
        <v>27</v>
      </c>
      <c r="J50" t="s">
        <v>27</v>
      </c>
      <c r="K50" t="s">
        <v>31</v>
      </c>
      <c r="L50" t="s">
        <v>31</v>
      </c>
      <c r="M50">
        <v>53.487736681678719</v>
      </c>
    </row>
    <row r="51" spans="1:13" hidden="1" x14ac:dyDescent="0.3">
      <c r="A51" t="s">
        <v>1401</v>
      </c>
      <c r="B51" t="s">
        <v>91</v>
      </c>
      <c r="C51" t="s">
        <v>105</v>
      </c>
      <c r="D51">
        <v>2000</v>
      </c>
      <c r="E51" t="s">
        <v>31</v>
      </c>
      <c r="F51" t="s">
        <v>90</v>
      </c>
      <c r="G51" t="s">
        <v>31</v>
      </c>
      <c r="H51" t="s">
        <v>27</v>
      </c>
      <c r="I51" t="s">
        <v>27</v>
      </c>
      <c r="J51" t="s">
        <v>27</v>
      </c>
      <c r="K51">
        <v>800</v>
      </c>
      <c r="L51" t="s">
        <v>31</v>
      </c>
      <c r="M51">
        <v>53.487736681678719</v>
      </c>
    </row>
    <row r="52" spans="1:13" hidden="1" x14ac:dyDescent="0.3">
      <c r="A52" t="s">
        <v>1402</v>
      </c>
      <c r="B52" t="s">
        <v>51</v>
      </c>
      <c r="C52" t="s">
        <v>121</v>
      </c>
      <c r="D52">
        <v>2000</v>
      </c>
      <c r="E52" t="s">
        <v>31</v>
      </c>
      <c r="F52" t="s">
        <v>119</v>
      </c>
      <c r="G52" t="s">
        <v>54</v>
      </c>
      <c r="H52" t="s">
        <v>27</v>
      </c>
      <c r="I52" t="s">
        <v>27</v>
      </c>
      <c r="J52" t="s">
        <v>33</v>
      </c>
      <c r="K52">
        <v>70000</v>
      </c>
      <c r="L52" t="s">
        <v>31</v>
      </c>
      <c r="M52">
        <v>53.487736681678719</v>
      </c>
    </row>
    <row r="53" spans="1:13" hidden="1" x14ac:dyDescent="0.3">
      <c r="A53" t="s">
        <v>1403</v>
      </c>
      <c r="B53" t="s">
        <v>28</v>
      </c>
      <c r="C53" t="s">
        <v>97</v>
      </c>
      <c r="D53">
        <v>2000</v>
      </c>
      <c r="E53">
        <v>210000</v>
      </c>
      <c r="F53" t="s">
        <v>34</v>
      </c>
      <c r="G53" t="s">
        <v>31</v>
      </c>
      <c r="H53" t="s">
        <v>27</v>
      </c>
      <c r="I53" t="s">
        <v>27</v>
      </c>
      <c r="J53" t="s">
        <v>27</v>
      </c>
      <c r="K53">
        <v>162</v>
      </c>
      <c r="L53">
        <v>392613</v>
      </c>
      <c r="M53">
        <v>53.487736681678719</v>
      </c>
    </row>
    <row r="54" spans="1:13" hidden="1" x14ac:dyDescent="0.3">
      <c r="A54" t="s">
        <v>1404</v>
      </c>
      <c r="B54" t="s">
        <v>51</v>
      </c>
      <c r="C54" t="s">
        <v>56</v>
      </c>
      <c r="D54">
        <v>2000</v>
      </c>
      <c r="E54" t="s">
        <v>31</v>
      </c>
      <c r="F54" t="s">
        <v>53</v>
      </c>
      <c r="G54" t="s">
        <v>54</v>
      </c>
      <c r="H54" t="s">
        <v>27</v>
      </c>
      <c r="I54" t="s">
        <v>27</v>
      </c>
      <c r="J54" t="s">
        <v>27</v>
      </c>
      <c r="K54">
        <v>50</v>
      </c>
      <c r="L54" t="s">
        <v>31</v>
      </c>
      <c r="M54">
        <v>53.487736681678719</v>
      </c>
    </row>
    <row r="55" spans="1:13" hidden="1" x14ac:dyDescent="0.3">
      <c r="A55" t="s">
        <v>1405</v>
      </c>
      <c r="B55" t="s">
        <v>43</v>
      </c>
      <c r="C55" t="s">
        <v>114</v>
      </c>
      <c r="D55">
        <v>2000</v>
      </c>
      <c r="E55" t="s">
        <v>31</v>
      </c>
      <c r="F55" t="s">
        <v>109</v>
      </c>
      <c r="G55" t="s">
        <v>31</v>
      </c>
      <c r="H55" t="s">
        <v>27</v>
      </c>
      <c r="I55" t="s">
        <v>27</v>
      </c>
      <c r="J55" t="s">
        <v>27</v>
      </c>
      <c r="K55">
        <v>220</v>
      </c>
      <c r="L55" t="s">
        <v>31</v>
      </c>
      <c r="M55">
        <v>53.487736681678719</v>
      </c>
    </row>
    <row r="56" spans="1:13" hidden="1" x14ac:dyDescent="0.3">
      <c r="A56" t="s">
        <v>1406</v>
      </c>
      <c r="B56" t="s">
        <v>51</v>
      </c>
      <c r="C56" t="s">
        <v>134</v>
      </c>
      <c r="D56">
        <v>2000</v>
      </c>
      <c r="E56" t="s">
        <v>31</v>
      </c>
      <c r="F56" t="s">
        <v>1273</v>
      </c>
      <c r="G56" t="s">
        <v>31</v>
      </c>
      <c r="H56" t="s">
        <v>27</v>
      </c>
      <c r="I56" t="s">
        <v>27</v>
      </c>
      <c r="J56" t="s">
        <v>27</v>
      </c>
      <c r="K56">
        <v>5</v>
      </c>
      <c r="L56" t="s">
        <v>31</v>
      </c>
      <c r="M56">
        <v>53.487736681678719</v>
      </c>
    </row>
    <row r="57" spans="1:13" hidden="1" x14ac:dyDescent="0.3">
      <c r="A57" t="s">
        <v>1407</v>
      </c>
      <c r="B57" t="s">
        <v>51</v>
      </c>
      <c r="C57" t="s">
        <v>56</v>
      </c>
      <c r="D57">
        <v>2000</v>
      </c>
      <c r="E57" t="s">
        <v>31</v>
      </c>
      <c r="F57" t="s">
        <v>34</v>
      </c>
      <c r="G57" t="s">
        <v>31</v>
      </c>
      <c r="H57" t="s">
        <v>27</v>
      </c>
      <c r="I57" t="s">
        <v>27</v>
      </c>
      <c r="J57" t="s">
        <v>27</v>
      </c>
      <c r="K57">
        <v>2000</v>
      </c>
      <c r="L57" t="s">
        <v>31</v>
      </c>
      <c r="M57">
        <v>53.487736681678719</v>
      </c>
    </row>
    <row r="58" spans="1:13" hidden="1" x14ac:dyDescent="0.3">
      <c r="A58" t="s">
        <v>1408</v>
      </c>
      <c r="B58" t="s">
        <v>51</v>
      </c>
      <c r="C58" t="s">
        <v>52</v>
      </c>
      <c r="D58">
        <v>2000</v>
      </c>
      <c r="E58" t="s">
        <v>31</v>
      </c>
      <c r="F58" t="s">
        <v>57</v>
      </c>
      <c r="G58" t="s">
        <v>31</v>
      </c>
      <c r="H58" t="s">
        <v>27</v>
      </c>
      <c r="I58" t="s">
        <v>27</v>
      </c>
      <c r="J58" t="s">
        <v>27</v>
      </c>
      <c r="K58">
        <v>5000</v>
      </c>
      <c r="L58" t="s">
        <v>31</v>
      </c>
      <c r="M58">
        <v>53.487736681678719</v>
      </c>
    </row>
    <row r="59" spans="1:13" hidden="1" x14ac:dyDescent="0.3">
      <c r="A59" t="s">
        <v>1409</v>
      </c>
      <c r="B59" t="s">
        <v>39</v>
      </c>
      <c r="C59" t="s">
        <v>41</v>
      </c>
      <c r="D59">
        <v>2000</v>
      </c>
      <c r="E59" t="s">
        <v>31</v>
      </c>
      <c r="F59" t="s">
        <v>34</v>
      </c>
      <c r="G59" t="s">
        <v>31</v>
      </c>
      <c r="H59" t="s">
        <v>27</v>
      </c>
      <c r="I59" t="s">
        <v>27</v>
      </c>
      <c r="J59" t="s">
        <v>27</v>
      </c>
      <c r="K59" t="s">
        <v>31</v>
      </c>
      <c r="L59" t="s">
        <v>31</v>
      </c>
      <c r="M59">
        <v>53.487736681678719</v>
      </c>
    </row>
    <row r="60" spans="1:13" hidden="1" x14ac:dyDescent="0.3">
      <c r="A60" t="s">
        <v>1410</v>
      </c>
      <c r="B60" t="s">
        <v>51</v>
      </c>
      <c r="C60" t="s">
        <v>52</v>
      </c>
      <c r="D60">
        <v>2000</v>
      </c>
      <c r="E60" t="s">
        <v>31</v>
      </c>
      <c r="F60" t="s">
        <v>34</v>
      </c>
      <c r="G60" t="s">
        <v>31</v>
      </c>
      <c r="H60" t="s">
        <v>27</v>
      </c>
      <c r="I60" t="s">
        <v>27</v>
      </c>
      <c r="J60" t="s">
        <v>27</v>
      </c>
      <c r="K60">
        <v>240</v>
      </c>
      <c r="L60" t="s">
        <v>31</v>
      </c>
      <c r="M60">
        <v>53.487736681678719</v>
      </c>
    </row>
    <row r="61" spans="1:13" hidden="1" x14ac:dyDescent="0.3">
      <c r="A61" t="s">
        <v>1411</v>
      </c>
      <c r="B61" t="s">
        <v>51</v>
      </c>
      <c r="C61" t="s">
        <v>121</v>
      </c>
      <c r="D61">
        <v>2000</v>
      </c>
      <c r="E61" t="s">
        <v>31</v>
      </c>
      <c r="F61" t="s">
        <v>60</v>
      </c>
      <c r="G61" t="s">
        <v>31</v>
      </c>
      <c r="H61" t="s">
        <v>27</v>
      </c>
      <c r="I61" t="s">
        <v>27</v>
      </c>
      <c r="J61" t="s">
        <v>27</v>
      </c>
      <c r="K61">
        <v>42000</v>
      </c>
      <c r="L61" t="s">
        <v>31</v>
      </c>
      <c r="M61">
        <v>53.487736681678719</v>
      </c>
    </row>
    <row r="62" spans="1:13" hidden="1" x14ac:dyDescent="0.3">
      <c r="A62" t="s">
        <v>1412</v>
      </c>
      <c r="B62" t="s">
        <v>28</v>
      </c>
      <c r="C62" t="s">
        <v>64</v>
      </c>
      <c r="D62">
        <v>2000</v>
      </c>
      <c r="E62" t="s">
        <v>31</v>
      </c>
      <c r="F62" t="s">
        <v>34</v>
      </c>
      <c r="G62" t="s">
        <v>31</v>
      </c>
      <c r="H62" t="s">
        <v>27</v>
      </c>
      <c r="I62" t="s">
        <v>27</v>
      </c>
      <c r="J62" t="s">
        <v>27</v>
      </c>
      <c r="K62" t="s">
        <v>31</v>
      </c>
      <c r="L62" t="s">
        <v>31</v>
      </c>
      <c r="M62">
        <v>53.487736681678719</v>
      </c>
    </row>
    <row r="63" spans="1:13" hidden="1" x14ac:dyDescent="0.3">
      <c r="A63" t="s">
        <v>1413</v>
      </c>
      <c r="B63" t="s">
        <v>28</v>
      </c>
      <c r="C63" t="s">
        <v>68</v>
      </c>
      <c r="D63">
        <v>2000</v>
      </c>
      <c r="E63" t="s">
        <v>31</v>
      </c>
      <c r="F63" t="s">
        <v>57</v>
      </c>
      <c r="G63" t="s">
        <v>31</v>
      </c>
      <c r="H63" t="s">
        <v>27</v>
      </c>
      <c r="I63" t="s">
        <v>27</v>
      </c>
      <c r="J63" t="s">
        <v>27</v>
      </c>
      <c r="K63">
        <v>400</v>
      </c>
      <c r="L63" t="s">
        <v>31</v>
      </c>
      <c r="M63">
        <v>53.487736681678719</v>
      </c>
    </row>
    <row r="64" spans="1:13" hidden="1" x14ac:dyDescent="0.3">
      <c r="A64" t="s">
        <v>1414</v>
      </c>
      <c r="B64" t="s">
        <v>51</v>
      </c>
      <c r="C64" t="s">
        <v>56</v>
      </c>
      <c r="D64">
        <v>2000</v>
      </c>
      <c r="E64">
        <v>30000</v>
      </c>
      <c r="F64" t="s">
        <v>60</v>
      </c>
      <c r="G64" t="s">
        <v>181</v>
      </c>
      <c r="H64" t="s">
        <v>33</v>
      </c>
      <c r="I64" t="s">
        <v>27</v>
      </c>
      <c r="J64" t="s">
        <v>27</v>
      </c>
      <c r="K64">
        <v>139667</v>
      </c>
      <c r="L64">
        <v>56088</v>
      </c>
      <c r="M64">
        <v>53.487736681678719</v>
      </c>
    </row>
    <row r="65" spans="1:13" hidden="1" x14ac:dyDescent="0.3">
      <c r="A65" t="s">
        <v>1415</v>
      </c>
      <c r="B65" t="s">
        <v>28</v>
      </c>
      <c r="C65" t="s">
        <v>68</v>
      </c>
      <c r="D65">
        <v>2000</v>
      </c>
      <c r="E65" t="s">
        <v>31</v>
      </c>
      <c r="F65" t="s">
        <v>111</v>
      </c>
      <c r="G65" t="s">
        <v>31</v>
      </c>
      <c r="H65" t="s">
        <v>27</v>
      </c>
      <c r="I65" t="s">
        <v>27</v>
      </c>
      <c r="J65" t="s">
        <v>27</v>
      </c>
      <c r="K65">
        <v>25277</v>
      </c>
      <c r="L65" t="s">
        <v>31</v>
      </c>
      <c r="M65">
        <v>53.487736681678719</v>
      </c>
    </row>
    <row r="66" spans="1:13" hidden="1" x14ac:dyDescent="0.3">
      <c r="A66" t="s">
        <v>1416</v>
      </c>
      <c r="B66" t="s">
        <v>28</v>
      </c>
      <c r="C66" t="s">
        <v>97</v>
      </c>
      <c r="D66">
        <v>2000</v>
      </c>
      <c r="E66">
        <v>13000</v>
      </c>
      <c r="F66" t="s">
        <v>77</v>
      </c>
      <c r="G66" t="s">
        <v>31</v>
      </c>
      <c r="H66" t="s">
        <v>27</v>
      </c>
      <c r="I66" t="s">
        <v>27</v>
      </c>
      <c r="J66" t="s">
        <v>27</v>
      </c>
      <c r="K66">
        <v>840</v>
      </c>
      <c r="L66">
        <v>24305</v>
      </c>
      <c r="M66">
        <v>53.487736681678719</v>
      </c>
    </row>
    <row r="67" spans="1:13" hidden="1" x14ac:dyDescent="0.3">
      <c r="A67" t="s">
        <v>1417</v>
      </c>
      <c r="B67" t="s">
        <v>28</v>
      </c>
      <c r="C67" t="s">
        <v>97</v>
      </c>
      <c r="D67">
        <v>2000</v>
      </c>
      <c r="E67">
        <v>8100</v>
      </c>
      <c r="F67" t="s">
        <v>34</v>
      </c>
      <c r="G67" t="s">
        <v>31</v>
      </c>
      <c r="H67" t="s">
        <v>27</v>
      </c>
      <c r="I67" t="s">
        <v>27</v>
      </c>
      <c r="J67" t="s">
        <v>27</v>
      </c>
      <c r="K67">
        <v>1035</v>
      </c>
      <c r="L67">
        <v>15144</v>
      </c>
      <c r="M67">
        <v>53.487736681678719</v>
      </c>
    </row>
    <row r="68" spans="1:13" hidden="1" x14ac:dyDescent="0.3">
      <c r="A68" t="s">
        <v>1418</v>
      </c>
      <c r="B68" t="s">
        <v>51</v>
      </c>
      <c r="C68" t="s">
        <v>121</v>
      </c>
      <c r="D68">
        <v>2000</v>
      </c>
      <c r="E68">
        <v>166000</v>
      </c>
      <c r="F68" t="s">
        <v>34</v>
      </c>
      <c r="G68" t="s">
        <v>54</v>
      </c>
      <c r="H68" t="s">
        <v>27</v>
      </c>
      <c r="I68" t="s">
        <v>27</v>
      </c>
      <c r="J68" t="s">
        <v>27</v>
      </c>
      <c r="K68">
        <v>175</v>
      </c>
      <c r="L68">
        <v>310352</v>
      </c>
      <c r="M68">
        <v>53.487736681678719</v>
      </c>
    </row>
    <row r="69" spans="1:13" hidden="1" x14ac:dyDescent="0.3">
      <c r="A69" t="s">
        <v>1419</v>
      </c>
      <c r="B69" t="s">
        <v>51</v>
      </c>
      <c r="C69" t="s">
        <v>121</v>
      </c>
      <c r="D69">
        <v>2000</v>
      </c>
      <c r="E69" t="s">
        <v>31</v>
      </c>
      <c r="F69" t="s">
        <v>119</v>
      </c>
      <c r="G69" t="s">
        <v>31</v>
      </c>
      <c r="H69" t="s">
        <v>27</v>
      </c>
      <c r="I69" t="s">
        <v>27</v>
      </c>
      <c r="J69" t="s">
        <v>27</v>
      </c>
      <c r="K69">
        <v>10000</v>
      </c>
      <c r="L69" t="s">
        <v>31</v>
      </c>
      <c r="M69">
        <v>53.487736681678719</v>
      </c>
    </row>
    <row r="70" spans="1:13" hidden="1" x14ac:dyDescent="0.3">
      <c r="A70" t="s">
        <v>1420</v>
      </c>
      <c r="B70" t="s">
        <v>91</v>
      </c>
      <c r="C70" t="s">
        <v>93</v>
      </c>
      <c r="D70">
        <v>2000</v>
      </c>
      <c r="E70">
        <v>50000</v>
      </c>
      <c r="F70" t="s">
        <v>34</v>
      </c>
      <c r="G70" t="s">
        <v>31</v>
      </c>
      <c r="H70" t="s">
        <v>27</v>
      </c>
      <c r="I70" t="s">
        <v>27</v>
      </c>
      <c r="J70" t="s">
        <v>27</v>
      </c>
      <c r="K70">
        <v>25174</v>
      </c>
      <c r="L70">
        <v>93479</v>
      </c>
      <c r="M70">
        <v>53.487736681678719</v>
      </c>
    </row>
    <row r="71" spans="1:13" hidden="1" x14ac:dyDescent="0.3">
      <c r="A71" t="s">
        <v>1421</v>
      </c>
      <c r="B71" t="s">
        <v>28</v>
      </c>
      <c r="C71" t="s">
        <v>64</v>
      </c>
      <c r="D71">
        <v>2000</v>
      </c>
      <c r="E71" t="s">
        <v>31</v>
      </c>
      <c r="F71" t="s">
        <v>73</v>
      </c>
      <c r="G71" t="s">
        <v>31</v>
      </c>
      <c r="H71" t="s">
        <v>27</v>
      </c>
      <c r="I71" t="s">
        <v>27</v>
      </c>
      <c r="J71" t="s">
        <v>27</v>
      </c>
      <c r="K71">
        <v>300</v>
      </c>
      <c r="L71" t="s">
        <v>31</v>
      </c>
      <c r="M71">
        <v>53.487736681678719</v>
      </c>
    </row>
    <row r="72" spans="1:13" hidden="1" x14ac:dyDescent="0.3">
      <c r="A72" t="s">
        <v>1422</v>
      </c>
      <c r="B72" t="s">
        <v>28</v>
      </c>
      <c r="C72" t="s">
        <v>97</v>
      </c>
      <c r="D72">
        <v>2000</v>
      </c>
      <c r="E72">
        <v>90000</v>
      </c>
      <c r="F72" t="s">
        <v>34</v>
      </c>
      <c r="G72" t="s">
        <v>31</v>
      </c>
      <c r="H72" t="s">
        <v>27</v>
      </c>
      <c r="I72" t="s">
        <v>27</v>
      </c>
      <c r="J72" t="s">
        <v>27</v>
      </c>
      <c r="K72">
        <v>115</v>
      </c>
      <c r="L72">
        <v>168263</v>
      </c>
      <c r="M72">
        <v>53.487736681678719</v>
      </c>
    </row>
    <row r="73" spans="1:13" hidden="1" x14ac:dyDescent="0.3">
      <c r="A73" t="s">
        <v>1423</v>
      </c>
      <c r="B73" t="s">
        <v>28</v>
      </c>
      <c r="C73" t="s">
        <v>67</v>
      </c>
      <c r="D73">
        <v>2000</v>
      </c>
      <c r="E73" t="s">
        <v>31</v>
      </c>
      <c r="F73" t="s">
        <v>34</v>
      </c>
      <c r="G73" t="s">
        <v>31</v>
      </c>
      <c r="H73" t="s">
        <v>27</v>
      </c>
      <c r="I73" t="s">
        <v>27</v>
      </c>
      <c r="J73" t="s">
        <v>27</v>
      </c>
      <c r="K73" t="s">
        <v>31</v>
      </c>
      <c r="L73" t="s">
        <v>31</v>
      </c>
      <c r="M73">
        <v>53.487736681678719</v>
      </c>
    </row>
    <row r="74" spans="1:13" hidden="1" x14ac:dyDescent="0.3">
      <c r="A74" t="s">
        <v>1424</v>
      </c>
      <c r="B74" t="s">
        <v>51</v>
      </c>
      <c r="C74" t="s">
        <v>52</v>
      </c>
      <c r="D74">
        <v>2000</v>
      </c>
      <c r="E74" t="s">
        <v>31</v>
      </c>
      <c r="F74" t="s">
        <v>45</v>
      </c>
      <c r="G74" t="s">
        <v>31</v>
      </c>
      <c r="H74" t="s">
        <v>27</v>
      </c>
      <c r="I74" t="s">
        <v>27</v>
      </c>
      <c r="J74" t="s">
        <v>27</v>
      </c>
      <c r="K74">
        <v>1200</v>
      </c>
      <c r="L74" t="s">
        <v>31</v>
      </c>
      <c r="M74">
        <v>53.487736681678719</v>
      </c>
    </row>
    <row r="75" spans="1:13" hidden="1" x14ac:dyDescent="0.3">
      <c r="A75" t="s">
        <v>1425</v>
      </c>
      <c r="B75" t="s">
        <v>43</v>
      </c>
      <c r="C75" t="s">
        <v>114</v>
      </c>
      <c r="D75">
        <v>2000</v>
      </c>
      <c r="E75" t="s">
        <v>31</v>
      </c>
      <c r="F75" t="s">
        <v>115</v>
      </c>
      <c r="G75" t="s">
        <v>31</v>
      </c>
      <c r="H75" t="s">
        <v>33</v>
      </c>
      <c r="I75" t="s">
        <v>27</v>
      </c>
      <c r="J75" t="s">
        <v>27</v>
      </c>
      <c r="K75">
        <v>211</v>
      </c>
      <c r="L75" t="s">
        <v>31</v>
      </c>
      <c r="M75">
        <v>53.487736681678719</v>
      </c>
    </row>
    <row r="76" spans="1:13" hidden="1" x14ac:dyDescent="0.3">
      <c r="A76" t="s">
        <v>1426</v>
      </c>
      <c r="B76" t="s">
        <v>39</v>
      </c>
      <c r="C76" t="s">
        <v>157</v>
      </c>
      <c r="D76">
        <v>2000</v>
      </c>
      <c r="E76">
        <v>6000</v>
      </c>
      <c r="F76" t="s">
        <v>234</v>
      </c>
      <c r="G76" t="s">
        <v>31</v>
      </c>
      <c r="H76" t="s">
        <v>27</v>
      </c>
      <c r="I76" t="s">
        <v>27</v>
      </c>
      <c r="J76" t="s">
        <v>27</v>
      </c>
      <c r="K76" t="s">
        <v>31</v>
      </c>
      <c r="L76">
        <v>11218</v>
      </c>
      <c r="M76">
        <v>53.487736681678719</v>
      </c>
    </row>
    <row r="77" spans="1:13" hidden="1" x14ac:dyDescent="0.3">
      <c r="A77" t="s">
        <v>1427</v>
      </c>
      <c r="B77" t="s">
        <v>39</v>
      </c>
      <c r="C77" t="s">
        <v>157</v>
      </c>
      <c r="D77">
        <v>2000</v>
      </c>
      <c r="E77" t="s">
        <v>31</v>
      </c>
      <c r="F77" t="s">
        <v>49</v>
      </c>
      <c r="G77" t="s">
        <v>792</v>
      </c>
      <c r="H77" t="s">
        <v>27</v>
      </c>
      <c r="I77" t="s">
        <v>27</v>
      </c>
      <c r="J77" t="s">
        <v>27</v>
      </c>
      <c r="K77">
        <v>1125</v>
      </c>
      <c r="L77" t="s">
        <v>31</v>
      </c>
      <c r="M77">
        <v>53.487736681678719</v>
      </c>
    </row>
    <row r="78" spans="1:13" hidden="1" x14ac:dyDescent="0.3">
      <c r="A78" t="s">
        <v>2121</v>
      </c>
      <c r="B78" t="s">
        <v>51</v>
      </c>
      <c r="C78" t="s">
        <v>121</v>
      </c>
      <c r="D78">
        <v>2000</v>
      </c>
      <c r="E78" t="s">
        <v>31</v>
      </c>
      <c r="F78" t="s">
        <v>34</v>
      </c>
      <c r="G78" t="s">
        <v>54</v>
      </c>
      <c r="H78" t="s">
        <v>27</v>
      </c>
      <c r="I78" t="s">
        <v>27</v>
      </c>
      <c r="J78" t="s">
        <v>27</v>
      </c>
      <c r="K78">
        <v>231</v>
      </c>
      <c r="L78" t="s">
        <v>31</v>
      </c>
      <c r="M78">
        <v>53.487736681678719</v>
      </c>
    </row>
    <row r="79" spans="1:13" hidden="1" x14ac:dyDescent="0.3">
      <c r="A79" t="s">
        <v>2122</v>
      </c>
      <c r="B79" t="s">
        <v>91</v>
      </c>
      <c r="C79" t="s">
        <v>93</v>
      </c>
      <c r="D79">
        <v>2000</v>
      </c>
      <c r="E79" t="s">
        <v>31</v>
      </c>
      <c r="F79" t="s">
        <v>47</v>
      </c>
      <c r="G79" t="s">
        <v>31</v>
      </c>
      <c r="H79" t="s">
        <v>27</v>
      </c>
      <c r="I79" t="s">
        <v>27</v>
      </c>
      <c r="J79" t="s">
        <v>27</v>
      </c>
      <c r="K79">
        <v>430</v>
      </c>
      <c r="L79" t="s">
        <v>31</v>
      </c>
      <c r="M79">
        <v>53.487736681678719</v>
      </c>
    </row>
    <row r="80" spans="1:13" hidden="1" x14ac:dyDescent="0.3">
      <c r="A80" t="s">
        <v>2123</v>
      </c>
      <c r="B80" t="s">
        <v>28</v>
      </c>
      <c r="C80" t="s">
        <v>97</v>
      </c>
      <c r="D80">
        <v>2000</v>
      </c>
      <c r="E80">
        <v>450000</v>
      </c>
      <c r="F80" t="s">
        <v>34</v>
      </c>
      <c r="G80" t="s">
        <v>31</v>
      </c>
      <c r="H80" t="s">
        <v>27</v>
      </c>
      <c r="I80" t="s">
        <v>27</v>
      </c>
      <c r="J80" t="s">
        <v>27</v>
      </c>
      <c r="K80">
        <v>3300</v>
      </c>
      <c r="L80">
        <v>841314</v>
      </c>
      <c r="M80">
        <v>53.487736681678719</v>
      </c>
    </row>
    <row r="81" spans="1:13" hidden="1" x14ac:dyDescent="0.3">
      <c r="A81" t="s">
        <v>2124</v>
      </c>
      <c r="B81" t="s">
        <v>39</v>
      </c>
      <c r="C81" t="s">
        <v>41</v>
      </c>
      <c r="D81">
        <v>2000</v>
      </c>
      <c r="E81" t="s">
        <v>31</v>
      </c>
      <c r="F81" t="s">
        <v>49</v>
      </c>
      <c r="G81" t="s">
        <v>31</v>
      </c>
      <c r="H81" t="s">
        <v>27</v>
      </c>
      <c r="I81" t="s">
        <v>27</v>
      </c>
      <c r="J81" t="s">
        <v>27</v>
      </c>
      <c r="K81" t="s">
        <v>31</v>
      </c>
      <c r="L81" t="s">
        <v>31</v>
      </c>
      <c r="M81">
        <v>53.487736681678719</v>
      </c>
    </row>
    <row r="82" spans="1:13" hidden="1" x14ac:dyDescent="0.3">
      <c r="A82" t="s">
        <v>2125</v>
      </c>
      <c r="B82" t="s">
        <v>39</v>
      </c>
      <c r="C82" t="s">
        <v>41</v>
      </c>
      <c r="D82">
        <v>2000</v>
      </c>
      <c r="E82">
        <v>1500000</v>
      </c>
      <c r="F82" t="s">
        <v>34</v>
      </c>
      <c r="G82" t="s">
        <v>31</v>
      </c>
      <c r="H82" t="s">
        <v>27</v>
      </c>
      <c r="I82" t="s">
        <v>27</v>
      </c>
      <c r="J82" t="s">
        <v>27</v>
      </c>
      <c r="K82">
        <v>25400</v>
      </c>
      <c r="L82">
        <v>2804381</v>
      </c>
      <c r="M82">
        <v>53.487736681678719</v>
      </c>
    </row>
    <row r="83" spans="1:13" hidden="1" x14ac:dyDescent="0.3">
      <c r="A83" t="s">
        <v>2126</v>
      </c>
      <c r="B83" t="s">
        <v>51</v>
      </c>
      <c r="C83" t="s">
        <v>52</v>
      </c>
      <c r="D83">
        <v>2000</v>
      </c>
      <c r="E83" t="s">
        <v>31</v>
      </c>
      <c r="F83" t="s">
        <v>130</v>
      </c>
      <c r="G83" t="s">
        <v>31</v>
      </c>
      <c r="H83" t="s">
        <v>27</v>
      </c>
      <c r="I83" t="s">
        <v>27</v>
      </c>
      <c r="J83" t="s">
        <v>27</v>
      </c>
      <c r="K83">
        <v>30040</v>
      </c>
      <c r="L83" t="s">
        <v>31</v>
      </c>
      <c r="M83">
        <v>53.487736681678719</v>
      </c>
    </row>
    <row r="84" spans="1:13" hidden="1" x14ac:dyDescent="0.3">
      <c r="A84" t="s">
        <v>2127</v>
      </c>
      <c r="B84" t="s">
        <v>51</v>
      </c>
      <c r="C84" t="s">
        <v>56</v>
      </c>
      <c r="D84">
        <v>2000</v>
      </c>
      <c r="E84" t="s">
        <v>31</v>
      </c>
      <c r="F84" t="s">
        <v>73</v>
      </c>
      <c r="G84" t="s">
        <v>31</v>
      </c>
      <c r="H84" t="s">
        <v>27</v>
      </c>
      <c r="I84" t="s">
        <v>27</v>
      </c>
      <c r="J84" t="s">
        <v>27</v>
      </c>
      <c r="K84" t="s">
        <v>31</v>
      </c>
      <c r="L84" t="s">
        <v>31</v>
      </c>
      <c r="M84">
        <v>53.487736681678719</v>
      </c>
    </row>
    <row r="85" spans="1:13" hidden="1" x14ac:dyDescent="0.3">
      <c r="A85" t="s">
        <v>2128</v>
      </c>
      <c r="B85" t="s">
        <v>51</v>
      </c>
      <c r="C85" t="s">
        <v>52</v>
      </c>
      <c r="D85">
        <v>2000</v>
      </c>
      <c r="E85">
        <v>100000</v>
      </c>
      <c r="F85" t="s">
        <v>34</v>
      </c>
      <c r="G85" t="s">
        <v>31</v>
      </c>
      <c r="H85" t="s">
        <v>27</v>
      </c>
      <c r="I85" t="s">
        <v>27</v>
      </c>
      <c r="J85" t="s">
        <v>27</v>
      </c>
      <c r="K85">
        <v>300</v>
      </c>
      <c r="L85">
        <v>186959</v>
      </c>
      <c r="M85">
        <v>53.487736681678719</v>
      </c>
    </row>
    <row r="86" spans="1:13" hidden="1" x14ac:dyDescent="0.3">
      <c r="A86" t="s">
        <v>2129</v>
      </c>
      <c r="B86" t="s">
        <v>51</v>
      </c>
      <c r="C86" t="s">
        <v>121</v>
      </c>
      <c r="D86">
        <v>2000</v>
      </c>
      <c r="E86" t="s">
        <v>31</v>
      </c>
      <c r="F86" t="s">
        <v>90</v>
      </c>
      <c r="G86" t="s">
        <v>31</v>
      </c>
      <c r="H86" t="s">
        <v>27</v>
      </c>
      <c r="I86" t="s">
        <v>27</v>
      </c>
      <c r="J86" t="s">
        <v>33</v>
      </c>
      <c r="K86">
        <v>2524</v>
      </c>
      <c r="L86" t="s">
        <v>31</v>
      </c>
      <c r="M86">
        <v>53.487736681678719</v>
      </c>
    </row>
    <row r="87" spans="1:13" hidden="1" x14ac:dyDescent="0.3">
      <c r="A87" t="s">
        <v>2130</v>
      </c>
      <c r="B87" t="s">
        <v>43</v>
      </c>
      <c r="C87" t="s">
        <v>2131</v>
      </c>
      <c r="D87">
        <v>2000</v>
      </c>
      <c r="E87" t="s">
        <v>31</v>
      </c>
      <c r="F87" t="s">
        <v>53</v>
      </c>
      <c r="G87" t="s">
        <v>31</v>
      </c>
      <c r="H87" t="s">
        <v>27</v>
      </c>
      <c r="I87" t="s">
        <v>27</v>
      </c>
      <c r="J87" t="s">
        <v>27</v>
      </c>
      <c r="K87" t="s">
        <v>31</v>
      </c>
      <c r="L87" t="s">
        <v>31</v>
      </c>
      <c r="M87">
        <v>53.487736681678719</v>
      </c>
    </row>
    <row r="88" spans="1:13" hidden="1" x14ac:dyDescent="0.3">
      <c r="A88" t="s">
        <v>2132</v>
      </c>
      <c r="B88" t="s">
        <v>28</v>
      </c>
      <c r="C88" t="s">
        <v>68</v>
      </c>
      <c r="D88">
        <v>2000</v>
      </c>
      <c r="E88" t="s">
        <v>31</v>
      </c>
      <c r="F88" t="s">
        <v>117</v>
      </c>
      <c r="G88" t="s">
        <v>31</v>
      </c>
      <c r="H88" t="s">
        <v>27</v>
      </c>
      <c r="I88" t="s">
        <v>27</v>
      </c>
      <c r="J88" t="s">
        <v>27</v>
      </c>
      <c r="K88" t="s">
        <v>31</v>
      </c>
      <c r="L88" t="s">
        <v>31</v>
      </c>
      <c r="M88">
        <v>53.487736681678719</v>
      </c>
    </row>
    <row r="89" spans="1:13" hidden="1" x14ac:dyDescent="0.3">
      <c r="A89" t="s">
        <v>2133</v>
      </c>
      <c r="B89" t="s">
        <v>51</v>
      </c>
      <c r="C89" t="s">
        <v>121</v>
      </c>
      <c r="D89">
        <v>2000</v>
      </c>
      <c r="E89" t="s">
        <v>31</v>
      </c>
      <c r="F89" t="s">
        <v>90</v>
      </c>
      <c r="G89" t="s">
        <v>54</v>
      </c>
      <c r="H89" t="s">
        <v>27</v>
      </c>
      <c r="I89" t="s">
        <v>27</v>
      </c>
      <c r="J89" t="s">
        <v>27</v>
      </c>
      <c r="K89">
        <v>462</v>
      </c>
      <c r="L89" t="s">
        <v>31</v>
      </c>
      <c r="M89">
        <v>53.487736681678719</v>
      </c>
    </row>
    <row r="90" spans="1:13" hidden="1" x14ac:dyDescent="0.3">
      <c r="A90" t="s">
        <v>2134</v>
      </c>
      <c r="B90" t="s">
        <v>51</v>
      </c>
      <c r="C90" t="s">
        <v>52</v>
      </c>
      <c r="D90">
        <v>2000</v>
      </c>
      <c r="E90" t="s">
        <v>31</v>
      </c>
      <c r="F90" t="s">
        <v>70</v>
      </c>
      <c r="G90" t="s">
        <v>31</v>
      </c>
      <c r="H90" t="s">
        <v>27</v>
      </c>
      <c r="I90" t="s">
        <v>27</v>
      </c>
      <c r="J90" t="s">
        <v>27</v>
      </c>
      <c r="K90">
        <v>20004</v>
      </c>
      <c r="L90" t="s">
        <v>31</v>
      </c>
      <c r="M90">
        <v>53.487736681678719</v>
      </c>
    </row>
    <row r="91" spans="1:13" hidden="1" x14ac:dyDescent="0.3">
      <c r="A91" t="s">
        <v>2135</v>
      </c>
      <c r="B91" t="s">
        <v>51</v>
      </c>
      <c r="C91" t="s">
        <v>52</v>
      </c>
      <c r="D91">
        <v>2000</v>
      </c>
      <c r="E91">
        <v>1300</v>
      </c>
      <c r="F91" t="s">
        <v>166</v>
      </c>
      <c r="G91" t="s">
        <v>31</v>
      </c>
      <c r="H91" t="s">
        <v>27</v>
      </c>
      <c r="I91" t="s">
        <v>27</v>
      </c>
      <c r="J91" t="s">
        <v>27</v>
      </c>
      <c r="K91">
        <v>1000</v>
      </c>
      <c r="L91">
        <v>2430</v>
      </c>
      <c r="M91">
        <v>53.487736681678719</v>
      </c>
    </row>
    <row r="92" spans="1:13" hidden="1" x14ac:dyDescent="0.3">
      <c r="A92" t="s">
        <v>2136</v>
      </c>
      <c r="B92" t="s">
        <v>28</v>
      </c>
      <c r="C92" t="s">
        <v>30</v>
      </c>
      <c r="D92">
        <v>2000</v>
      </c>
      <c r="E92">
        <v>1000</v>
      </c>
      <c r="F92" t="s">
        <v>81</v>
      </c>
      <c r="G92" t="s">
        <v>31</v>
      </c>
      <c r="H92" t="s">
        <v>27</v>
      </c>
      <c r="I92" t="s">
        <v>27</v>
      </c>
      <c r="J92" t="s">
        <v>27</v>
      </c>
      <c r="K92">
        <v>2300</v>
      </c>
      <c r="L92">
        <v>1870</v>
      </c>
      <c r="M92">
        <v>53.487736681678719</v>
      </c>
    </row>
    <row r="93" spans="1:13" hidden="1" x14ac:dyDescent="0.3">
      <c r="A93" t="s">
        <v>2137</v>
      </c>
      <c r="B93" t="s">
        <v>51</v>
      </c>
      <c r="C93" t="s">
        <v>121</v>
      </c>
      <c r="D93">
        <v>2000</v>
      </c>
      <c r="E93" t="s">
        <v>31</v>
      </c>
      <c r="F93" t="s">
        <v>47</v>
      </c>
      <c r="G93" t="s">
        <v>31</v>
      </c>
      <c r="H93" t="s">
        <v>27</v>
      </c>
      <c r="I93" t="s">
        <v>27</v>
      </c>
      <c r="J93" t="s">
        <v>27</v>
      </c>
      <c r="K93">
        <v>28000</v>
      </c>
      <c r="L93" t="s">
        <v>31</v>
      </c>
      <c r="M93">
        <v>53.487736681678719</v>
      </c>
    </row>
    <row r="94" spans="1:13" hidden="1" x14ac:dyDescent="0.3">
      <c r="A94" t="s">
        <v>2138</v>
      </c>
      <c r="B94" t="s">
        <v>51</v>
      </c>
      <c r="C94" t="s">
        <v>121</v>
      </c>
      <c r="D94">
        <v>2000</v>
      </c>
      <c r="E94" t="s">
        <v>31</v>
      </c>
      <c r="F94" t="s">
        <v>119</v>
      </c>
      <c r="G94" t="s">
        <v>31</v>
      </c>
      <c r="H94" t="s">
        <v>27</v>
      </c>
      <c r="I94" t="s">
        <v>27</v>
      </c>
      <c r="J94" t="s">
        <v>27</v>
      </c>
      <c r="K94">
        <v>5000</v>
      </c>
      <c r="L94" t="s">
        <v>31</v>
      </c>
      <c r="M94">
        <v>53.487736681678719</v>
      </c>
    </row>
    <row r="95" spans="1:13" hidden="1" x14ac:dyDescent="0.3">
      <c r="A95" t="s">
        <v>2139</v>
      </c>
      <c r="B95" t="s">
        <v>51</v>
      </c>
      <c r="C95" t="s">
        <v>52</v>
      </c>
      <c r="D95">
        <v>2000</v>
      </c>
      <c r="E95">
        <v>300000</v>
      </c>
      <c r="F95" t="s">
        <v>130</v>
      </c>
      <c r="G95" t="s">
        <v>31</v>
      </c>
      <c r="H95" t="s">
        <v>27</v>
      </c>
      <c r="I95" t="s">
        <v>27</v>
      </c>
      <c r="J95" t="s">
        <v>27</v>
      </c>
      <c r="K95" t="s">
        <v>31</v>
      </c>
      <c r="L95">
        <v>560876</v>
      </c>
      <c r="M95">
        <v>53.487736681678719</v>
      </c>
    </row>
    <row r="96" spans="1:13" hidden="1" x14ac:dyDescent="0.3">
      <c r="A96" t="s">
        <v>2140</v>
      </c>
      <c r="B96" t="s">
        <v>51</v>
      </c>
      <c r="C96" t="s">
        <v>121</v>
      </c>
      <c r="D96">
        <v>2000</v>
      </c>
      <c r="E96" t="s">
        <v>31</v>
      </c>
      <c r="F96" t="s">
        <v>119</v>
      </c>
      <c r="G96" t="s">
        <v>54</v>
      </c>
      <c r="H96" t="s">
        <v>27</v>
      </c>
      <c r="I96" t="s">
        <v>27</v>
      </c>
      <c r="J96" t="s">
        <v>27</v>
      </c>
      <c r="K96">
        <v>2000</v>
      </c>
      <c r="L96" t="s">
        <v>31</v>
      </c>
      <c r="M96">
        <v>53.487736681678719</v>
      </c>
    </row>
    <row r="97" spans="1:13" hidden="1" x14ac:dyDescent="0.3">
      <c r="A97" t="s">
        <v>2141</v>
      </c>
      <c r="B97" t="s">
        <v>28</v>
      </c>
      <c r="C97" t="s">
        <v>189</v>
      </c>
      <c r="D97">
        <v>2000</v>
      </c>
      <c r="E97" t="s">
        <v>31</v>
      </c>
      <c r="F97" t="s">
        <v>57</v>
      </c>
      <c r="G97" t="s">
        <v>31</v>
      </c>
      <c r="H97" t="s">
        <v>27</v>
      </c>
      <c r="I97" t="s">
        <v>27</v>
      </c>
      <c r="J97" t="s">
        <v>27</v>
      </c>
      <c r="K97">
        <v>100</v>
      </c>
      <c r="L97" t="s">
        <v>31</v>
      </c>
      <c r="M97">
        <v>53.487736681678719</v>
      </c>
    </row>
    <row r="98" spans="1:13" hidden="1" x14ac:dyDescent="0.3">
      <c r="A98" t="s">
        <v>2142</v>
      </c>
      <c r="B98" t="s">
        <v>51</v>
      </c>
      <c r="C98" t="s">
        <v>52</v>
      </c>
      <c r="D98">
        <v>2000</v>
      </c>
      <c r="E98" t="s">
        <v>31</v>
      </c>
      <c r="F98" t="s">
        <v>242</v>
      </c>
      <c r="G98" t="s">
        <v>31</v>
      </c>
      <c r="H98" t="s">
        <v>27</v>
      </c>
      <c r="I98" t="s">
        <v>27</v>
      </c>
      <c r="J98" t="s">
        <v>27</v>
      </c>
      <c r="K98">
        <v>675</v>
      </c>
      <c r="L98" t="s">
        <v>31</v>
      </c>
      <c r="M98">
        <v>53.487736681678719</v>
      </c>
    </row>
    <row r="99" spans="1:13" hidden="1" x14ac:dyDescent="0.3">
      <c r="A99" t="s">
        <v>2143</v>
      </c>
      <c r="B99" t="s">
        <v>39</v>
      </c>
      <c r="C99" t="s">
        <v>157</v>
      </c>
      <c r="D99">
        <v>2000</v>
      </c>
      <c r="E99" t="s">
        <v>31</v>
      </c>
      <c r="F99" t="s">
        <v>111</v>
      </c>
      <c r="G99" t="s">
        <v>31</v>
      </c>
      <c r="H99" t="s">
        <v>33</v>
      </c>
      <c r="I99" t="s">
        <v>27</v>
      </c>
      <c r="J99" t="s">
        <v>27</v>
      </c>
      <c r="K99">
        <v>20000</v>
      </c>
      <c r="L99" t="s">
        <v>31</v>
      </c>
      <c r="M99">
        <v>53.487736681678719</v>
      </c>
    </row>
    <row r="100" spans="1:13" hidden="1" x14ac:dyDescent="0.3">
      <c r="A100" t="s">
        <v>26</v>
      </c>
      <c r="B100" t="s">
        <v>28</v>
      </c>
      <c r="C100" t="s">
        <v>30</v>
      </c>
      <c r="D100">
        <v>2001</v>
      </c>
      <c r="E100">
        <v>250000</v>
      </c>
      <c r="F100" t="s">
        <v>32</v>
      </c>
      <c r="G100" t="s">
        <v>31</v>
      </c>
      <c r="H100" t="s">
        <v>27</v>
      </c>
      <c r="I100" t="s">
        <v>27</v>
      </c>
      <c r="J100" t="s">
        <v>27</v>
      </c>
      <c r="K100">
        <v>20000</v>
      </c>
      <c r="L100">
        <v>454551</v>
      </c>
      <c r="M100">
        <v>54.999385266295363</v>
      </c>
    </row>
    <row r="101" spans="1:13" hidden="1" x14ac:dyDescent="0.3">
      <c r="A101" t="s">
        <v>367</v>
      </c>
      <c r="B101" t="s">
        <v>51</v>
      </c>
      <c r="C101" t="s">
        <v>121</v>
      </c>
      <c r="D101">
        <v>2001</v>
      </c>
      <c r="E101" t="s">
        <v>31</v>
      </c>
      <c r="F101" t="s">
        <v>53</v>
      </c>
      <c r="G101" t="s">
        <v>31</v>
      </c>
      <c r="H101" t="s">
        <v>27</v>
      </c>
      <c r="I101" t="s">
        <v>27</v>
      </c>
      <c r="J101" t="s">
        <v>27</v>
      </c>
      <c r="K101">
        <v>20000</v>
      </c>
      <c r="L101" t="s">
        <v>31</v>
      </c>
      <c r="M101">
        <v>54.999385266295363</v>
      </c>
    </row>
    <row r="102" spans="1:13" hidden="1" x14ac:dyDescent="0.3">
      <c r="A102" t="s">
        <v>370</v>
      </c>
      <c r="B102" t="s">
        <v>51</v>
      </c>
      <c r="C102" t="s">
        <v>121</v>
      </c>
      <c r="D102">
        <v>2001</v>
      </c>
      <c r="E102" t="s">
        <v>31</v>
      </c>
      <c r="F102" t="s">
        <v>34</v>
      </c>
      <c r="G102" t="s">
        <v>31</v>
      </c>
      <c r="H102" t="s">
        <v>27</v>
      </c>
      <c r="I102" t="s">
        <v>27</v>
      </c>
      <c r="J102" t="s">
        <v>27</v>
      </c>
      <c r="K102">
        <v>600</v>
      </c>
      <c r="L102" t="s">
        <v>31</v>
      </c>
      <c r="M102">
        <v>54.999385266295363</v>
      </c>
    </row>
    <row r="103" spans="1:13" hidden="1" x14ac:dyDescent="0.3">
      <c r="A103" t="s">
        <v>413</v>
      </c>
      <c r="B103" t="s">
        <v>51</v>
      </c>
      <c r="C103" t="s">
        <v>52</v>
      </c>
      <c r="D103">
        <v>2001</v>
      </c>
      <c r="E103" t="s">
        <v>31</v>
      </c>
      <c r="F103" t="s">
        <v>34</v>
      </c>
      <c r="G103" t="s">
        <v>31</v>
      </c>
      <c r="H103" t="s">
        <v>27</v>
      </c>
      <c r="I103" t="s">
        <v>27</v>
      </c>
      <c r="J103" t="s">
        <v>27</v>
      </c>
      <c r="K103">
        <v>3600</v>
      </c>
      <c r="L103" t="s">
        <v>31</v>
      </c>
      <c r="M103">
        <v>54.999385266295363</v>
      </c>
    </row>
    <row r="104" spans="1:13" hidden="1" x14ac:dyDescent="0.3">
      <c r="A104" t="s">
        <v>774</v>
      </c>
      <c r="B104" t="s">
        <v>28</v>
      </c>
      <c r="C104" t="s">
        <v>189</v>
      </c>
      <c r="D104">
        <v>2001</v>
      </c>
      <c r="E104">
        <v>15000</v>
      </c>
      <c r="F104" t="s">
        <v>130</v>
      </c>
      <c r="G104" t="s">
        <v>31</v>
      </c>
      <c r="H104" t="s">
        <v>27</v>
      </c>
      <c r="I104" t="s">
        <v>27</v>
      </c>
      <c r="J104" t="s">
        <v>27</v>
      </c>
      <c r="K104">
        <v>2000</v>
      </c>
      <c r="L104">
        <v>27273</v>
      </c>
      <c r="M104">
        <v>54.999385266295363</v>
      </c>
    </row>
    <row r="105" spans="1:13" hidden="1" x14ac:dyDescent="0.3">
      <c r="A105" t="s">
        <v>776</v>
      </c>
      <c r="B105" t="s">
        <v>51</v>
      </c>
      <c r="C105" t="s">
        <v>121</v>
      </c>
      <c r="D105">
        <v>2001</v>
      </c>
      <c r="E105" t="s">
        <v>31</v>
      </c>
      <c r="F105" t="s">
        <v>47</v>
      </c>
      <c r="G105" t="s">
        <v>31</v>
      </c>
      <c r="H105" t="s">
        <v>27</v>
      </c>
      <c r="I105" t="s">
        <v>27</v>
      </c>
      <c r="J105" t="s">
        <v>27</v>
      </c>
      <c r="K105">
        <v>1500</v>
      </c>
      <c r="L105" t="s">
        <v>31</v>
      </c>
      <c r="M105">
        <v>54.999385266295363</v>
      </c>
    </row>
    <row r="106" spans="1:13" hidden="1" x14ac:dyDescent="0.3">
      <c r="A106" t="s">
        <v>793</v>
      </c>
      <c r="B106" t="s">
        <v>91</v>
      </c>
      <c r="C106" t="s">
        <v>93</v>
      </c>
      <c r="D106">
        <v>2001</v>
      </c>
      <c r="E106">
        <v>50</v>
      </c>
      <c r="F106" t="s">
        <v>90</v>
      </c>
      <c r="G106" t="s">
        <v>31</v>
      </c>
      <c r="H106" t="s">
        <v>27</v>
      </c>
      <c r="I106" t="s">
        <v>27</v>
      </c>
      <c r="J106" t="s">
        <v>27</v>
      </c>
      <c r="K106">
        <v>152</v>
      </c>
      <c r="L106">
        <v>91</v>
      </c>
      <c r="M106">
        <v>54.999385266295363</v>
      </c>
    </row>
    <row r="107" spans="1:13" hidden="1" x14ac:dyDescent="0.3">
      <c r="A107" t="s">
        <v>794</v>
      </c>
      <c r="B107" t="s">
        <v>28</v>
      </c>
      <c r="C107" t="s">
        <v>97</v>
      </c>
      <c r="D107">
        <v>2001</v>
      </c>
      <c r="E107" t="s">
        <v>31</v>
      </c>
      <c r="F107" t="s">
        <v>34</v>
      </c>
      <c r="G107" t="s">
        <v>31</v>
      </c>
      <c r="H107" t="s">
        <v>27</v>
      </c>
      <c r="I107" t="s">
        <v>27</v>
      </c>
      <c r="J107" t="s">
        <v>27</v>
      </c>
      <c r="K107">
        <v>1739</v>
      </c>
      <c r="L107" t="s">
        <v>31</v>
      </c>
      <c r="M107">
        <v>54.999385266295363</v>
      </c>
    </row>
    <row r="108" spans="1:13" hidden="1" x14ac:dyDescent="0.3">
      <c r="A108" t="s">
        <v>795</v>
      </c>
      <c r="B108" t="s">
        <v>51</v>
      </c>
      <c r="C108" t="s">
        <v>56</v>
      </c>
      <c r="D108">
        <v>2001</v>
      </c>
      <c r="E108" t="s">
        <v>31</v>
      </c>
      <c r="F108" t="s">
        <v>53</v>
      </c>
      <c r="G108" t="s">
        <v>31</v>
      </c>
      <c r="H108" t="s">
        <v>27</v>
      </c>
      <c r="I108" t="s">
        <v>27</v>
      </c>
      <c r="J108" t="s">
        <v>27</v>
      </c>
      <c r="K108">
        <v>310</v>
      </c>
      <c r="L108" t="s">
        <v>31</v>
      </c>
      <c r="M108">
        <v>54.999385266295363</v>
      </c>
    </row>
    <row r="109" spans="1:13" hidden="1" x14ac:dyDescent="0.3">
      <c r="A109" t="s">
        <v>796</v>
      </c>
      <c r="B109" t="s">
        <v>51</v>
      </c>
      <c r="C109" t="s">
        <v>52</v>
      </c>
      <c r="D109">
        <v>2001</v>
      </c>
      <c r="E109" t="s">
        <v>31</v>
      </c>
      <c r="F109" t="s">
        <v>166</v>
      </c>
      <c r="G109" t="s">
        <v>31</v>
      </c>
      <c r="H109" t="s">
        <v>27</v>
      </c>
      <c r="I109" t="s">
        <v>27</v>
      </c>
      <c r="J109" t="s">
        <v>27</v>
      </c>
      <c r="K109">
        <v>775</v>
      </c>
      <c r="L109" t="s">
        <v>31</v>
      </c>
      <c r="M109">
        <v>54.999385266295363</v>
      </c>
    </row>
    <row r="110" spans="1:13" hidden="1" x14ac:dyDescent="0.3">
      <c r="A110" t="s">
        <v>797</v>
      </c>
      <c r="B110" t="s">
        <v>91</v>
      </c>
      <c r="C110" t="s">
        <v>798</v>
      </c>
      <c r="D110">
        <v>2001</v>
      </c>
      <c r="E110">
        <v>300000</v>
      </c>
      <c r="F110" t="s">
        <v>53</v>
      </c>
      <c r="G110" t="s">
        <v>173</v>
      </c>
      <c r="H110" t="s">
        <v>33</v>
      </c>
      <c r="I110" t="s">
        <v>27</v>
      </c>
      <c r="J110" t="s">
        <v>27</v>
      </c>
      <c r="K110">
        <v>349978</v>
      </c>
      <c r="L110">
        <v>545461</v>
      </c>
      <c r="M110">
        <v>54.999385266295363</v>
      </c>
    </row>
    <row r="111" spans="1:13" hidden="1" x14ac:dyDescent="0.3">
      <c r="A111" t="s">
        <v>799</v>
      </c>
      <c r="B111" t="s">
        <v>28</v>
      </c>
      <c r="C111" t="s">
        <v>97</v>
      </c>
      <c r="D111">
        <v>2001</v>
      </c>
      <c r="E111" t="s">
        <v>31</v>
      </c>
      <c r="F111" t="s">
        <v>47</v>
      </c>
      <c r="G111" t="s">
        <v>31</v>
      </c>
      <c r="H111" t="s">
        <v>33</v>
      </c>
      <c r="I111" t="s">
        <v>27</v>
      </c>
      <c r="J111" t="s">
        <v>27</v>
      </c>
      <c r="K111">
        <v>7700</v>
      </c>
      <c r="L111" t="s">
        <v>31</v>
      </c>
      <c r="M111">
        <v>54.999385266295363</v>
      </c>
    </row>
    <row r="112" spans="1:13" hidden="1" x14ac:dyDescent="0.3">
      <c r="A112" t="s">
        <v>800</v>
      </c>
      <c r="B112" t="s">
        <v>51</v>
      </c>
      <c r="C112" t="s">
        <v>134</v>
      </c>
      <c r="D112">
        <v>2001</v>
      </c>
      <c r="E112" t="s">
        <v>31</v>
      </c>
      <c r="F112" t="s">
        <v>47</v>
      </c>
      <c r="G112" t="s">
        <v>31</v>
      </c>
      <c r="H112" t="s">
        <v>27</v>
      </c>
      <c r="I112" t="s">
        <v>27</v>
      </c>
      <c r="J112" t="s">
        <v>27</v>
      </c>
      <c r="K112" t="s">
        <v>31</v>
      </c>
      <c r="L112" t="s">
        <v>31</v>
      </c>
      <c r="M112">
        <v>54.999385266295363</v>
      </c>
    </row>
    <row r="113" spans="1:13" hidden="1" x14ac:dyDescent="0.3">
      <c r="A113" t="s">
        <v>801</v>
      </c>
      <c r="B113" t="s">
        <v>28</v>
      </c>
      <c r="C113" t="s">
        <v>99</v>
      </c>
      <c r="D113">
        <v>2001</v>
      </c>
      <c r="E113" t="s">
        <v>31</v>
      </c>
      <c r="F113" t="s">
        <v>119</v>
      </c>
      <c r="G113" t="s">
        <v>31</v>
      </c>
      <c r="H113" t="s">
        <v>27</v>
      </c>
      <c r="I113" t="s">
        <v>27</v>
      </c>
      <c r="J113" t="s">
        <v>33</v>
      </c>
      <c r="K113">
        <v>3400</v>
      </c>
      <c r="L113" t="s">
        <v>31</v>
      </c>
      <c r="M113">
        <v>54.999385266295363</v>
      </c>
    </row>
    <row r="114" spans="1:13" hidden="1" x14ac:dyDescent="0.3">
      <c r="A114" t="s">
        <v>802</v>
      </c>
      <c r="B114" t="s">
        <v>28</v>
      </c>
      <c r="C114" t="s">
        <v>97</v>
      </c>
      <c r="D114">
        <v>2001</v>
      </c>
      <c r="E114">
        <v>7000</v>
      </c>
      <c r="F114" t="s">
        <v>34</v>
      </c>
      <c r="G114" t="s">
        <v>31</v>
      </c>
      <c r="H114" t="s">
        <v>27</v>
      </c>
      <c r="I114" t="s">
        <v>27</v>
      </c>
      <c r="J114" t="s">
        <v>27</v>
      </c>
      <c r="K114">
        <v>1952</v>
      </c>
      <c r="L114">
        <v>12727</v>
      </c>
      <c r="M114">
        <v>54.999385266295363</v>
      </c>
    </row>
    <row r="115" spans="1:13" hidden="1" x14ac:dyDescent="0.3">
      <c r="A115" t="s">
        <v>803</v>
      </c>
      <c r="B115" t="s">
        <v>28</v>
      </c>
      <c r="C115" t="s">
        <v>30</v>
      </c>
      <c r="D115">
        <v>2001</v>
      </c>
      <c r="E115">
        <v>300000</v>
      </c>
      <c r="F115" t="s">
        <v>102</v>
      </c>
      <c r="G115" t="s">
        <v>31</v>
      </c>
      <c r="H115" t="s">
        <v>27</v>
      </c>
      <c r="I115" t="s">
        <v>27</v>
      </c>
      <c r="J115" t="s">
        <v>27</v>
      </c>
      <c r="K115" t="s">
        <v>31</v>
      </c>
      <c r="L115">
        <v>545461</v>
      </c>
      <c r="M115">
        <v>54.999385266295363</v>
      </c>
    </row>
    <row r="116" spans="1:13" x14ac:dyDescent="0.3">
      <c r="A116" t="s">
        <v>804</v>
      </c>
      <c r="B116" t="s">
        <v>51</v>
      </c>
      <c r="C116" t="s">
        <v>56</v>
      </c>
      <c r="D116">
        <v>2001</v>
      </c>
      <c r="E116">
        <v>45000</v>
      </c>
      <c r="F116" t="s">
        <v>119</v>
      </c>
      <c r="G116" t="s">
        <v>54</v>
      </c>
      <c r="H116" t="s">
        <v>27</v>
      </c>
      <c r="I116" t="s">
        <v>27</v>
      </c>
      <c r="J116" t="s">
        <v>27</v>
      </c>
      <c r="K116">
        <v>1946</v>
      </c>
      <c r="L116">
        <v>81819</v>
      </c>
      <c r="M116">
        <v>54.999385266295363</v>
      </c>
    </row>
    <row r="117" spans="1:13" hidden="1" x14ac:dyDescent="0.3">
      <c r="A117" t="s">
        <v>805</v>
      </c>
      <c r="B117" t="s">
        <v>51</v>
      </c>
      <c r="C117" t="s">
        <v>52</v>
      </c>
      <c r="D117">
        <v>2001</v>
      </c>
      <c r="E117" t="s">
        <v>31</v>
      </c>
      <c r="F117" t="s">
        <v>161</v>
      </c>
      <c r="G117" t="s">
        <v>31</v>
      </c>
      <c r="H117" t="s">
        <v>27</v>
      </c>
      <c r="I117" t="s">
        <v>27</v>
      </c>
      <c r="J117" t="s">
        <v>27</v>
      </c>
      <c r="K117">
        <v>1437</v>
      </c>
      <c r="L117" t="s">
        <v>31</v>
      </c>
      <c r="M117">
        <v>54.999385266295363</v>
      </c>
    </row>
    <row r="118" spans="1:13" hidden="1" x14ac:dyDescent="0.3">
      <c r="A118" t="s">
        <v>806</v>
      </c>
      <c r="B118" t="s">
        <v>91</v>
      </c>
      <c r="C118" t="s">
        <v>93</v>
      </c>
      <c r="D118">
        <v>2001</v>
      </c>
      <c r="E118" t="s">
        <v>31</v>
      </c>
      <c r="F118" t="s">
        <v>53</v>
      </c>
      <c r="G118" t="s">
        <v>31</v>
      </c>
      <c r="H118" t="s">
        <v>27</v>
      </c>
      <c r="I118" t="s">
        <v>27</v>
      </c>
      <c r="J118" t="s">
        <v>27</v>
      </c>
      <c r="K118">
        <v>3965</v>
      </c>
      <c r="L118" t="s">
        <v>31</v>
      </c>
      <c r="M118">
        <v>54.999385266295363</v>
      </c>
    </row>
    <row r="119" spans="1:13" hidden="1" x14ac:dyDescent="0.3">
      <c r="A119" t="s">
        <v>841</v>
      </c>
      <c r="B119" t="s">
        <v>39</v>
      </c>
      <c r="C119" t="s">
        <v>157</v>
      </c>
      <c r="D119">
        <v>2001</v>
      </c>
      <c r="E119" t="s">
        <v>31</v>
      </c>
      <c r="F119" t="s">
        <v>119</v>
      </c>
      <c r="G119" t="s">
        <v>31</v>
      </c>
      <c r="H119" t="s">
        <v>27</v>
      </c>
      <c r="I119" t="s">
        <v>27</v>
      </c>
      <c r="J119" t="s">
        <v>33</v>
      </c>
      <c r="K119">
        <v>1000000</v>
      </c>
      <c r="L119" t="s">
        <v>31</v>
      </c>
      <c r="M119">
        <v>54.999385266295363</v>
      </c>
    </row>
    <row r="120" spans="1:13" hidden="1" x14ac:dyDescent="0.3">
      <c r="A120" t="s">
        <v>842</v>
      </c>
      <c r="B120" t="s">
        <v>91</v>
      </c>
      <c r="C120" t="s">
        <v>93</v>
      </c>
      <c r="D120">
        <v>2001</v>
      </c>
      <c r="E120">
        <v>1500000</v>
      </c>
      <c r="F120" t="s">
        <v>115</v>
      </c>
      <c r="G120" t="s">
        <v>54</v>
      </c>
      <c r="H120" t="s">
        <v>33</v>
      </c>
      <c r="I120" t="s">
        <v>33</v>
      </c>
      <c r="J120" t="s">
        <v>27</v>
      </c>
      <c r="K120">
        <v>1334529</v>
      </c>
      <c r="L120">
        <v>2727303</v>
      </c>
      <c r="M120">
        <v>54.999385266295363</v>
      </c>
    </row>
    <row r="121" spans="1:13" hidden="1" x14ac:dyDescent="0.3">
      <c r="A121" t="s">
        <v>843</v>
      </c>
      <c r="B121" t="s">
        <v>51</v>
      </c>
      <c r="C121" t="s">
        <v>121</v>
      </c>
      <c r="D121">
        <v>2001</v>
      </c>
      <c r="E121">
        <v>121000</v>
      </c>
      <c r="F121" t="s">
        <v>111</v>
      </c>
      <c r="G121" t="s">
        <v>31</v>
      </c>
      <c r="H121" t="s">
        <v>33</v>
      </c>
      <c r="I121" t="s">
        <v>27</v>
      </c>
      <c r="J121" t="s">
        <v>27</v>
      </c>
      <c r="K121">
        <v>357250</v>
      </c>
      <c r="L121">
        <v>220002</v>
      </c>
      <c r="M121">
        <v>54.999385266295363</v>
      </c>
    </row>
    <row r="122" spans="1:13" hidden="1" x14ac:dyDescent="0.3">
      <c r="A122" t="s">
        <v>844</v>
      </c>
      <c r="B122" t="s">
        <v>51</v>
      </c>
      <c r="C122" t="s">
        <v>52</v>
      </c>
      <c r="D122">
        <v>2001</v>
      </c>
      <c r="E122">
        <v>8900</v>
      </c>
      <c r="F122" t="s">
        <v>60</v>
      </c>
      <c r="G122" t="s">
        <v>31</v>
      </c>
      <c r="H122" t="s">
        <v>27</v>
      </c>
      <c r="I122" t="s">
        <v>27</v>
      </c>
      <c r="J122" t="s">
        <v>27</v>
      </c>
      <c r="K122">
        <v>2559</v>
      </c>
      <c r="L122">
        <v>16182</v>
      </c>
      <c r="M122">
        <v>54.999385266295363</v>
      </c>
    </row>
    <row r="123" spans="1:13" hidden="1" x14ac:dyDescent="0.3">
      <c r="A123" t="s">
        <v>845</v>
      </c>
      <c r="B123" t="s">
        <v>91</v>
      </c>
      <c r="C123" t="s">
        <v>93</v>
      </c>
      <c r="D123">
        <v>2001</v>
      </c>
      <c r="E123">
        <v>2000000</v>
      </c>
      <c r="F123" t="s">
        <v>34</v>
      </c>
      <c r="G123" t="s">
        <v>31</v>
      </c>
      <c r="H123" t="s">
        <v>27</v>
      </c>
      <c r="I123" t="s">
        <v>27</v>
      </c>
      <c r="J123" t="s">
        <v>27</v>
      </c>
      <c r="K123">
        <v>400</v>
      </c>
      <c r="L123">
        <v>3636404</v>
      </c>
      <c r="M123">
        <v>54.999385266295363</v>
      </c>
    </row>
    <row r="124" spans="1:13" hidden="1" x14ac:dyDescent="0.3">
      <c r="A124" t="s">
        <v>846</v>
      </c>
      <c r="B124" t="s">
        <v>51</v>
      </c>
      <c r="C124" t="s">
        <v>52</v>
      </c>
      <c r="D124">
        <v>2001</v>
      </c>
      <c r="E124" t="s">
        <v>31</v>
      </c>
      <c r="F124" t="s">
        <v>57</v>
      </c>
      <c r="G124" t="s">
        <v>31</v>
      </c>
      <c r="H124" t="s">
        <v>27</v>
      </c>
      <c r="I124" t="s">
        <v>27</v>
      </c>
      <c r="J124" t="s">
        <v>27</v>
      </c>
      <c r="K124">
        <v>5000</v>
      </c>
      <c r="L124" t="s">
        <v>31</v>
      </c>
      <c r="M124">
        <v>54.999385266295363</v>
      </c>
    </row>
    <row r="125" spans="1:13" hidden="1" x14ac:dyDescent="0.3">
      <c r="A125" t="s">
        <v>847</v>
      </c>
      <c r="B125" t="s">
        <v>51</v>
      </c>
      <c r="C125" t="s">
        <v>121</v>
      </c>
      <c r="D125">
        <v>2001</v>
      </c>
      <c r="E125" t="s">
        <v>31</v>
      </c>
      <c r="F125" t="s">
        <v>53</v>
      </c>
      <c r="G125" t="s">
        <v>31</v>
      </c>
      <c r="H125" t="s">
        <v>27</v>
      </c>
      <c r="I125" t="s">
        <v>27</v>
      </c>
      <c r="J125" t="s">
        <v>27</v>
      </c>
      <c r="K125">
        <v>46000</v>
      </c>
      <c r="L125" t="s">
        <v>31</v>
      </c>
      <c r="M125">
        <v>54.999385266295363</v>
      </c>
    </row>
    <row r="126" spans="1:13" hidden="1" x14ac:dyDescent="0.3">
      <c r="A126" t="s">
        <v>848</v>
      </c>
      <c r="B126" t="s">
        <v>51</v>
      </c>
      <c r="C126" t="s">
        <v>52</v>
      </c>
      <c r="D126">
        <v>2001</v>
      </c>
      <c r="E126" t="s">
        <v>31</v>
      </c>
      <c r="F126" t="s">
        <v>130</v>
      </c>
      <c r="G126" t="s">
        <v>31</v>
      </c>
      <c r="H126" t="s">
        <v>27</v>
      </c>
      <c r="I126" t="s">
        <v>27</v>
      </c>
      <c r="J126" t="s">
        <v>27</v>
      </c>
      <c r="K126">
        <v>600</v>
      </c>
      <c r="L126" t="s">
        <v>31</v>
      </c>
      <c r="M126">
        <v>54.999385266295363</v>
      </c>
    </row>
    <row r="127" spans="1:13" hidden="1" x14ac:dyDescent="0.3">
      <c r="A127" t="s">
        <v>849</v>
      </c>
      <c r="B127" t="s">
        <v>51</v>
      </c>
      <c r="C127" t="s">
        <v>121</v>
      </c>
      <c r="D127">
        <v>2001</v>
      </c>
      <c r="E127" t="s">
        <v>31</v>
      </c>
      <c r="F127" t="s">
        <v>109</v>
      </c>
      <c r="G127" t="s">
        <v>31</v>
      </c>
      <c r="H127" t="s">
        <v>27</v>
      </c>
      <c r="I127" t="s">
        <v>27</v>
      </c>
      <c r="J127" t="s">
        <v>27</v>
      </c>
      <c r="K127">
        <v>8330</v>
      </c>
      <c r="L127" t="s">
        <v>31</v>
      </c>
      <c r="M127">
        <v>54.999385266295363</v>
      </c>
    </row>
    <row r="128" spans="1:13" hidden="1" x14ac:dyDescent="0.3">
      <c r="A128" t="s">
        <v>850</v>
      </c>
      <c r="B128" t="s">
        <v>39</v>
      </c>
      <c r="C128" t="s">
        <v>41</v>
      </c>
      <c r="D128">
        <v>2001</v>
      </c>
      <c r="E128" t="s">
        <v>31</v>
      </c>
      <c r="F128" t="s">
        <v>34</v>
      </c>
      <c r="G128" t="s">
        <v>31</v>
      </c>
      <c r="H128" t="s">
        <v>27</v>
      </c>
      <c r="I128" t="s">
        <v>27</v>
      </c>
      <c r="J128" t="s">
        <v>27</v>
      </c>
      <c r="K128">
        <v>139</v>
      </c>
      <c r="L128" t="s">
        <v>31</v>
      </c>
      <c r="M128">
        <v>54.999385266295363</v>
      </c>
    </row>
    <row r="129" spans="1:13" hidden="1" x14ac:dyDescent="0.3">
      <c r="A129" t="s">
        <v>851</v>
      </c>
      <c r="B129" t="s">
        <v>28</v>
      </c>
      <c r="C129" t="s">
        <v>68</v>
      </c>
      <c r="D129">
        <v>2001</v>
      </c>
      <c r="E129" t="s">
        <v>31</v>
      </c>
      <c r="F129" t="s">
        <v>130</v>
      </c>
      <c r="G129" t="s">
        <v>31</v>
      </c>
      <c r="H129" t="s">
        <v>27</v>
      </c>
      <c r="I129" t="s">
        <v>27</v>
      </c>
      <c r="J129" t="s">
        <v>27</v>
      </c>
      <c r="K129">
        <v>3000</v>
      </c>
      <c r="L129" t="s">
        <v>31</v>
      </c>
      <c r="M129">
        <v>54.999385266295363</v>
      </c>
    </row>
    <row r="130" spans="1:13" hidden="1" x14ac:dyDescent="0.3">
      <c r="A130" t="s">
        <v>852</v>
      </c>
      <c r="B130" t="s">
        <v>51</v>
      </c>
      <c r="C130" t="s">
        <v>56</v>
      </c>
      <c r="D130">
        <v>2001</v>
      </c>
      <c r="E130" t="s">
        <v>31</v>
      </c>
      <c r="F130" t="s">
        <v>115</v>
      </c>
      <c r="G130" t="s">
        <v>31</v>
      </c>
      <c r="H130" t="s">
        <v>27</v>
      </c>
      <c r="I130" t="s">
        <v>27</v>
      </c>
      <c r="J130" t="s">
        <v>27</v>
      </c>
      <c r="K130">
        <v>1000</v>
      </c>
      <c r="L130" t="s">
        <v>31</v>
      </c>
      <c r="M130">
        <v>54.999385266295363</v>
      </c>
    </row>
    <row r="131" spans="1:13" hidden="1" x14ac:dyDescent="0.3">
      <c r="A131" t="s">
        <v>853</v>
      </c>
      <c r="B131" t="s">
        <v>28</v>
      </c>
      <c r="C131" t="s">
        <v>30</v>
      </c>
      <c r="D131">
        <v>2001</v>
      </c>
      <c r="E131">
        <v>400000</v>
      </c>
      <c r="F131" t="s">
        <v>73</v>
      </c>
      <c r="G131" t="s">
        <v>31</v>
      </c>
      <c r="H131" t="s">
        <v>27</v>
      </c>
      <c r="I131" t="s">
        <v>27</v>
      </c>
      <c r="J131" t="s">
        <v>33</v>
      </c>
      <c r="K131">
        <v>3800</v>
      </c>
      <c r="L131">
        <v>727281</v>
      </c>
      <c r="M131">
        <v>54.999385266295363</v>
      </c>
    </row>
    <row r="132" spans="1:13" hidden="1" x14ac:dyDescent="0.3">
      <c r="A132" t="s">
        <v>854</v>
      </c>
      <c r="B132" t="s">
        <v>28</v>
      </c>
      <c r="C132" t="s">
        <v>97</v>
      </c>
      <c r="D132">
        <v>2001</v>
      </c>
      <c r="E132">
        <v>30000</v>
      </c>
      <c r="F132" t="s">
        <v>34</v>
      </c>
      <c r="G132" t="s">
        <v>31</v>
      </c>
      <c r="H132" t="s">
        <v>27</v>
      </c>
      <c r="I132" t="s">
        <v>27</v>
      </c>
      <c r="J132" t="s">
        <v>27</v>
      </c>
      <c r="K132">
        <v>1050</v>
      </c>
      <c r="L132">
        <v>54546</v>
      </c>
      <c r="M132">
        <v>54.999385266295363</v>
      </c>
    </row>
    <row r="133" spans="1:13" hidden="1" x14ac:dyDescent="0.3">
      <c r="A133" t="s">
        <v>855</v>
      </c>
      <c r="B133" t="s">
        <v>28</v>
      </c>
      <c r="C133" t="s">
        <v>30</v>
      </c>
      <c r="D133">
        <v>2001</v>
      </c>
      <c r="E133">
        <v>5000</v>
      </c>
      <c r="F133" t="s">
        <v>49</v>
      </c>
      <c r="G133" t="s">
        <v>31</v>
      </c>
      <c r="H133" t="s">
        <v>27</v>
      </c>
      <c r="I133" t="s">
        <v>27</v>
      </c>
      <c r="J133" t="s">
        <v>27</v>
      </c>
      <c r="K133">
        <v>86321</v>
      </c>
      <c r="L133">
        <v>9091</v>
      </c>
      <c r="M133">
        <v>54.999385266295363</v>
      </c>
    </row>
    <row r="134" spans="1:13" hidden="1" x14ac:dyDescent="0.3">
      <c r="A134" t="s">
        <v>856</v>
      </c>
      <c r="B134" t="s">
        <v>51</v>
      </c>
      <c r="C134" t="s">
        <v>134</v>
      </c>
      <c r="D134">
        <v>2001</v>
      </c>
      <c r="E134" t="s">
        <v>31</v>
      </c>
      <c r="F134" t="s">
        <v>53</v>
      </c>
      <c r="G134" t="s">
        <v>31</v>
      </c>
      <c r="H134" t="s">
        <v>27</v>
      </c>
      <c r="I134" t="s">
        <v>27</v>
      </c>
      <c r="J134" t="s">
        <v>27</v>
      </c>
      <c r="K134">
        <v>150</v>
      </c>
      <c r="L134" t="s">
        <v>31</v>
      </c>
      <c r="M134">
        <v>54.999385266295363</v>
      </c>
    </row>
    <row r="135" spans="1:13" hidden="1" x14ac:dyDescent="0.3">
      <c r="A135" t="s">
        <v>857</v>
      </c>
      <c r="B135" t="s">
        <v>39</v>
      </c>
      <c r="C135" t="s">
        <v>41</v>
      </c>
      <c r="D135">
        <v>2001</v>
      </c>
      <c r="E135" t="s">
        <v>31</v>
      </c>
      <c r="F135" t="s">
        <v>34</v>
      </c>
      <c r="G135" t="s">
        <v>31</v>
      </c>
      <c r="H135" t="s">
        <v>27</v>
      </c>
      <c r="I135" t="s">
        <v>27</v>
      </c>
      <c r="J135" t="s">
        <v>27</v>
      </c>
      <c r="K135" t="s">
        <v>31</v>
      </c>
      <c r="L135" t="s">
        <v>31</v>
      </c>
      <c r="M135">
        <v>54.999385266295363</v>
      </c>
    </row>
    <row r="136" spans="1:13" hidden="1" x14ac:dyDescent="0.3">
      <c r="A136" t="s">
        <v>858</v>
      </c>
      <c r="B136" t="s">
        <v>51</v>
      </c>
      <c r="C136" t="s">
        <v>121</v>
      </c>
      <c r="D136">
        <v>2001</v>
      </c>
      <c r="E136" t="s">
        <v>31</v>
      </c>
      <c r="F136" t="s">
        <v>119</v>
      </c>
      <c r="G136" t="s">
        <v>54</v>
      </c>
      <c r="H136" t="s">
        <v>27</v>
      </c>
      <c r="I136" t="s">
        <v>27</v>
      </c>
      <c r="J136" t="s">
        <v>33</v>
      </c>
      <c r="K136">
        <v>5100</v>
      </c>
      <c r="L136" t="s">
        <v>31</v>
      </c>
      <c r="M136">
        <v>54.999385266295363</v>
      </c>
    </row>
    <row r="137" spans="1:13" hidden="1" x14ac:dyDescent="0.3">
      <c r="A137" t="s">
        <v>859</v>
      </c>
      <c r="B137" t="s">
        <v>28</v>
      </c>
      <c r="C137" t="s">
        <v>30</v>
      </c>
      <c r="D137">
        <v>2001</v>
      </c>
      <c r="E137" t="s">
        <v>31</v>
      </c>
      <c r="F137" t="s">
        <v>73</v>
      </c>
      <c r="G137" t="s">
        <v>31</v>
      </c>
      <c r="H137" t="s">
        <v>27</v>
      </c>
      <c r="I137" t="s">
        <v>27</v>
      </c>
      <c r="J137" t="s">
        <v>27</v>
      </c>
      <c r="K137">
        <v>2500</v>
      </c>
      <c r="L137" t="s">
        <v>31</v>
      </c>
      <c r="M137">
        <v>54.999385266295363</v>
      </c>
    </row>
    <row r="138" spans="1:13" hidden="1" x14ac:dyDescent="0.3">
      <c r="A138" t="s">
        <v>860</v>
      </c>
      <c r="B138" t="s">
        <v>28</v>
      </c>
      <c r="C138" t="s">
        <v>68</v>
      </c>
      <c r="D138">
        <v>2001</v>
      </c>
      <c r="E138" t="s">
        <v>31</v>
      </c>
      <c r="F138" t="s">
        <v>90</v>
      </c>
      <c r="G138" t="s">
        <v>31</v>
      </c>
      <c r="H138" t="s">
        <v>27</v>
      </c>
      <c r="I138" t="s">
        <v>27</v>
      </c>
      <c r="J138" t="s">
        <v>27</v>
      </c>
      <c r="K138">
        <v>1850</v>
      </c>
      <c r="L138" t="s">
        <v>31</v>
      </c>
      <c r="M138">
        <v>54.999385266295363</v>
      </c>
    </row>
    <row r="139" spans="1:13" hidden="1" x14ac:dyDescent="0.3">
      <c r="A139" t="s">
        <v>861</v>
      </c>
      <c r="B139" t="s">
        <v>28</v>
      </c>
      <c r="C139" t="s">
        <v>95</v>
      </c>
      <c r="D139">
        <v>2001</v>
      </c>
      <c r="E139" t="s">
        <v>31</v>
      </c>
      <c r="F139" t="s">
        <v>34</v>
      </c>
      <c r="G139" t="s">
        <v>31</v>
      </c>
      <c r="H139" t="s">
        <v>27</v>
      </c>
      <c r="I139" t="s">
        <v>27</v>
      </c>
      <c r="J139" t="s">
        <v>27</v>
      </c>
      <c r="K139" t="s">
        <v>31</v>
      </c>
      <c r="L139" t="s">
        <v>31</v>
      </c>
      <c r="M139">
        <v>54.999385266295363</v>
      </c>
    </row>
    <row r="140" spans="1:13" hidden="1" x14ac:dyDescent="0.3">
      <c r="A140" t="s">
        <v>862</v>
      </c>
      <c r="B140" t="s">
        <v>39</v>
      </c>
      <c r="C140" t="s">
        <v>157</v>
      </c>
      <c r="D140">
        <v>2001</v>
      </c>
      <c r="E140">
        <v>14000</v>
      </c>
      <c r="F140" t="s">
        <v>90</v>
      </c>
      <c r="G140" t="s">
        <v>792</v>
      </c>
      <c r="H140" t="s">
        <v>27</v>
      </c>
      <c r="I140" t="s">
        <v>27</v>
      </c>
      <c r="J140" t="s">
        <v>27</v>
      </c>
      <c r="K140">
        <v>113596</v>
      </c>
      <c r="L140">
        <v>25455</v>
      </c>
      <c r="M140">
        <v>54.999385266295363</v>
      </c>
    </row>
    <row r="141" spans="1:13" hidden="1" x14ac:dyDescent="0.3">
      <c r="A141" t="s">
        <v>863</v>
      </c>
      <c r="B141" t="s">
        <v>39</v>
      </c>
      <c r="C141" t="s">
        <v>157</v>
      </c>
      <c r="D141">
        <v>2001</v>
      </c>
      <c r="E141" t="s">
        <v>31</v>
      </c>
      <c r="F141" t="s">
        <v>49</v>
      </c>
      <c r="G141" t="s">
        <v>196</v>
      </c>
      <c r="H141" t="s">
        <v>27</v>
      </c>
      <c r="I141" t="s">
        <v>27</v>
      </c>
      <c r="J141" t="s">
        <v>33</v>
      </c>
      <c r="K141">
        <v>195000</v>
      </c>
      <c r="L141" t="s">
        <v>31</v>
      </c>
      <c r="M141">
        <v>54.999385266295363</v>
      </c>
    </row>
    <row r="142" spans="1:13" hidden="1" x14ac:dyDescent="0.3">
      <c r="A142" t="s">
        <v>1428</v>
      </c>
      <c r="B142" t="s">
        <v>28</v>
      </c>
      <c r="C142" t="s">
        <v>97</v>
      </c>
      <c r="D142">
        <v>2001</v>
      </c>
      <c r="E142">
        <v>250000</v>
      </c>
      <c r="F142" t="s">
        <v>34</v>
      </c>
      <c r="G142" t="s">
        <v>31</v>
      </c>
      <c r="H142" t="s">
        <v>27</v>
      </c>
      <c r="I142" t="s">
        <v>27</v>
      </c>
      <c r="J142" t="s">
        <v>27</v>
      </c>
      <c r="K142">
        <v>930</v>
      </c>
      <c r="L142">
        <v>454551</v>
      </c>
      <c r="M142">
        <v>54.999385266295363</v>
      </c>
    </row>
    <row r="143" spans="1:13" hidden="1" x14ac:dyDescent="0.3">
      <c r="A143" t="s">
        <v>1429</v>
      </c>
      <c r="B143" t="s">
        <v>28</v>
      </c>
      <c r="C143" t="s">
        <v>97</v>
      </c>
      <c r="D143">
        <v>2001</v>
      </c>
      <c r="E143">
        <v>23000</v>
      </c>
      <c r="F143" t="s">
        <v>34</v>
      </c>
      <c r="G143" t="s">
        <v>65</v>
      </c>
      <c r="H143" t="s">
        <v>27</v>
      </c>
      <c r="I143" t="s">
        <v>27</v>
      </c>
      <c r="J143" t="s">
        <v>27</v>
      </c>
      <c r="K143">
        <v>813</v>
      </c>
      <c r="L143">
        <v>41819</v>
      </c>
      <c r="M143">
        <v>54.999385266295363</v>
      </c>
    </row>
    <row r="144" spans="1:13" hidden="1" x14ac:dyDescent="0.3">
      <c r="A144" t="s">
        <v>1430</v>
      </c>
      <c r="B144" t="s">
        <v>51</v>
      </c>
      <c r="C144" t="s">
        <v>121</v>
      </c>
      <c r="D144">
        <v>2001</v>
      </c>
      <c r="E144" t="s">
        <v>31</v>
      </c>
      <c r="F144" t="s">
        <v>45</v>
      </c>
      <c r="G144" t="s">
        <v>31</v>
      </c>
      <c r="H144" t="s">
        <v>27</v>
      </c>
      <c r="I144" t="s">
        <v>27</v>
      </c>
      <c r="J144" t="s">
        <v>27</v>
      </c>
      <c r="K144">
        <v>5081</v>
      </c>
      <c r="L144" t="s">
        <v>31</v>
      </c>
      <c r="M144">
        <v>54.999385266295363</v>
      </c>
    </row>
    <row r="145" spans="1:13" hidden="1" x14ac:dyDescent="0.3">
      <c r="A145" t="s">
        <v>1431</v>
      </c>
      <c r="B145" t="s">
        <v>51</v>
      </c>
      <c r="C145" t="s">
        <v>121</v>
      </c>
      <c r="D145">
        <v>2001</v>
      </c>
      <c r="E145">
        <v>13000</v>
      </c>
      <c r="F145" t="s">
        <v>34</v>
      </c>
      <c r="G145" t="s">
        <v>31</v>
      </c>
      <c r="H145" t="s">
        <v>27</v>
      </c>
      <c r="I145" t="s">
        <v>27</v>
      </c>
      <c r="J145" t="s">
        <v>27</v>
      </c>
      <c r="K145">
        <v>4400</v>
      </c>
      <c r="L145">
        <v>23637</v>
      </c>
      <c r="M145">
        <v>54.999385266295363</v>
      </c>
    </row>
    <row r="146" spans="1:13" hidden="1" x14ac:dyDescent="0.3">
      <c r="A146" t="s">
        <v>1432</v>
      </c>
      <c r="B146" t="s">
        <v>28</v>
      </c>
      <c r="C146" t="s">
        <v>30</v>
      </c>
      <c r="D146">
        <v>2001</v>
      </c>
      <c r="E146">
        <v>6000000</v>
      </c>
      <c r="F146" t="s">
        <v>34</v>
      </c>
      <c r="G146" t="s">
        <v>37</v>
      </c>
      <c r="H146" t="s">
        <v>27</v>
      </c>
      <c r="I146" t="s">
        <v>27</v>
      </c>
      <c r="J146" t="s">
        <v>33</v>
      </c>
      <c r="K146">
        <v>172000</v>
      </c>
      <c r="L146">
        <v>10909213</v>
      </c>
      <c r="M146">
        <v>54.999385266295363</v>
      </c>
    </row>
    <row r="147" spans="1:13" hidden="1" x14ac:dyDescent="0.3">
      <c r="A147" t="s">
        <v>1433</v>
      </c>
      <c r="B147" t="s">
        <v>51</v>
      </c>
      <c r="C147" t="s">
        <v>121</v>
      </c>
      <c r="D147">
        <v>2001</v>
      </c>
      <c r="E147" t="s">
        <v>31</v>
      </c>
      <c r="F147" t="s">
        <v>34</v>
      </c>
      <c r="G147" t="s">
        <v>31</v>
      </c>
      <c r="H147" t="s">
        <v>27</v>
      </c>
      <c r="I147" t="s">
        <v>27</v>
      </c>
      <c r="J147" t="s">
        <v>27</v>
      </c>
      <c r="K147">
        <v>200</v>
      </c>
      <c r="L147" t="s">
        <v>31</v>
      </c>
      <c r="M147">
        <v>54.999385266295363</v>
      </c>
    </row>
    <row r="148" spans="1:13" hidden="1" x14ac:dyDescent="0.3">
      <c r="A148" t="s">
        <v>1434</v>
      </c>
      <c r="B148" t="s">
        <v>28</v>
      </c>
      <c r="C148" t="s">
        <v>189</v>
      </c>
      <c r="D148">
        <v>2001</v>
      </c>
      <c r="E148" t="s">
        <v>31</v>
      </c>
      <c r="F148" t="s">
        <v>34</v>
      </c>
      <c r="G148" t="s">
        <v>287</v>
      </c>
      <c r="H148" t="s">
        <v>27</v>
      </c>
      <c r="I148" t="s">
        <v>27</v>
      </c>
      <c r="J148" t="s">
        <v>27</v>
      </c>
      <c r="K148">
        <v>100</v>
      </c>
      <c r="L148" t="s">
        <v>31</v>
      </c>
      <c r="M148">
        <v>54.999385266295363</v>
      </c>
    </row>
    <row r="149" spans="1:13" hidden="1" x14ac:dyDescent="0.3">
      <c r="A149" t="s">
        <v>1435</v>
      </c>
      <c r="B149" t="s">
        <v>28</v>
      </c>
      <c r="C149" t="s">
        <v>189</v>
      </c>
      <c r="D149">
        <v>2001</v>
      </c>
      <c r="E149" t="s">
        <v>31</v>
      </c>
      <c r="F149" t="s">
        <v>60</v>
      </c>
      <c r="G149" t="s">
        <v>31</v>
      </c>
      <c r="H149" t="s">
        <v>27</v>
      </c>
      <c r="I149" t="s">
        <v>27</v>
      </c>
      <c r="J149" t="s">
        <v>27</v>
      </c>
      <c r="K149">
        <v>2400</v>
      </c>
      <c r="L149" t="s">
        <v>31</v>
      </c>
      <c r="M149">
        <v>54.999385266295363</v>
      </c>
    </row>
    <row r="150" spans="1:13" hidden="1" x14ac:dyDescent="0.3">
      <c r="A150" t="s">
        <v>1436</v>
      </c>
      <c r="B150" t="s">
        <v>51</v>
      </c>
      <c r="C150" t="s">
        <v>121</v>
      </c>
      <c r="D150">
        <v>2001</v>
      </c>
      <c r="E150">
        <v>146000</v>
      </c>
      <c r="F150" t="s">
        <v>62</v>
      </c>
      <c r="G150" t="s">
        <v>31</v>
      </c>
      <c r="H150" t="s">
        <v>27</v>
      </c>
      <c r="I150" t="s">
        <v>27</v>
      </c>
      <c r="J150" t="s">
        <v>27</v>
      </c>
      <c r="K150">
        <v>9480</v>
      </c>
      <c r="L150">
        <v>265458</v>
      </c>
      <c r="M150">
        <v>54.999385266295363</v>
      </c>
    </row>
    <row r="151" spans="1:13" hidden="1" x14ac:dyDescent="0.3">
      <c r="A151" t="s">
        <v>1437</v>
      </c>
      <c r="B151" t="s">
        <v>39</v>
      </c>
      <c r="C151" t="s">
        <v>41</v>
      </c>
      <c r="D151">
        <v>2001</v>
      </c>
      <c r="E151" t="s">
        <v>31</v>
      </c>
      <c r="F151" t="s">
        <v>77</v>
      </c>
      <c r="G151" t="s">
        <v>31</v>
      </c>
      <c r="H151" t="s">
        <v>27</v>
      </c>
      <c r="I151" t="s">
        <v>27</v>
      </c>
      <c r="J151" t="s">
        <v>27</v>
      </c>
      <c r="K151">
        <v>1200</v>
      </c>
      <c r="L151" t="s">
        <v>31</v>
      </c>
      <c r="M151">
        <v>54.999385266295363</v>
      </c>
    </row>
    <row r="152" spans="1:13" hidden="1" x14ac:dyDescent="0.3">
      <c r="A152" t="s">
        <v>1438</v>
      </c>
      <c r="B152" t="s">
        <v>28</v>
      </c>
      <c r="C152" t="s">
        <v>97</v>
      </c>
      <c r="D152">
        <v>2001</v>
      </c>
      <c r="E152" t="s">
        <v>31</v>
      </c>
      <c r="F152" t="s">
        <v>34</v>
      </c>
      <c r="G152" t="s">
        <v>31</v>
      </c>
      <c r="H152" t="s">
        <v>27</v>
      </c>
      <c r="I152" t="s">
        <v>27</v>
      </c>
      <c r="J152" t="s">
        <v>27</v>
      </c>
      <c r="K152">
        <v>225</v>
      </c>
      <c r="L152" t="s">
        <v>31</v>
      </c>
      <c r="M152">
        <v>54.999385266295363</v>
      </c>
    </row>
    <row r="153" spans="1:13" hidden="1" x14ac:dyDescent="0.3">
      <c r="A153" t="s">
        <v>1439</v>
      </c>
      <c r="B153" t="s">
        <v>28</v>
      </c>
      <c r="C153" t="s">
        <v>30</v>
      </c>
      <c r="D153">
        <v>2001</v>
      </c>
      <c r="E153" t="s">
        <v>31</v>
      </c>
      <c r="F153" t="s">
        <v>73</v>
      </c>
      <c r="G153" t="s">
        <v>31</v>
      </c>
      <c r="H153" t="s">
        <v>27</v>
      </c>
      <c r="I153" t="s">
        <v>27</v>
      </c>
      <c r="J153" t="s">
        <v>27</v>
      </c>
      <c r="K153">
        <v>100</v>
      </c>
      <c r="L153" t="s">
        <v>31</v>
      </c>
      <c r="M153">
        <v>54.999385266295363</v>
      </c>
    </row>
    <row r="154" spans="1:13" hidden="1" x14ac:dyDescent="0.3">
      <c r="A154" t="s">
        <v>1440</v>
      </c>
      <c r="B154" t="s">
        <v>39</v>
      </c>
      <c r="C154" t="s">
        <v>41</v>
      </c>
      <c r="D154">
        <v>2001</v>
      </c>
      <c r="E154" t="s">
        <v>31</v>
      </c>
      <c r="F154" t="s">
        <v>47</v>
      </c>
      <c r="G154" t="s">
        <v>31</v>
      </c>
      <c r="H154" t="s">
        <v>27</v>
      </c>
      <c r="I154" t="s">
        <v>27</v>
      </c>
      <c r="J154" t="s">
        <v>27</v>
      </c>
      <c r="K154" t="s">
        <v>31</v>
      </c>
      <c r="L154" t="s">
        <v>31</v>
      </c>
      <c r="M154">
        <v>54.999385266295363</v>
      </c>
    </row>
    <row r="155" spans="1:13" hidden="1" x14ac:dyDescent="0.3">
      <c r="A155" t="s">
        <v>1441</v>
      </c>
      <c r="B155" t="s">
        <v>51</v>
      </c>
      <c r="C155" t="s">
        <v>56</v>
      </c>
      <c r="D155">
        <v>2001</v>
      </c>
      <c r="E155" t="s">
        <v>31</v>
      </c>
      <c r="F155" t="s">
        <v>73</v>
      </c>
      <c r="G155" t="s">
        <v>31</v>
      </c>
      <c r="H155" t="s">
        <v>27</v>
      </c>
      <c r="I155" t="s">
        <v>27</v>
      </c>
      <c r="J155" t="s">
        <v>27</v>
      </c>
      <c r="K155" t="s">
        <v>31</v>
      </c>
      <c r="L155" t="s">
        <v>31</v>
      </c>
      <c r="M155">
        <v>54.999385266295363</v>
      </c>
    </row>
    <row r="156" spans="1:13" hidden="1" x14ac:dyDescent="0.3">
      <c r="A156" t="s">
        <v>1442</v>
      </c>
      <c r="B156" t="s">
        <v>28</v>
      </c>
      <c r="C156" t="s">
        <v>97</v>
      </c>
      <c r="D156">
        <v>2001</v>
      </c>
      <c r="E156" t="s">
        <v>31</v>
      </c>
      <c r="F156" t="s">
        <v>34</v>
      </c>
      <c r="G156" t="s">
        <v>31</v>
      </c>
      <c r="H156" t="s">
        <v>27</v>
      </c>
      <c r="I156" t="s">
        <v>27</v>
      </c>
      <c r="J156" t="s">
        <v>27</v>
      </c>
      <c r="K156">
        <v>307</v>
      </c>
      <c r="L156" t="s">
        <v>31</v>
      </c>
      <c r="M156">
        <v>54.999385266295363</v>
      </c>
    </row>
    <row r="157" spans="1:13" hidden="1" x14ac:dyDescent="0.3">
      <c r="A157" t="s">
        <v>1443</v>
      </c>
      <c r="B157" t="s">
        <v>28</v>
      </c>
      <c r="C157" t="s">
        <v>30</v>
      </c>
      <c r="D157">
        <v>2001</v>
      </c>
      <c r="E157">
        <v>100</v>
      </c>
      <c r="F157" t="s">
        <v>90</v>
      </c>
      <c r="G157" t="s">
        <v>31</v>
      </c>
      <c r="H157" t="s">
        <v>27</v>
      </c>
      <c r="I157" t="s">
        <v>27</v>
      </c>
      <c r="J157" t="s">
        <v>27</v>
      </c>
      <c r="K157">
        <v>6446</v>
      </c>
      <c r="L157">
        <v>182</v>
      </c>
      <c r="M157">
        <v>54.999385266295363</v>
      </c>
    </row>
    <row r="158" spans="1:13" hidden="1" x14ac:dyDescent="0.3">
      <c r="A158" t="s">
        <v>1444</v>
      </c>
      <c r="B158" t="s">
        <v>28</v>
      </c>
      <c r="C158" t="s">
        <v>30</v>
      </c>
      <c r="D158">
        <v>2001</v>
      </c>
      <c r="E158">
        <v>1000</v>
      </c>
      <c r="F158" t="s">
        <v>73</v>
      </c>
      <c r="G158" t="s">
        <v>31</v>
      </c>
      <c r="H158" t="s">
        <v>27</v>
      </c>
      <c r="I158" t="s">
        <v>27</v>
      </c>
      <c r="J158" t="s">
        <v>27</v>
      </c>
      <c r="K158" t="s">
        <v>31</v>
      </c>
      <c r="L158">
        <v>1818</v>
      </c>
      <c r="M158">
        <v>54.999385266295363</v>
      </c>
    </row>
    <row r="159" spans="1:13" hidden="1" x14ac:dyDescent="0.3">
      <c r="A159" t="s">
        <v>1445</v>
      </c>
      <c r="B159" t="s">
        <v>51</v>
      </c>
      <c r="C159" t="s">
        <v>121</v>
      </c>
      <c r="D159">
        <v>2001</v>
      </c>
      <c r="E159">
        <v>750000</v>
      </c>
      <c r="F159" t="s">
        <v>130</v>
      </c>
      <c r="G159" t="s">
        <v>31</v>
      </c>
      <c r="H159" t="s">
        <v>27</v>
      </c>
      <c r="I159" t="s">
        <v>27</v>
      </c>
      <c r="J159" t="s">
        <v>27</v>
      </c>
      <c r="K159">
        <v>250000</v>
      </c>
      <c r="L159">
        <v>1363652</v>
      </c>
      <c r="M159">
        <v>54.999385266295363</v>
      </c>
    </row>
    <row r="160" spans="1:13" hidden="1" x14ac:dyDescent="0.3">
      <c r="A160" t="s">
        <v>1446</v>
      </c>
      <c r="B160" t="s">
        <v>28</v>
      </c>
      <c r="C160" t="s">
        <v>30</v>
      </c>
      <c r="D160">
        <v>2001</v>
      </c>
      <c r="E160">
        <v>60000</v>
      </c>
      <c r="F160" t="s">
        <v>670</v>
      </c>
      <c r="G160" t="s">
        <v>31</v>
      </c>
      <c r="H160" t="s">
        <v>27</v>
      </c>
      <c r="I160" t="s">
        <v>27</v>
      </c>
      <c r="J160" t="s">
        <v>27</v>
      </c>
      <c r="K160" t="s">
        <v>31</v>
      </c>
      <c r="L160">
        <v>109092</v>
      </c>
      <c r="M160">
        <v>54.999385266295363</v>
      </c>
    </row>
    <row r="161" spans="1:13" hidden="1" x14ac:dyDescent="0.3">
      <c r="A161" t="s">
        <v>1447</v>
      </c>
      <c r="B161" t="s">
        <v>28</v>
      </c>
      <c r="C161" t="s">
        <v>30</v>
      </c>
      <c r="D161">
        <v>2001</v>
      </c>
      <c r="E161">
        <v>1000</v>
      </c>
      <c r="F161" t="s">
        <v>81</v>
      </c>
      <c r="G161" t="s">
        <v>31</v>
      </c>
      <c r="H161" t="s">
        <v>27</v>
      </c>
      <c r="I161" t="s">
        <v>27</v>
      </c>
      <c r="J161" t="s">
        <v>27</v>
      </c>
      <c r="K161">
        <v>24866</v>
      </c>
      <c r="L161">
        <v>1818</v>
      </c>
      <c r="M161">
        <v>54.999385266295363</v>
      </c>
    </row>
    <row r="162" spans="1:13" hidden="1" x14ac:dyDescent="0.3">
      <c r="A162" t="s">
        <v>1449</v>
      </c>
      <c r="B162" t="s">
        <v>28</v>
      </c>
      <c r="C162" t="s">
        <v>30</v>
      </c>
      <c r="D162">
        <v>2001</v>
      </c>
      <c r="E162">
        <v>55487</v>
      </c>
      <c r="F162" t="s">
        <v>234</v>
      </c>
      <c r="G162" t="s">
        <v>31</v>
      </c>
      <c r="H162" t="s">
        <v>27</v>
      </c>
      <c r="I162" t="s">
        <v>27</v>
      </c>
      <c r="J162" t="s">
        <v>27</v>
      </c>
      <c r="K162">
        <v>200</v>
      </c>
      <c r="L162">
        <v>100887</v>
      </c>
      <c r="M162">
        <v>54.999385266295363</v>
      </c>
    </row>
    <row r="163" spans="1:13" hidden="1" x14ac:dyDescent="0.3">
      <c r="A163" t="s">
        <v>1450</v>
      </c>
      <c r="B163" t="s">
        <v>51</v>
      </c>
      <c r="C163" t="s">
        <v>134</v>
      </c>
      <c r="D163">
        <v>2001</v>
      </c>
      <c r="E163" t="s">
        <v>31</v>
      </c>
      <c r="F163" t="s">
        <v>47</v>
      </c>
      <c r="G163" t="s">
        <v>31</v>
      </c>
      <c r="H163" t="s">
        <v>27</v>
      </c>
      <c r="I163" t="s">
        <v>27</v>
      </c>
      <c r="J163" t="s">
        <v>27</v>
      </c>
      <c r="K163">
        <v>32</v>
      </c>
      <c r="L163" t="s">
        <v>31</v>
      </c>
      <c r="M163">
        <v>54.999385266295363</v>
      </c>
    </row>
    <row r="164" spans="1:13" hidden="1" x14ac:dyDescent="0.3">
      <c r="A164" t="s">
        <v>1451</v>
      </c>
      <c r="B164" t="s">
        <v>51</v>
      </c>
      <c r="C164" t="s">
        <v>121</v>
      </c>
      <c r="D164">
        <v>2001</v>
      </c>
      <c r="E164" t="s">
        <v>31</v>
      </c>
      <c r="F164" t="s">
        <v>47</v>
      </c>
      <c r="G164" t="s">
        <v>31</v>
      </c>
      <c r="H164" t="s">
        <v>27</v>
      </c>
      <c r="I164" t="s">
        <v>27</v>
      </c>
      <c r="J164" t="s">
        <v>27</v>
      </c>
      <c r="K164">
        <v>4500</v>
      </c>
      <c r="L164" t="s">
        <v>31</v>
      </c>
      <c r="M164">
        <v>54.999385266295363</v>
      </c>
    </row>
    <row r="165" spans="1:13" hidden="1" x14ac:dyDescent="0.3">
      <c r="A165" t="s">
        <v>1452</v>
      </c>
      <c r="B165" t="s">
        <v>91</v>
      </c>
      <c r="C165" t="s">
        <v>93</v>
      </c>
      <c r="D165">
        <v>2001</v>
      </c>
      <c r="E165" t="s">
        <v>31</v>
      </c>
      <c r="F165" t="s">
        <v>53</v>
      </c>
      <c r="G165" t="s">
        <v>31</v>
      </c>
      <c r="H165" t="s">
        <v>27</v>
      </c>
      <c r="I165" t="s">
        <v>27</v>
      </c>
      <c r="J165" t="s">
        <v>27</v>
      </c>
      <c r="K165">
        <v>155</v>
      </c>
      <c r="L165" t="s">
        <v>31</v>
      </c>
      <c r="M165">
        <v>54.999385266295363</v>
      </c>
    </row>
    <row r="166" spans="1:13" hidden="1" x14ac:dyDescent="0.3">
      <c r="A166" t="s">
        <v>1453</v>
      </c>
      <c r="B166" t="s">
        <v>39</v>
      </c>
      <c r="C166" t="s">
        <v>157</v>
      </c>
      <c r="D166">
        <v>2001</v>
      </c>
      <c r="E166" t="s">
        <v>31</v>
      </c>
      <c r="F166" t="s">
        <v>81</v>
      </c>
      <c r="G166" t="s">
        <v>196</v>
      </c>
      <c r="H166" t="s">
        <v>27</v>
      </c>
      <c r="I166" t="s">
        <v>33</v>
      </c>
      <c r="J166" t="s">
        <v>27</v>
      </c>
      <c r="K166">
        <v>188000</v>
      </c>
      <c r="L166" t="s">
        <v>31</v>
      </c>
      <c r="M166">
        <v>54.999385266295363</v>
      </c>
    </row>
    <row r="167" spans="1:13" hidden="1" x14ac:dyDescent="0.3">
      <c r="A167" t="s">
        <v>1454</v>
      </c>
      <c r="B167" t="s">
        <v>39</v>
      </c>
      <c r="C167" t="s">
        <v>157</v>
      </c>
      <c r="D167">
        <v>2001</v>
      </c>
      <c r="E167">
        <v>22400</v>
      </c>
      <c r="F167" t="s">
        <v>115</v>
      </c>
      <c r="G167" t="s">
        <v>31</v>
      </c>
      <c r="H167" t="s">
        <v>27</v>
      </c>
      <c r="I167" t="s">
        <v>27</v>
      </c>
      <c r="J167" t="s">
        <v>27</v>
      </c>
      <c r="K167">
        <v>400000</v>
      </c>
      <c r="L167">
        <v>40728</v>
      </c>
      <c r="M167">
        <v>54.999385266295363</v>
      </c>
    </row>
    <row r="168" spans="1:13" hidden="1" x14ac:dyDescent="0.3">
      <c r="A168" t="s">
        <v>2144</v>
      </c>
      <c r="B168" t="s">
        <v>28</v>
      </c>
      <c r="C168" t="s">
        <v>189</v>
      </c>
      <c r="D168">
        <v>2001</v>
      </c>
      <c r="E168" t="s">
        <v>31</v>
      </c>
      <c r="F168" t="s">
        <v>130</v>
      </c>
      <c r="G168" t="s">
        <v>31</v>
      </c>
      <c r="H168" t="s">
        <v>27</v>
      </c>
      <c r="I168" t="s">
        <v>27</v>
      </c>
      <c r="J168" t="s">
        <v>27</v>
      </c>
      <c r="K168">
        <v>650</v>
      </c>
      <c r="L168" t="s">
        <v>31</v>
      </c>
      <c r="M168">
        <v>54.999385266295363</v>
      </c>
    </row>
    <row r="169" spans="1:13" hidden="1" x14ac:dyDescent="0.3">
      <c r="A169" t="s">
        <v>2145</v>
      </c>
      <c r="B169" t="s">
        <v>91</v>
      </c>
      <c r="C169" t="s">
        <v>93</v>
      </c>
      <c r="D169">
        <v>2001</v>
      </c>
      <c r="E169">
        <v>348500</v>
      </c>
      <c r="F169" t="s">
        <v>115</v>
      </c>
      <c r="G169" t="s">
        <v>54</v>
      </c>
      <c r="H169" t="s">
        <v>33</v>
      </c>
      <c r="I169" t="s">
        <v>27</v>
      </c>
      <c r="J169" t="s">
        <v>27</v>
      </c>
      <c r="K169">
        <v>256021</v>
      </c>
      <c r="L169">
        <v>633643</v>
      </c>
      <c r="M169">
        <v>54.999385266295363</v>
      </c>
    </row>
    <row r="170" spans="1:13" hidden="1" x14ac:dyDescent="0.3">
      <c r="A170" t="s">
        <v>2146</v>
      </c>
      <c r="B170" t="s">
        <v>28</v>
      </c>
      <c r="C170" t="s">
        <v>189</v>
      </c>
      <c r="D170">
        <v>2001</v>
      </c>
      <c r="E170" t="s">
        <v>31</v>
      </c>
      <c r="F170" t="s">
        <v>77</v>
      </c>
      <c r="G170" t="s">
        <v>31</v>
      </c>
      <c r="H170" t="s">
        <v>27</v>
      </c>
      <c r="I170" t="s">
        <v>27</v>
      </c>
      <c r="J170" t="s">
        <v>27</v>
      </c>
      <c r="K170">
        <v>30</v>
      </c>
      <c r="L170" t="s">
        <v>31</v>
      </c>
      <c r="M170">
        <v>54.999385266295363</v>
      </c>
    </row>
    <row r="171" spans="1:13" hidden="1" x14ac:dyDescent="0.3">
      <c r="A171" t="s">
        <v>2147</v>
      </c>
      <c r="B171" t="s">
        <v>28</v>
      </c>
      <c r="C171" t="s">
        <v>67</v>
      </c>
      <c r="D171">
        <v>2001</v>
      </c>
      <c r="E171" t="s">
        <v>31</v>
      </c>
      <c r="F171" t="s">
        <v>34</v>
      </c>
      <c r="G171" t="s">
        <v>290</v>
      </c>
      <c r="H171" t="s">
        <v>27</v>
      </c>
      <c r="I171" t="s">
        <v>27</v>
      </c>
      <c r="J171" t="s">
        <v>27</v>
      </c>
      <c r="K171">
        <v>100</v>
      </c>
      <c r="L171" t="s">
        <v>31</v>
      </c>
      <c r="M171">
        <v>54.999385266295363</v>
      </c>
    </row>
    <row r="172" spans="1:13" hidden="1" x14ac:dyDescent="0.3">
      <c r="A172" t="s">
        <v>2148</v>
      </c>
      <c r="B172" t="s">
        <v>51</v>
      </c>
      <c r="C172" t="s">
        <v>56</v>
      </c>
      <c r="D172">
        <v>2001</v>
      </c>
      <c r="E172" t="s">
        <v>31</v>
      </c>
      <c r="F172" t="s">
        <v>109</v>
      </c>
      <c r="G172" t="s">
        <v>31</v>
      </c>
      <c r="H172" t="s">
        <v>27</v>
      </c>
      <c r="I172" t="s">
        <v>27</v>
      </c>
      <c r="J172" t="s">
        <v>27</v>
      </c>
      <c r="K172">
        <v>1200</v>
      </c>
      <c r="L172" t="s">
        <v>31</v>
      </c>
      <c r="M172">
        <v>54.999385266295363</v>
      </c>
    </row>
    <row r="173" spans="1:13" hidden="1" x14ac:dyDescent="0.3">
      <c r="A173" t="s">
        <v>2149</v>
      </c>
      <c r="B173" t="s">
        <v>28</v>
      </c>
      <c r="C173" t="s">
        <v>97</v>
      </c>
      <c r="D173">
        <v>2001</v>
      </c>
      <c r="E173">
        <v>1800</v>
      </c>
      <c r="F173" t="s">
        <v>34</v>
      </c>
      <c r="G173" t="s">
        <v>31</v>
      </c>
      <c r="H173" t="s">
        <v>27</v>
      </c>
      <c r="I173" t="s">
        <v>27</v>
      </c>
      <c r="J173" t="s">
        <v>27</v>
      </c>
      <c r="K173">
        <v>492</v>
      </c>
      <c r="L173">
        <v>3273</v>
      </c>
      <c r="M173">
        <v>54.999385266295363</v>
      </c>
    </row>
    <row r="174" spans="1:13" hidden="1" x14ac:dyDescent="0.3">
      <c r="A174" t="s">
        <v>2150</v>
      </c>
      <c r="B174" t="s">
        <v>43</v>
      </c>
      <c r="C174" t="s">
        <v>627</v>
      </c>
      <c r="D174">
        <v>2001</v>
      </c>
      <c r="E174" t="s">
        <v>31</v>
      </c>
      <c r="F174" t="s">
        <v>77</v>
      </c>
      <c r="G174" t="s">
        <v>31</v>
      </c>
      <c r="H174" t="s">
        <v>27</v>
      </c>
      <c r="I174" t="s">
        <v>27</v>
      </c>
      <c r="J174" t="s">
        <v>27</v>
      </c>
      <c r="K174">
        <v>399</v>
      </c>
      <c r="L174" t="s">
        <v>31</v>
      </c>
      <c r="M174">
        <v>54.999385266295363</v>
      </c>
    </row>
    <row r="175" spans="1:13" hidden="1" x14ac:dyDescent="0.3">
      <c r="A175" t="s">
        <v>2151</v>
      </c>
      <c r="B175" t="s">
        <v>51</v>
      </c>
      <c r="C175" t="s">
        <v>121</v>
      </c>
      <c r="D175">
        <v>2001</v>
      </c>
      <c r="E175" t="s">
        <v>31</v>
      </c>
      <c r="F175" t="s">
        <v>119</v>
      </c>
      <c r="G175" t="s">
        <v>31</v>
      </c>
      <c r="H175" t="s">
        <v>27</v>
      </c>
      <c r="I175" t="s">
        <v>27</v>
      </c>
      <c r="J175" t="s">
        <v>27</v>
      </c>
      <c r="K175">
        <v>4000</v>
      </c>
      <c r="L175" t="s">
        <v>31</v>
      </c>
      <c r="M175">
        <v>54.999385266295363</v>
      </c>
    </row>
    <row r="176" spans="1:13" hidden="1" x14ac:dyDescent="0.3">
      <c r="A176" t="s">
        <v>2152</v>
      </c>
      <c r="B176" t="s">
        <v>28</v>
      </c>
      <c r="C176" t="s">
        <v>97</v>
      </c>
      <c r="D176">
        <v>2001</v>
      </c>
      <c r="E176" t="s">
        <v>31</v>
      </c>
      <c r="F176" t="s">
        <v>34</v>
      </c>
      <c r="G176" t="s">
        <v>31</v>
      </c>
      <c r="H176" t="s">
        <v>27</v>
      </c>
      <c r="I176" t="s">
        <v>27</v>
      </c>
      <c r="J176" t="s">
        <v>27</v>
      </c>
      <c r="K176">
        <v>93</v>
      </c>
      <c r="L176" t="s">
        <v>31</v>
      </c>
      <c r="M176">
        <v>54.999385266295363</v>
      </c>
    </row>
    <row r="177" spans="1:13" hidden="1" x14ac:dyDescent="0.3">
      <c r="A177" t="s">
        <v>2153</v>
      </c>
      <c r="B177" t="s">
        <v>51</v>
      </c>
      <c r="C177" t="s">
        <v>52</v>
      </c>
      <c r="D177">
        <v>2001</v>
      </c>
      <c r="E177" t="s">
        <v>31</v>
      </c>
      <c r="F177" t="s">
        <v>60</v>
      </c>
      <c r="G177" t="s">
        <v>31</v>
      </c>
      <c r="H177" t="s">
        <v>27</v>
      </c>
      <c r="I177" t="s">
        <v>27</v>
      </c>
      <c r="J177" t="s">
        <v>27</v>
      </c>
      <c r="K177">
        <v>10000</v>
      </c>
      <c r="L177" t="s">
        <v>31</v>
      </c>
      <c r="M177">
        <v>54.999385266295363</v>
      </c>
    </row>
    <row r="178" spans="1:13" hidden="1" x14ac:dyDescent="0.3">
      <c r="A178" t="s">
        <v>2154</v>
      </c>
      <c r="B178" t="s">
        <v>51</v>
      </c>
      <c r="C178" t="s">
        <v>52</v>
      </c>
      <c r="D178">
        <v>2001</v>
      </c>
      <c r="E178" t="s">
        <v>31</v>
      </c>
      <c r="F178" t="s">
        <v>130</v>
      </c>
      <c r="G178" t="s">
        <v>31</v>
      </c>
      <c r="H178" t="s">
        <v>27</v>
      </c>
      <c r="I178" t="s">
        <v>27</v>
      </c>
      <c r="J178" t="s">
        <v>27</v>
      </c>
      <c r="K178">
        <v>700</v>
      </c>
      <c r="L178" t="s">
        <v>31</v>
      </c>
      <c r="M178">
        <v>54.999385266295363</v>
      </c>
    </row>
    <row r="179" spans="1:13" hidden="1" x14ac:dyDescent="0.3">
      <c r="A179" t="s">
        <v>2155</v>
      </c>
      <c r="B179" t="s">
        <v>39</v>
      </c>
      <c r="C179" t="s">
        <v>41</v>
      </c>
      <c r="D179">
        <v>2001</v>
      </c>
      <c r="E179" t="s">
        <v>31</v>
      </c>
      <c r="F179" t="s">
        <v>130</v>
      </c>
      <c r="G179" t="s">
        <v>31</v>
      </c>
      <c r="H179" t="s">
        <v>27</v>
      </c>
      <c r="I179" t="s">
        <v>27</v>
      </c>
      <c r="J179" t="s">
        <v>27</v>
      </c>
      <c r="K179" t="s">
        <v>31</v>
      </c>
      <c r="L179" t="s">
        <v>31</v>
      </c>
      <c r="M179">
        <v>54.999385266295363</v>
      </c>
    </row>
    <row r="180" spans="1:13" hidden="1" x14ac:dyDescent="0.3">
      <c r="A180" t="s">
        <v>2156</v>
      </c>
      <c r="B180" t="s">
        <v>39</v>
      </c>
      <c r="C180" t="s">
        <v>41</v>
      </c>
      <c r="D180">
        <v>2001</v>
      </c>
      <c r="E180" t="s">
        <v>31</v>
      </c>
      <c r="F180" t="s">
        <v>34</v>
      </c>
      <c r="G180" t="s">
        <v>31</v>
      </c>
      <c r="H180" t="s">
        <v>27</v>
      </c>
      <c r="I180" t="s">
        <v>27</v>
      </c>
      <c r="J180" t="s">
        <v>27</v>
      </c>
      <c r="K180" t="s">
        <v>31</v>
      </c>
      <c r="L180" t="s">
        <v>31</v>
      </c>
      <c r="M180">
        <v>54.999385266295363</v>
      </c>
    </row>
    <row r="181" spans="1:13" hidden="1" x14ac:dyDescent="0.3">
      <c r="A181" t="s">
        <v>2157</v>
      </c>
      <c r="B181" t="s">
        <v>91</v>
      </c>
      <c r="C181" t="s">
        <v>105</v>
      </c>
      <c r="D181">
        <v>2001</v>
      </c>
      <c r="E181">
        <v>10975</v>
      </c>
      <c r="F181" t="s">
        <v>109</v>
      </c>
      <c r="G181" t="s">
        <v>31</v>
      </c>
      <c r="H181" t="s">
        <v>33</v>
      </c>
      <c r="I181" t="s">
        <v>27</v>
      </c>
      <c r="J181" t="s">
        <v>27</v>
      </c>
      <c r="K181">
        <v>22770</v>
      </c>
      <c r="L181">
        <v>19955</v>
      </c>
      <c r="M181">
        <v>54.999385266295363</v>
      </c>
    </row>
    <row r="182" spans="1:13" hidden="1" x14ac:dyDescent="0.3">
      <c r="A182" t="s">
        <v>2158</v>
      </c>
      <c r="B182" t="s">
        <v>51</v>
      </c>
      <c r="C182" t="s">
        <v>121</v>
      </c>
      <c r="D182">
        <v>2001</v>
      </c>
      <c r="E182">
        <v>20000</v>
      </c>
      <c r="F182" t="s">
        <v>34</v>
      </c>
      <c r="G182" t="s">
        <v>54</v>
      </c>
      <c r="H182" t="s">
        <v>27</v>
      </c>
      <c r="I182" t="s">
        <v>27</v>
      </c>
      <c r="J182" t="s">
        <v>27</v>
      </c>
      <c r="K182">
        <v>15000</v>
      </c>
      <c r="L182">
        <v>36364</v>
      </c>
      <c r="M182">
        <v>54.999385266295363</v>
      </c>
    </row>
    <row r="183" spans="1:13" hidden="1" x14ac:dyDescent="0.3">
      <c r="A183" t="s">
        <v>2159</v>
      </c>
      <c r="B183" t="s">
        <v>28</v>
      </c>
      <c r="C183" t="s">
        <v>97</v>
      </c>
      <c r="D183">
        <v>2001</v>
      </c>
      <c r="E183">
        <v>10000</v>
      </c>
      <c r="F183" t="s">
        <v>34</v>
      </c>
      <c r="G183" t="s">
        <v>31</v>
      </c>
      <c r="H183" t="s">
        <v>27</v>
      </c>
      <c r="I183" t="s">
        <v>27</v>
      </c>
      <c r="J183" t="s">
        <v>27</v>
      </c>
      <c r="K183">
        <v>368</v>
      </c>
      <c r="L183">
        <v>18182</v>
      </c>
      <c r="M183">
        <v>54.999385266295363</v>
      </c>
    </row>
    <row r="184" spans="1:13" hidden="1" x14ac:dyDescent="0.3">
      <c r="A184" t="s">
        <v>2160</v>
      </c>
      <c r="B184" t="s">
        <v>28</v>
      </c>
      <c r="C184" t="s">
        <v>189</v>
      </c>
      <c r="D184">
        <v>2001</v>
      </c>
      <c r="E184" t="s">
        <v>31</v>
      </c>
      <c r="F184" t="s">
        <v>34</v>
      </c>
      <c r="G184" t="s">
        <v>65</v>
      </c>
      <c r="H184" t="s">
        <v>27</v>
      </c>
      <c r="I184" t="s">
        <v>27</v>
      </c>
      <c r="J184" t="s">
        <v>27</v>
      </c>
      <c r="K184">
        <v>122</v>
      </c>
      <c r="L184" t="s">
        <v>31</v>
      </c>
      <c r="M184">
        <v>54.999385266295363</v>
      </c>
    </row>
    <row r="185" spans="1:13" hidden="1" x14ac:dyDescent="0.3">
      <c r="A185" t="s">
        <v>2161</v>
      </c>
      <c r="B185" t="s">
        <v>28</v>
      </c>
      <c r="C185" t="s">
        <v>30</v>
      </c>
      <c r="D185">
        <v>2001</v>
      </c>
      <c r="E185">
        <v>10</v>
      </c>
      <c r="F185" t="s">
        <v>75</v>
      </c>
      <c r="G185" t="s">
        <v>31</v>
      </c>
      <c r="H185" t="s">
        <v>27</v>
      </c>
      <c r="I185" t="s">
        <v>27</v>
      </c>
      <c r="J185" t="s">
        <v>27</v>
      </c>
      <c r="K185">
        <v>175</v>
      </c>
      <c r="L185">
        <v>18</v>
      </c>
      <c r="M185">
        <v>54.999385266295363</v>
      </c>
    </row>
    <row r="186" spans="1:13" hidden="1" x14ac:dyDescent="0.3">
      <c r="A186" t="s">
        <v>2162</v>
      </c>
      <c r="B186" t="s">
        <v>28</v>
      </c>
      <c r="C186" t="s">
        <v>97</v>
      </c>
      <c r="D186">
        <v>2001</v>
      </c>
      <c r="E186">
        <v>4000</v>
      </c>
      <c r="F186" t="s">
        <v>34</v>
      </c>
      <c r="G186" t="s">
        <v>31</v>
      </c>
      <c r="H186" t="s">
        <v>27</v>
      </c>
      <c r="I186" t="s">
        <v>27</v>
      </c>
      <c r="J186" t="s">
        <v>27</v>
      </c>
      <c r="K186">
        <v>360</v>
      </c>
      <c r="L186">
        <v>7273</v>
      </c>
      <c r="M186">
        <v>54.999385266295363</v>
      </c>
    </row>
    <row r="187" spans="1:13" hidden="1" x14ac:dyDescent="0.3">
      <c r="A187" t="s">
        <v>2163</v>
      </c>
      <c r="B187" t="s">
        <v>28</v>
      </c>
      <c r="C187" t="s">
        <v>30</v>
      </c>
      <c r="D187">
        <v>2001</v>
      </c>
      <c r="E187">
        <v>20</v>
      </c>
      <c r="F187" t="s">
        <v>45</v>
      </c>
      <c r="G187" t="s">
        <v>31</v>
      </c>
      <c r="H187" t="s">
        <v>27</v>
      </c>
      <c r="I187" t="s">
        <v>27</v>
      </c>
      <c r="J187" t="s">
        <v>27</v>
      </c>
      <c r="K187" t="s">
        <v>31</v>
      </c>
      <c r="L187">
        <v>36</v>
      </c>
      <c r="M187">
        <v>54.999385266295363</v>
      </c>
    </row>
    <row r="188" spans="1:13" hidden="1" x14ac:dyDescent="0.3">
      <c r="A188" t="s">
        <v>2164</v>
      </c>
      <c r="B188" t="s">
        <v>28</v>
      </c>
      <c r="C188" t="s">
        <v>30</v>
      </c>
      <c r="D188">
        <v>2001</v>
      </c>
      <c r="E188">
        <v>100000</v>
      </c>
      <c r="F188" t="s">
        <v>242</v>
      </c>
      <c r="G188" t="s">
        <v>31</v>
      </c>
      <c r="H188" t="s">
        <v>27</v>
      </c>
      <c r="I188" t="s">
        <v>27</v>
      </c>
      <c r="J188" t="s">
        <v>27</v>
      </c>
      <c r="K188">
        <v>5900012</v>
      </c>
      <c r="L188">
        <v>181820</v>
      </c>
      <c r="M188">
        <v>54.999385266295363</v>
      </c>
    </row>
    <row r="189" spans="1:13" hidden="1" x14ac:dyDescent="0.3">
      <c r="A189" t="s">
        <v>2165</v>
      </c>
      <c r="B189" t="s">
        <v>28</v>
      </c>
      <c r="C189" t="s">
        <v>189</v>
      </c>
      <c r="D189">
        <v>2001</v>
      </c>
      <c r="E189" t="s">
        <v>31</v>
      </c>
      <c r="F189" t="s">
        <v>34</v>
      </c>
      <c r="G189" t="s">
        <v>31</v>
      </c>
      <c r="H189" t="s">
        <v>27</v>
      </c>
      <c r="I189" t="s">
        <v>27</v>
      </c>
      <c r="J189" t="s">
        <v>27</v>
      </c>
      <c r="K189">
        <v>200</v>
      </c>
      <c r="L189" t="s">
        <v>31</v>
      </c>
      <c r="M189">
        <v>54.999385266295363</v>
      </c>
    </row>
    <row r="190" spans="1:13" hidden="1" x14ac:dyDescent="0.3">
      <c r="A190" t="s">
        <v>2166</v>
      </c>
      <c r="B190" t="s">
        <v>28</v>
      </c>
      <c r="C190" t="s">
        <v>97</v>
      </c>
      <c r="D190">
        <v>2001</v>
      </c>
      <c r="E190">
        <v>3000</v>
      </c>
      <c r="F190" t="s">
        <v>34</v>
      </c>
      <c r="G190" t="s">
        <v>31</v>
      </c>
      <c r="H190" t="s">
        <v>27</v>
      </c>
      <c r="I190" t="s">
        <v>27</v>
      </c>
      <c r="J190" t="s">
        <v>27</v>
      </c>
      <c r="K190">
        <v>202</v>
      </c>
      <c r="L190">
        <v>5455</v>
      </c>
      <c r="M190">
        <v>54.999385266295363</v>
      </c>
    </row>
    <row r="191" spans="1:13" hidden="1" x14ac:dyDescent="0.3">
      <c r="A191" t="s">
        <v>501</v>
      </c>
      <c r="B191" t="s">
        <v>51</v>
      </c>
      <c r="C191" t="s">
        <v>56</v>
      </c>
      <c r="D191">
        <v>2002</v>
      </c>
      <c r="E191" t="s">
        <v>31</v>
      </c>
      <c r="F191" t="s">
        <v>73</v>
      </c>
      <c r="G191" t="s">
        <v>31</v>
      </c>
      <c r="H191" t="s">
        <v>27</v>
      </c>
      <c r="I191" t="s">
        <v>27</v>
      </c>
      <c r="J191" t="s">
        <v>27</v>
      </c>
      <c r="K191">
        <v>7000</v>
      </c>
      <c r="L191" t="s">
        <v>31</v>
      </c>
      <c r="M191">
        <v>55.871696074050107</v>
      </c>
    </row>
    <row r="192" spans="1:13" hidden="1" x14ac:dyDescent="0.3">
      <c r="A192" t="s">
        <v>502</v>
      </c>
      <c r="B192" t="s">
        <v>43</v>
      </c>
      <c r="C192" t="s">
        <v>114</v>
      </c>
      <c r="D192">
        <v>2002</v>
      </c>
      <c r="E192" t="s">
        <v>31</v>
      </c>
      <c r="F192" t="s">
        <v>90</v>
      </c>
      <c r="G192" t="s">
        <v>31</v>
      </c>
      <c r="H192" t="s">
        <v>27</v>
      </c>
      <c r="I192" t="s">
        <v>27</v>
      </c>
      <c r="J192" t="s">
        <v>27</v>
      </c>
      <c r="K192">
        <v>2042</v>
      </c>
      <c r="L192" t="s">
        <v>31</v>
      </c>
      <c r="M192">
        <v>55.871696074050107</v>
      </c>
    </row>
    <row r="193" spans="1:13" hidden="1" x14ac:dyDescent="0.3">
      <c r="A193" t="s">
        <v>503</v>
      </c>
      <c r="B193" t="s">
        <v>43</v>
      </c>
      <c r="C193" t="s">
        <v>329</v>
      </c>
      <c r="D193">
        <v>2002</v>
      </c>
      <c r="E193" t="s">
        <v>31</v>
      </c>
      <c r="F193" t="s">
        <v>34</v>
      </c>
      <c r="G193" t="s">
        <v>31</v>
      </c>
      <c r="H193" t="s">
        <v>27</v>
      </c>
      <c r="I193" t="s">
        <v>27</v>
      </c>
      <c r="J193" t="s">
        <v>27</v>
      </c>
      <c r="K193">
        <v>101</v>
      </c>
      <c r="L193" t="s">
        <v>31</v>
      </c>
      <c r="M193">
        <v>55.871696074050107</v>
      </c>
    </row>
    <row r="194" spans="1:13" hidden="1" x14ac:dyDescent="0.3">
      <c r="A194" t="s">
        <v>505</v>
      </c>
      <c r="B194" t="s">
        <v>28</v>
      </c>
      <c r="C194" t="s">
        <v>30</v>
      </c>
      <c r="D194">
        <v>2002</v>
      </c>
      <c r="E194" t="s">
        <v>31</v>
      </c>
      <c r="F194" t="s">
        <v>446</v>
      </c>
      <c r="G194" t="s">
        <v>54</v>
      </c>
      <c r="H194" t="s">
        <v>27</v>
      </c>
      <c r="I194" t="s">
        <v>27</v>
      </c>
      <c r="J194" t="s">
        <v>27</v>
      </c>
      <c r="K194">
        <v>75</v>
      </c>
      <c r="L194" t="s">
        <v>31</v>
      </c>
      <c r="M194">
        <v>55.871696074050107</v>
      </c>
    </row>
    <row r="195" spans="1:13" hidden="1" x14ac:dyDescent="0.3">
      <c r="A195" t="s">
        <v>506</v>
      </c>
      <c r="B195" t="s">
        <v>51</v>
      </c>
      <c r="C195" t="s">
        <v>121</v>
      </c>
      <c r="D195">
        <v>2002</v>
      </c>
      <c r="E195" t="s">
        <v>31</v>
      </c>
      <c r="F195" t="s">
        <v>73</v>
      </c>
      <c r="G195" t="s">
        <v>31</v>
      </c>
      <c r="H195" t="s">
        <v>27</v>
      </c>
      <c r="I195" t="s">
        <v>27</v>
      </c>
      <c r="J195" t="s">
        <v>27</v>
      </c>
      <c r="K195" t="s">
        <v>31</v>
      </c>
      <c r="L195" t="s">
        <v>31</v>
      </c>
      <c r="M195">
        <v>55.871696074050107</v>
      </c>
    </row>
    <row r="196" spans="1:13" hidden="1" x14ac:dyDescent="0.3">
      <c r="A196" t="s">
        <v>507</v>
      </c>
      <c r="B196" t="s">
        <v>28</v>
      </c>
      <c r="C196" t="s">
        <v>30</v>
      </c>
      <c r="D196">
        <v>2002</v>
      </c>
      <c r="E196">
        <v>300000</v>
      </c>
      <c r="F196" t="s">
        <v>34</v>
      </c>
      <c r="G196" t="s">
        <v>31</v>
      </c>
      <c r="H196" t="s">
        <v>27</v>
      </c>
      <c r="I196" t="s">
        <v>27</v>
      </c>
      <c r="J196" t="s">
        <v>27</v>
      </c>
      <c r="K196">
        <v>13200</v>
      </c>
      <c r="L196">
        <v>536945</v>
      </c>
      <c r="M196">
        <v>55.871696074050107</v>
      </c>
    </row>
    <row r="197" spans="1:13" hidden="1" x14ac:dyDescent="0.3">
      <c r="A197" t="s">
        <v>508</v>
      </c>
      <c r="B197" t="s">
        <v>28</v>
      </c>
      <c r="C197" t="s">
        <v>30</v>
      </c>
      <c r="D197">
        <v>2002</v>
      </c>
      <c r="E197">
        <v>11000</v>
      </c>
      <c r="F197" t="s">
        <v>148</v>
      </c>
      <c r="G197" t="s">
        <v>31</v>
      </c>
      <c r="H197" t="s">
        <v>27</v>
      </c>
      <c r="I197" t="s">
        <v>27</v>
      </c>
      <c r="J197" t="s">
        <v>27</v>
      </c>
      <c r="K197">
        <v>1000</v>
      </c>
      <c r="L197">
        <v>19688</v>
      </c>
      <c r="M197">
        <v>55.871696074050107</v>
      </c>
    </row>
    <row r="198" spans="1:13" hidden="1" x14ac:dyDescent="0.3">
      <c r="A198" t="s">
        <v>509</v>
      </c>
      <c r="B198" t="s">
        <v>51</v>
      </c>
      <c r="C198" t="s">
        <v>121</v>
      </c>
      <c r="D198">
        <v>2002</v>
      </c>
      <c r="E198" t="s">
        <v>31</v>
      </c>
      <c r="F198" t="s">
        <v>53</v>
      </c>
      <c r="G198" t="s">
        <v>31</v>
      </c>
      <c r="H198" t="s">
        <v>27</v>
      </c>
      <c r="I198" t="s">
        <v>27</v>
      </c>
      <c r="J198" t="s">
        <v>27</v>
      </c>
      <c r="K198">
        <v>350</v>
      </c>
      <c r="L198" t="s">
        <v>31</v>
      </c>
      <c r="M198">
        <v>55.871696074050107</v>
      </c>
    </row>
    <row r="199" spans="1:13" hidden="1" x14ac:dyDescent="0.3">
      <c r="A199" t="s">
        <v>511</v>
      </c>
      <c r="B199" t="s">
        <v>51</v>
      </c>
      <c r="C199" t="s">
        <v>150</v>
      </c>
      <c r="D199">
        <v>2002</v>
      </c>
      <c r="E199" t="s">
        <v>31</v>
      </c>
      <c r="F199" t="s">
        <v>47</v>
      </c>
      <c r="G199" t="s">
        <v>31</v>
      </c>
      <c r="H199" t="s">
        <v>27</v>
      </c>
      <c r="I199" t="s">
        <v>27</v>
      </c>
      <c r="J199" t="s">
        <v>27</v>
      </c>
      <c r="K199">
        <v>2000</v>
      </c>
      <c r="L199" t="s">
        <v>31</v>
      </c>
      <c r="M199">
        <v>55.871696074050107</v>
      </c>
    </row>
    <row r="200" spans="1:13" hidden="1" x14ac:dyDescent="0.3">
      <c r="A200" t="s">
        <v>512</v>
      </c>
      <c r="B200" t="s">
        <v>28</v>
      </c>
      <c r="C200" t="s">
        <v>67</v>
      </c>
      <c r="D200">
        <v>2002</v>
      </c>
      <c r="E200">
        <v>450500</v>
      </c>
      <c r="F200" t="s">
        <v>34</v>
      </c>
      <c r="G200" t="s">
        <v>31</v>
      </c>
      <c r="H200" t="s">
        <v>27</v>
      </c>
      <c r="I200" t="s">
        <v>27</v>
      </c>
      <c r="J200" t="s">
        <v>27</v>
      </c>
      <c r="K200" t="s">
        <v>31</v>
      </c>
      <c r="L200">
        <v>806312</v>
      </c>
      <c r="M200">
        <v>55.871696074050107</v>
      </c>
    </row>
    <row r="201" spans="1:13" hidden="1" x14ac:dyDescent="0.3">
      <c r="A201" t="s">
        <v>513</v>
      </c>
      <c r="B201" t="s">
        <v>51</v>
      </c>
      <c r="C201" t="s">
        <v>121</v>
      </c>
      <c r="D201">
        <v>2002</v>
      </c>
      <c r="E201" t="s">
        <v>31</v>
      </c>
      <c r="F201" t="s">
        <v>161</v>
      </c>
      <c r="G201" t="s">
        <v>31</v>
      </c>
      <c r="H201" t="s">
        <v>33</v>
      </c>
      <c r="I201" t="s">
        <v>27</v>
      </c>
      <c r="J201" t="s">
        <v>33</v>
      </c>
      <c r="K201">
        <v>75040</v>
      </c>
      <c r="L201" t="s">
        <v>31</v>
      </c>
      <c r="M201">
        <v>55.871696074050107</v>
      </c>
    </row>
    <row r="202" spans="1:13" hidden="1" x14ac:dyDescent="0.3">
      <c r="A202" t="s">
        <v>514</v>
      </c>
      <c r="B202" t="s">
        <v>51</v>
      </c>
      <c r="C202" t="s">
        <v>150</v>
      </c>
      <c r="D202">
        <v>2002</v>
      </c>
      <c r="E202">
        <v>11000</v>
      </c>
      <c r="F202" t="s">
        <v>119</v>
      </c>
      <c r="G202" t="s">
        <v>37</v>
      </c>
      <c r="H202" t="s">
        <v>27</v>
      </c>
      <c r="I202" t="s">
        <v>27</v>
      </c>
      <c r="J202" t="s">
        <v>27</v>
      </c>
      <c r="K202">
        <v>1500</v>
      </c>
      <c r="L202">
        <v>19688</v>
      </c>
      <c r="M202">
        <v>55.871696074050107</v>
      </c>
    </row>
    <row r="203" spans="1:13" hidden="1" x14ac:dyDescent="0.3">
      <c r="A203" t="s">
        <v>515</v>
      </c>
      <c r="B203" t="s">
        <v>39</v>
      </c>
      <c r="C203" t="s">
        <v>157</v>
      </c>
      <c r="D203">
        <v>2002</v>
      </c>
      <c r="E203">
        <v>3300000</v>
      </c>
      <c r="F203" t="s">
        <v>34</v>
      </c>
      <c r="G203" t="s">
        <v>31</v>
      </c>
      <c r="H203" t="s">
        <v>27</v>
      </c>
      <c r="I203" t="s">
        <v>27</v>
      </c>
      <c r="J203" t="s">
        <v>27</v>
      </c>
      <c r="K203" t="s">
        <v>31</v>
      </c>
      <c r="L203">
        <v>5906390</v>
      </c>
      <c r="M203">
        <v>55.871696074050107</v>
      </c>
    </row>
    <row r="204" spans="1:13" hidden="1" x14ac:dyDescent="0.3">
      <c r="A204" t="s">
        <v>729</v>
      </c>
      <c r="B204" t="s">
        <v>51</v>
      </c>
      <c r="C204" t="s">
        <v>121</v>
      </c>
      <c r="D204">
        <v>2002</v>
      </c>
      <c r="E204" t="s">
        <v>31</v>
      </c>
      <c r="F204" t="s">
        <v>242</v>
      </c>
      <c r="G204" t="s">
        <v>31</v>
      </c>
      <c r="H204" t="s">
        <v>27</v>
      </c>
      <c r="I204" t="s">
        <v>27</v>
      </c>
      <c r="J204" t="s">
        <v>27</v>
      </c>
      <c r="K204">
        <v>35000</v>
      </c>
      <c r="L204" t="s">
        <v>31</v>
      </c>
      <c r="M204">
        <v>55.871696074050107</v>
      </c>
    </row>
    <row r="205" spans="1:13" hidden="1" x14ac:dyDescent="0.3">
      <c r="A205" t="s">
        <v>764</v>
      </c>
      <c r="B205" t="s">
        <v>39</v>
      </c>
      <c r="C205" t="s">
        <v>41</v>
      </c>
      <c r="D205">
        <v>2002</v>
      </c>
      <c r="E205">
        <v>200500</v>
      </c>
      <c r="F205" t="s">
        <v>34</v>
      </c>
      <c r="G205" t="s">
        <v>31</v>
      </c>
      <c r="H205" t="s">
        <v>27</v>
      </c>
      <c r="I205" t="s">
        <v>27</v>
      </c>
      <c r="J205" t="s">
        <v>27</v>
      </c>
      <c r="K205">
        <v>1269</v>
      </c>
      <c r="L205">
        <v>358858</v>
      </c>
      <c r="M205">
        <v>55.871696074050107</v>
      </c>
    </row>
    <row r="206" spans="1:13" hidden="1" x14ac:dyDescent="0.3">
      <c r="A206" t="s">
        <v>807</v>
      </c>
      <c r="B206" t="s">
        <v>39</v>
      </c>
      <c r="C206" t="s">
        <v>41</v>
      </c>
      <c r="D206">
        <v>2002</v>
      </c>
      <c r="E206">
        <v>80000</v>
      </c>
      <c r="F206" t="s">
        <v>60</v>
      </c>
      <c r="G206" t="s">
        <v>31</v>
      </c>
      <c r="H206" t="s">
        <v>27</v>
      </c>
      <c r="I206" t="s">
        <v>27</v>
      </c>
      <c r="J206" t="s">
        <v>27</v>
      </c>
      <c r="K206" t="s">
        <v>31</v>
      </c>
      <c r="L206">
        <v>143185</v>
      </c>
      <c r="M206">
        <v>55.871696074050107</v>
      </c>
    </row>
    <row r="207" spans="1:13" hidden="1" x14ac:dyDescent="0.3">
      <c r="A207" t="s">
        <v>808</v>
      </c>
      <c r="B207" t="s">
        <v>51</v>
      </c>
      <c r="C207" t="s">
        <v>121</v>
      </c>
      <c r="D207">
        <v>2002</v>
      </c>
      <c r="E207">
        <v>13000</v>
      </c>
      <c r="F207" t="s">
        <v>109</v>
      </c>
      <c r="G207" t="s">
        <v>405</v>
      </c>
      <c r="H207" t="s">
        <v>27</v>
      </c>
      <c r="I207" t="s">
        <v>27</v>
      </c>
      <c r="J207" t="s">
        <v>27</v>
      </c>
      <c r="K207">
        <v>54113</v>
      </c>
      <c r="L207">
        <v>23268</v>
      </c>
      <c r="M207">
        <v>55.871696074050107</v>
      </c>
    </row>
    <row r="208" spans="1:13" hidden="1" x14ac:dyDescent="0.3">
      <c r="A208" t="s">
        <v>809</v>
      </c>
      <c r="B208" t="s">
        <v>43</v>
      </c>
      <c r="C208" t="s">
        <v>114</v>
      </c>
      <c r="D208">
        <v>2002</v>
      </c>
      <c r="E208" t="s">
        <v>31</v>
      </c>
      <c r="F208" t="s">
        <v>119</v>
      </c>
      <c r="G208" t="s">
        <v>31</v>
      </c>
      <c r="H208" t="s">
        <v>27</v>
      </c>
      <c r="I208" t="s">
        <v>27</v>
      </c>
      <c r="J208" t="s">
        <v>27</v>
      </c>
      <c r="K208">
        <v>317730</v>
      </c>
      <c r="L208" t="s">
        <v>31</v>
      </c>
      <c r="M208">
        <v>55.871696074050107</v>
      </c>
    </row>
    <row r="209" spans="1:13" hidden="1" x14ac:dyDescent="0.3">
      <c r="A209" t="s">
        <v>810</v>
      </c>
      <c r="B209" t="s">
        <v>28</v>
      </c>
      <c r="C209" t="s">
        <v>189</v>
      </c>
      <c r="D209">
        <v>2002</v>
      </c>
      <c r="E209">
        <v>25000</v>
      </c>
      <c r="F209" t="s">
        <v>57</v>
      </c>
      <c r="G209" t="s">
        <v>31</v>
      </c>
      <c r="H209" t="s">
        <v>27</v>
      </c>
      <c r="I209" t="s">
        <v>27</v>
      </c>
      <c r="J209" t="s">
        <v>27</v>
      </c>
      <c r="K209">
        <v>1500</v>
      </c>
      <c r="L209">
        <v>44745</v>
      </c>
      <c r="M209">
        <v>55.871696074050107</v>
      </c>
    </row>
    <row r="210" spans="1:13" hidden="1" x14ac:dyDescent="0.3">
      <c r="A210" t="s">
        <v>811</v>
      </c>
      <c r="B210" t="s">
        <v>39</v>
      </c>
      <c r="C210" t="s">
        <v>41</v>
      </c>
      <c r="D210">
        <v>2002</v>
      </c>
      <c r="E210" t="s">
        <v>31</v>
      </c>
      <c r="F210" t="s">
        <v>81</v>
      </c>
      <c r="G210" t="s">
        <v>31</v>
      </c>
      <c r="H210" t="s">
        <v>27</v>
      </c>
      <c r="I210" t="s">
        <v>27</v>
      </c>
      <c r="J210" t="s">
        <v>27</v>
      </c>
      <c r="K210">
        <v>16000</v>
      </c>
      <c r="L210" t="s">
        <v>31</v>
      </c>
      <c r="M210">
        <v>55.871696074050107</v>
      </c>
    </row>
    <row r="211" spans="1:13" hidden="1" x14ac:dyDescent="0.3">
      <c r="A211" t="s">
        <v>812</v>
      </c>
      <c r="B211" t="s">
        <v>51</v>
      </c>
      <c r="C211" t="s">
        <v>121</v>
      </c>
      <c r="D211">
        <v>2002</v>
      </c>
      <c r="E211" t="s">
        <v>31</v>
      </c>
      <c r="F211" t="s">
        <v>47</v>
      </c>
      <c r="G211" t="s">
        <v>31</v>
      </c>
      <c r="H211" t="s">
        <v>27</v>
      </c>
      <c r="I211" t="s">
        <v>27</v>
      </c>
      <c r="J211" t="s">
        <v>27</v>
      </c>
      <c r="K211">
        <v>38000</v>
      </c>
      <c r="L211" t="s">
        <v>31</v>
      </c>
      <c r="M211">
        <v>55.871696074050107</v>
      </c>
    </row>
    <row r="212" spans="1:13" hidden="1" x14ac:dyDescent="0.3">
      <c r="A212" t="s">
        <v>813</v>
      </c>
      <c r="B212" t="s">
        <v>51</v>
      </c>
      <c r="C212" t="s">
        <v>56</v>
      </c>
      <c r="D212">
        <v>2002</v>
      </c>
      <c r="E212">
        <v>1000</v>
      </c>
      <c r="F212" t="s">
        <v>45</v>
      </c>
      <c r="G212" t="s">
        <v>54</v>
      </c>
      <c r="H212" t="s">
        <v>33</v>
      </c>
      <c r="I212" t="s">
        <v>27</v>
      </c>
      <c r="J212" t="s">
        <v>33</v>
      </c>
      <c r="K212">
        <v>38339</v>
      </c>
      <c r="L212">
        <v>1790</v>
      </c>
      <c r="M212">
        <v>55.871696074050107</v>
      </c>
    </row>
    <row r="213" spans="1:13" hidden="1" x14ac:dyDescent="0.3">
      <c r="A213" t="s">
        <v>814</v>
      </c>
      <c r="B213" t="s">
        <v>51</v>
      </c>
      <c r="C213" t="s">
        <v>121</v>
      </c>
      <c r="D213">
        <v>2002</v>
      </c>
      <c r="E213">
        <v>200000</v>
      </c>
      <c r="F213" t="s">
        <v>60</v>
      </c>
      <c r="G213" t="s">
        <v>68</v>
      </c>
      <c r="H213" t="s">
        <v>33</v>
      </c>
      <c r="I213" t="s">
        <v>27</v>
      </c>
      <c r="J213" t="s">
        <v>27</v>
      </c>
      <c r="K213">
        <v>221842</v>
      </c>
      <c r="L213">
        <v>357963</v>
      </c>
      <c r="M213">
        <v>55.871696074050107</v>
      </c>
    </row>
    <row r="214" spans="1:13" hidden="1" x14ac:dyDescent="0.3">
      <c r="A214" t="s">
        <v>815</v>
      </c>
      <c r="B214" t="s">
        <v>51</v>
      </c>
      <c r="C214" t="s">
        <v>121</v>
      </c>
      <c r="D214">
        <v>2002</v>
      </c>
      <c r="E214">
        <v>20000</v>
      </c>
      <c r="F214" t="s">
        <v>234</v>
      </c>
      <c r="G214" t="s">
        <v>54</v>
      </c>
      <c r="H214" t="s">
        <v>33</v>
      </c>
      <c r="I214" t="s">
        <v>27</v>
      </c>
      <c r="J214" t="s">
        <v>27</v>
      </c>
      <c r="K214">
        <v>25000</v>
      </c>
      <c r="L214">
        <v>35796</v>
      </c>
      <c r="M214">
        <v>55.871696074050107</v>
      </c>
    </row>
    <row r="215" spans="1:13" hidden="1" x14ac:dyDescent="0.3">
      <c r="A215" t="s">
        <v>816</v>
      </c>
      <c r="B215" t="s">
        <v>51</v>
      </c>
      <c r="C215" t="s">
        <v>121</v>
      </c>
      <c r="D215">
        <v>2002</v>
      </c>
      <c r="E215">
        <v>100000</v>
      </c>
      <c r="F215" t="s">
        <v>49</v>
      </c>
      <c r="G215" t="s">
        <v>31</v>
      </c>
      <c r="H215" t="s">
        <v>27</v>
      </c>
      <c r="I215" t="s">
        <v>27</v>
      </c>
      <c r="J215" t="s">
        <v>27</v>
      </c>
      <c r="K215">
        <v>969</v>
      </c>
      <c r="L215">
        <v>178982</v>
      </c>
      <c r="M215">
        <v>55.871696074050107</v>
      </c>
    </row>
    <row r="216" spans="1:13" hidden="1" x14ac:dyDescent="0.3">
      <c r="A216" t="s">
        <v>817</v>
      </c>
      <c r="B216" t="s">
        <v>39</v>
      </c>
      <c r="C216" t="s">
        <v>41</v>
      </c>
      <c r="D216">
        <v>2002</v>
      </c>
      <c r="E216" t="s">
        <v>31</v>
      </c>
      <c r="F216" t="s">
        <v>77</v>
      </c>
      <c r="G216" t="s">
        <v>31</v>
      </c>
      <c r="H216" t="s">
        <v>27</v>
      </c>
      <c r="I216" t="s">
        <v>27</v>
      </c>
      <c r="J216" t="s">
        <v>27</v>
      </c>
      <c r="K216">
        <v>600</v>
      </c>
      <c r="L216" t="s">
        <v>31</v>
      </c>
      <c r="M216">
        <v>55.871696074050107</v>
      </c>
    </row>
    <row r="217" spans="1:13" hidden="1" x14ac:dyDescent="0.3">
      <c r="A217" t="s">
        <v>818</v>
      </c>
      <c r="B217" t="s">
        <v>28</v>
      </c>
      <c r="C217" t="s">
        <v>67</v>
      </c>
      <c r="D217">
        <v>2002</v>
      </c>
      <c r="E217" t="s">
        <v>31</v>
      </c>
      <c r="F217" t="s">
        <v>111</v>
      </c>
      <c r="G217" t="s">
        <v>31</v>
      </c>
      <c r="H217" t="s">
        <v>33</v>
      </c>
      <c r="I217" t="s">
        <v>27</v>
      </c>
      <c r="J217" t="s">
        <v>33</v>
      </c>
      <c r="K217">
        <v>12085</v>
      </c>
      <c r="L217" t="s">
        <v>31</v>
      </c>
      <c r="M217">
        <v>55.871696074050107</v>
      </c>
    </row>
    <row r="218" spans="1:13" hidden="1" x14ac:dyDescent="0.3">
      <c r="A218" t="s">
        <v>819</v>
      </c>
      <c r="B218" t="s">
        <v>91</v>
      </c>
      <c r="C218" t="s">
        <v>687</v>
      </c>
      <c r="D218">
        <v>2002</v>
      </c>
      <c r="E218" t="s">
        <v>31</v>
      </c>
      <c r="F218" t="s">
        <v>109</v>
      </c>
      <c r="G218" t="s">
        <v>31</v>
      </c>
      <c r="H218" t="s">
        <v>27</v>
      </c>
      <c r="I218" t="s">
        <v>27</v>
      </c>
      <c r="J218" t="s">
        <v>27</v>
      </c>
      <c r="K218" t="s">
        <v>31</v>
      </c>
      <c r="L218" t="s">
        <v>31</v>
      </c>
      <c r="M218">
        <v>55.871696074050107</v>
      </c>
    </row>
    <row r="219" spans="1:13" hidden="1" x14ac:dyDescent="0.3">
      <c r="A219" t="s">
        <v>820</v>
      </c>
      <c r="B219" t="s">
        <v>51</v>
      </c>
      <c r="C219" t="s">
        <v>121</v>
      </c>
      <c r="D219">
        <v>2002</v>
      </c>
      <c r="E219">
        <v>3000</v>
      </c>
      <c r="F219" t="s">
        <v>70</v>
      </c>
      <c r="G219" t="s">
        <v>31</v>
      </c>
      <c r="H219" t="s">
        <v>27</v>
      </c>
      <c r="I219" t="s">
        <v>27</v>
      </c>
      <c r="J219" t="s">
        <v>27</v>
      </c>
      <c r="K219">
        <v>55376</v>
      </c>
      <c r="L219">
        <v>5369</v>
      </c>
      <c r="M219">
        <v>55.871696074050107</v>
      </c>
    </row>
    <row r="220" spans="1:13" hidden="1" x14ac:dyDescent="0.3">
      <c r="A220" t="s">
        <v>864</v>
      </c>
      <c r="B220" t="s">
        <v>51</v>
      </c>
      <c r="C220" t="s">
        <v>121</v>
      </c>
      <c r="D220">
        <v>2002</v>
      </c>
      <c r="E220" t="s">
        <v>31</v>
      </c>
      <c r="F220" t="s">
        <v>53</v>
      </c>
      <c r="G220" t="s">
        <v>54</v>
      </c>
      <c r="H220" t="s">
        <v>27</v>
      </c>
      <c r="I220" t="s">
        <v>27</v>
      </c>
      <c r="J220" t="s">
        <v>27</v>
      </c>
      <c r="K220">
        <v>8349</v>
      </c>
      <c r="L220" t="s">
        <v>31</v>
      </c>
      <c r="M220">
        <v>55.871696074050107</v>
      </c>
    </row>
    <row r="221" spans="1:13" hidden="1" x14ac:dyDescent="0.3">
      <c r="A221" t="s">
        <v>865</v>
      </c>
      <c r="B221" t="s">
        <v>39</v>
      </c>
      <c r="C221" t="s">
        <v>41</v>
      </c>
      <c r="D221">
        <v>2002</v>
      </c>
      <c r="E221">
        <v>6600</v>
      </c>
      <c r="F221" t="s">
        <v>34</v>
      </c>
      <c r="G221" t="s">
        <v>31</v>
      </c>
      <c r="H221" t="s">
        <v>27</v>
      </c>
      <c r="I221" t="s">
        <v>27</v>
      </c>
      <c r="J221" t="s">
        <v>27</v>
      </c>
      <c r="K221">
        <v>134</v>
      </c>
      <c r="L221">
        <v>11813</v>
      </c>
      <c r="M221">
        <v>55.871696074050107</v>
      </c>
    </row>
    <row r="222" spans="1:13" hidden="1" x14ac:dyDescent="0.3">
      <c r="A222" t="s">
        <v>866</v>
      </c>
      <c r="B222" t="s">
        <v>28</v>
      </c>
      <c r="C222" t="s">
        <v>189</v>
      </c>
      <c r="D222">
        <v>2002</v>
      </c>
      <c r="E222">
        <v>400000</v>
      </c>
      <c r="F222" t="s">
        <v>34</v>
      </c>
      <c r="G222" t="s">
        <v>31</v>
      </c>
      <c r="H222" t="s">
        <v>27</v>
      </c>
      <c r="I222" t="s">
        <v>27</v>
      </c>
      <c r="J222" t="s">
        <v>27</v>
      </c>
      <c r="K222" t="s">
        <v>31</v>
      </c>
      <c r="L222">
        <v>715926</v>
      </c>
      <c r="M222">
        <v>55.871696074050107</v>
      </c>
    </row>
    <row r="223" spans="1:13" hidden="1" x14ac:dyDescent="0.3">
      <c r="A223" t="s">
        <v>867</v>
      </c>
      <c r="B223" t="s">
        <v>28</v>
      </c>
      <c r="C223" t="s">
        <v>189</v>
      </c>
      <c r="D223">
        <v>2002</v>
      </c>
      <c r="E223">
        <v>200500</v>
      </c>
      <c r="F223" t="s">
        <v>34</v>
      </c>
      <c r="G223" t="s">
        <v>82</v>
      </c>
      <c r="H223" t="s">
        <v>27</v>
      </c>
      <c r="I223" t="s">
        <v>27</v>
      </c>
      <c r="J223" t="s">
        <v>27</v>
      </c>
      <c r="K223">
        <v>754</v>
      </c>
      <c r="L223">
        <v>358858</v>
      </c>
      <c r="M223">
        <v>55.871696074050107</v>
      </c>
    </row>
    <row r="224" spans="1:13" hidden="1" x14ac:dyDescent="0.3">
      <c r="A224" t="s">
        <v>868</v>
      </c>
      <c r="B224" t="s">
        <v>51</v>
      </c>
      <c r="C224" t="s">
        <v>121</v>
      </c>
      <c r="D224">
        <v>2002</v>
      </c>
      <c r="E224">
        <v>76000</v>
      </c>
      <c r="F224" t="s">
        <v>34</v>
      </c>
      <c r="G224" t="s">
        <v>31</v>
      </c>
      <c r="H224" t="s">
        <v>27</v>
      </c>
      <c r="I224" t="s">
        <v>27</v>
      </c>
      <c r="J224" t="s">
        <v>27</v>
      </c>
      <c r="K224">
        <v>2000</v>
      </c>
      <c r="L224">
        <v>136026</v>
      </c>
      <c r="M224">
        <v>55.871696074050107</v>
      </c>
    </row>
    <row r="225" spans="1:13" hidden="1" x14ac:dyDescent="0.3">
      <c r="A225" t="s">
        <v>869</v>
      </c>
      <c r="B225" t="s">
        <v>51</v>
      </c>
      <c r="C225" t="s">
        <v>121</v>
      </c>
      <c r="D225">
        <v>2002</v>
      </c>
      <c r="E225" t="s">
        <v>31</v>
      </c>
      <c r="F225" t="s">
        <v>53</v>
      </c>
      <c r="G225" t="s">
        <v>31</v>
      </c>
      <c r="H225" t="s">
        <v>27</v>
      </c>
      <c r="I225" t="s">
        <v>27</v>
      </c>
      <c r="J225" t="s">
        <v>27</v>
      </c>
      <c r="K225">
        <v>2169</v>
      </c>
      <c r="L225" t="s">
        <v>31</v>
      </c>
      <c r="M225">
        <v>55.871696074050107</v>
      </c>
    </row>
    <row r="226" spans="1:13" hidden="1" x14ac:dyDescent="0.3">
      <c r="A226" t="s">
        <v>870</v>
      </c>
      <c r="B226" t="s">
        <v>51</v>
      </c>
      <c r="C226" t="s">
        <v>52</v>
      </c>
      <c r="D226">
        <v>2002</v>
      </c>
      <c r="E226" t="s">
        <v>31</v>
      </c>
      <c r="F226" t="s">
        <v>57</v>
      </c>
      <c r="G226" t="s">
        <v>31</v>
      </c>
      <c r="H226" t="s">
        <v>27</v>
      </c>
      <c r="I226" t="s">
        <v>27</v>
      </c>
      <c r="J226" t="s">
        <v>27</v>
      </c>
      <c r="K226">
        <v>2500</v>
      </c>
      <c r="L226" t="s">
        <v>31</v>
      </c>
      <c r="M226">
        <v>55.871696074050107</v>
      </c>
    </row>
    <row r="227" spans="1:13" hidden="1" x14ac:dyDescent="0.3">
      <c r="A227" t="s">
        <v>871</v>
      </c>
      <c r="B227" t="s">
        <v>51</v>
      </c>
      <c r="C227" t="s">
        <v>121</v>
      </c>
      <c r="D227">
        <v>2002</v>
      </c>
      <c r="E227" t="s">
        <v>31</v>
      </c>
      <c r="F227" t="s">
        <v>115</v>
      </c>
      <c r="G227" t="s">
        <v>31</v>
      </c>
      <c r="H227" t="s">
        <v>27</v>
      </c>
      <c r="I227" t="s">
        <v>27</v>
      </c>
      <c r="J227" t="s">
        <v>27</v>
      </c>
      <c r="K227">
        <v>100</v>
      </c>
      <c r="L227" t="s">
        <v>31</v>
      </c>
      <c r="M227">
        <v>55.871696074050107</v>
      </c>
    </row>
    <row r="228" spans="1:13" hidden="1" x14ac:dyDescent="0.3">
      <c r="A228" t="s">
        <v>872</v>
      </c>
      <c r="B228" t="s">
        <v>51</v>
      </c>
      <c r="C228" t="s">
        <v>121</v>
      </c>
      <c r="D228">
        <v>2002</v>
      </c>
      <c r="E228">
        <v>1000</v>
      </c>
      <c r="F228" t="s">
        <v>161</v>
      </c>
      <c r="G228" t="s">
        <v>31</v>
      </c>
      <c r="H228" t="s">
        <v>27</v>
      </c>
      <c r="I228" t="s">
        <v>27</v>
      </c>
      <c r="J228" t="s">
        <v>27</v>
      </c>
      <c r="K228">
        <v>20000</v>
      </c>
      <c r="L228">
        <v>1790</v>
      </c>
      <c r="M228">
        <v>55.871696074050107</v>
      </c>
    </row>
    <row r="229" spans="1:13" hidden="1" x14ac:dyDescent="0.3">
      <c r="A229" t="s">
        <v>873</v>
      </c>
      <c r="B229" t="s">
        <v>28</v>
      </c>
      <c r="C229" t="s">
        <v>97</v>
      </c>
      <c r="D229">
        <v>2002</v>
      </c>
      <c r="E229" t="s">
        <v>31</v>
      </c>
      <c r="F229" t="s">
        <v>34</v>
      </c>
      <c r="G229" t="s">
        <v>31</v>
      </c>
      <c r="H229" t="s">
        <v>27</v>
      </c>
      <c r="I229" t="s">
        <v>27</v>
      </c>
      <c r="J229" t="s">
        <v>27</v>
      </c>
      <c r="K229">
        <v>183</v>
      </c>
      <c r="L229" t="s">
        <v>31</v>
      </c>
      <c r="M229">
        <v>55.871696074050107</v>
      </c>
    </row>
    <row r="230" spans="1:13" hidden="1" x14ac:dyDescent="0.3">
      <c r="A230" t="s">
        <v>874</v>
      </c>
      <c r="B230" t="s">
        <v>39</v>
      </c>
      <c r="C230" t="s">
        <v>59</v>
      </c>
      <c r="D230">
        <v>2002</v>
      </c>
      <c r="E230" t="s">
        <v>31</v>
      </c>
      <c r="F230" t="s">
        <v>34</v>
      </c>
      <c r="G230" t="s">
        <v>31</v>
      </c>
      <c r="H230" t="s">
        <v>27</v>
      </c>
      <c r="I230" t="s">
        <v>27</v>
      </c>
      <c r="J230" t="s">
        <v>27</v>
      </c>
      <c r="K230" t="s">
        <v>31</v>
      </c>
      <c r="L230" t="s">
        <v>31</v>
      </c>
      <c r="M230">
        <v>55.871696074050107</v>
      </c>
    </row>
    <row r="231" spans="1:13" hidden="1" x14ac:dyDescent="0.3">
      <c r="A231" t="s">
        <v>875</v>
      </c>
      <c r="B231" t="s">
        <v>39</v>
      </c>
      <c r="C231" t="s">
        <v>41</v>
      </c>
      <c r="D231">
        <v>2002</v>
      </c>
      <c r="E231">
        <v>20000</v>
      </c>
      <c r="F231" t="s">
        <v>34</v>
      </c>
      <c r="G231" t="s">
        <v>31</v>
      </c>
      <c r="H231" t="s">
        <v>27</v>
      </c>
      <c r="I231" t="s">
        <v>27</v>
      </c>
      <c r="J231" t="s">
        <v>27</v>
      </c>
      <c r="K231">
        <v>1572</v>
      </c>
      <c r="L231">
        <v>35796</v>
      </c>
      <c r="M231">
        <v>55.871696074050107</v>
      </c>
    </row>
    <row r="232" spans="1:13" hidden="1" x14ac:dyDescent="0.3">
      <c r="A232" t="s">
        <v>876</v>
      </c>
      <c r="B232" t="s">
        <v>28</v>
      </c>
      <c r="C232" t="s">
        <v>95</v>
      </c>
      <c r="D232">
        <v>2002</v>
      </c>
      <c r="E232" t="s">
        <v>31</v>
      </c>
      <c r="F232" t="s">
        <v>34</v>
      </c>
      <c r="G232" t="s">
        <v>31</v>
      </c>
      <c r="H232" t="s">
        <v>27</v>
      </c>
      <c r="I232" t="s">
        <v>27</v>
      </c>
      <c r="J232" t="s">
        <v>27</v>
      </c>
      <c r="K232" t="s">
        <v>31</v>
      </c>
      <c r="L232" t="s">
        <v>31</v>
      </c>
      <c r="M232">
        <v>55.871696074050107</v>
      </c>
    </row>
    <row r="233" spans="1:13" hidden="1" x14ac:dyDescent="0.3">
      <c r="A233" t="s">
        <v>877</v>
      </c>
      <c r="B233" t="s">
        <v>91</v>
      </c>
      <c r="C233" t="s">
        <v>93</v>
      </c>
      <c r="D233">
        <v>2002</v>
      </c>
      <c r="E233" t="s">
        <v>31</v>
      </c>
      <c r="F233" t="s">
        <v>130</v>
      </c>
      <c r="G233" t="s">
        <v>54</v>
      </c>
      <c r="H233" t="s">
        <v>27</v>
      </c>
      <c r="I233" t="s">
        <v>27</v>
      </c>
      <c r="J233" t="s">
        <v>27</v>
      </c>
      <c r="K233">
        <v>727</v>
      </c>
      <c r="L233" t="s">
        <v>31</v>
      </c>
      <c r="M233">
        <v>55.871696074050107</v>
      </c>
    </row>
    <row r="234" spans="1:13" hidden="1" x14ac:dyDescent="0.3">
      <c r="A234" t="s">
        <v>878</v>
      </c>
      <c r="B234" t="s">
        <v>43</v>
      </c>
      <c r="C234" t="s">
        <v>114</v>
      </c>
      <c r="D234">
        <v>2002</v>
      </c>
      <c r="E234" t="s">
        <v>31</v>
      </c>
      <c r="F234" t="s">
        <v>115</v>
      </c>
      <c r="G234" t="s">
        <v>31</v>
      </c>
      <c r="H234" t="s">
        <v>27</v>
      </c>
      <c r="I234" t="s">
        <v>27</v>
      </c>
      <c r="J234" t="s">
        <v>27</v>
      </c>
      <c r="K234">
        <v>2399</v>
      </c>
      <c r="L234" t="s">
        <v>31</v>
      </c>
      <c r="M234">
        <v>55.871696074050107</v>
      </c>
    </row>
    <row r="235" spans="1:13" hidden="1" x14ac:dyDescent="0.3">
      <c r="A235" t="s">
        <v>879</v>
      </c>
      <c r="B235" t="s">
        <v>51</v>
      </c>
      <c r="C235" t="s">
        <v>121</v>
      </c>
      <c r="D235">
        <v>2002</v>
      </c>
      <c r="E235">
        <v>1000000</v>
      </c>
      <c r="F235" t="s">
        <v>34</v>
      </c>
      <c r="G235" t="s">
        <v>31</v>
      </c>
      <c r="H235" t="s">
        <v>27</v>
      </c>
      <c r="I235" t="s">
        <v>27</v>
      </c>
      <c r="J235" t="s">
        <v>27</v>
      </c>
      <c r="K235">
        <v>144000</v>
      </c>
      <c r="L235">
        <v>1789815</v>
      </c>
      <c r="M235">
        <v>55.871696074050107</v>
      </c>
    </row>
    <row r="236" spans="1:13" hidden="1" x14ac:dyDescent="0.3">
      <c r="A236" t="s">
        <v>880</v>
      </c>
      <c r="B236" t="s">
        <v>43</v>
      </c>
      <c r="C236" t="s">
        <v>114</v>
      </c>
      <c r="D236">
        <v>2002</v>
      </c>
      <c r="E236" t="s">
        <v>31</v>
      </c>
      <c r="F236" t="s">
        <v>49</v>
      </c>
      <c r="G236" t="s">
        <v>31</v>
      </c>
      <c r="H236" t="s">
        <v>27</v>
      </c>
      <c r="I236" t="s">
        <v>27</v>
      </c>
      <c r="J236" t="s">
        <v>27</v>
      </c>
      <c r="K236">
        <v>4530</v>
      </c>
      <c r="L236" t="s">
        <v>31</v>
      </c>
      <c r="M236">
        <v>55.871696074050107</v>
      </c>
    </row>
    <row r="237" spans="1:13" hidden="1" x14ac:dyDescent="0.3">
      <c r="A237" t="s">
        <v>881</v>
      </c>
      <c r="B237" t="s">
        <v>28</v>
      </c>
      <c r="C237" t="s">
        <v>65</v>
      </c>
      <c r="D237">
        <v>2002</v>
      </c>
      <c r="E237" t="s">
        <v>31</v>
      </c>
      <c r="F237" t="s">
        <v>117</v>
      </c>
      <c r="G237" t="s">
        <v>31</v>
      </c>
      <c r="H237" t="s">
        <v>27</v>
      </c>
      <c r="I237" t="s">
        <v>27</v>
      </c>
      <c r="J237" t="s">
        <v>27</v>
      </c>
      <c r="K237">
        <v>12500</v>
      </c>
      <c r="L237" t="s">
        <v>31</v>
      </c>
      <c r="M237">
        <v>55.871696074050107</v>
      </c>
    </row>
    <row r="238" spans="1:13" hidden="1" x14ac:dyDescent="0.3">
      <c r="A238" t="s">
        <v>882</v>
      </c>
      <c r="B238" t="s">
        <v>43</v>
      </c>
      <c r="C238" t="s">
        <v>114</v>
      </c>
      <c r="D238">
        <v>2002</v>
      </c>
      <c r="E238" t="s">
        <v>31</v>
      </c>
      <c r="F238" t="s">
        <v>34</v>
      </c>
      <c r="G238" t="s">
        <v>31</v>
      </c>
      <c r="H238" t="s">
        <v>27</v>
      </c>
      <c r="I238" t="s">
        <v>27</v>
      </c>
      <c r="J238" t="s">
        <v>27</v>
      </c>
      <c r="K238">
        <v>3523</v>
      </c>
      <c r="L238" t="s">
        <v>31</v>
      </c>
      <c r="M238">
        <v>55.871696074050107</v>
      </c>
    </row>
    <row r="239" spans="1:13" hidden="1" x14ac:dyDescent="0.3">
      <c r="A239" t="s">
        <v>883</v>
      </c>
      <c r="B239" t="s">
        <v>51</v>
      </c>
      <c r="C239" t="s">
        <v>121</v>
      </c>
      <c r="D239">
        <v>2002</v>
      </c>
      <c r="E239" t="s">
        <v>31</v>
      </c>
      <c r="F239" t="s">
        <v>60</v>
      </c>
      <c r="G239" t="s">
        <v>31</v>
      </c>
      <c r="H239" t="s">
        <v>27</v>
      </c>
      <c r="I239" t="s">
        <v>27</v>
      </c>
      <c r="J239" t="s">
        <v>27</v>
      </c>
      <c r="K239">
        <v>8000</v>
      </c>
      <c r="L239" t="s">
        <v>31</v>
      </c>
      <c r="M239">
        <v>55.871696074050107</v>
      </c>
    </row>
    <row r="240" spans="1:13" hidden="1" x14ac:dyDescent="0.3">
      <c r="A240" t="s">
        <v>884</v>
      </c>
      <c r="B240" t="s">
        <v>51</v>
      </c>
      <c r="C240" t="s">
        <v>150</v>
      </c>
      <c r="D240">
        <v>2002</v>
      </c>
      <c r="E240" t="s">
        <v>31</v>
      </c>
      <c r="F240" t="s">
        <v>90</v>
      </c>
      <c r="G240" t="s">
        <v>31</v>
      </c>
      <c r="H240" t="s">
        <v>27</v>
      </c>
      <c r="I240" t="s">
        <v>27</v>
      </c>
      <c r="J240" t="s">
        <v>27</v>
      </c>
      <c r="K240">
        <v>474</v>
      </c>
      <c r="L240" t="s">
        <v>31</v>
      </c>
      <c r="M240">
        <v>55.871696074050107</v>
      </c>
    </row>
    <row r="241" spans="1:13" hidden="1" x14ac:dyDescent="0.3">
      <c r="A241" t="s">
        <v>885</v>
      </c>
      <c r="B241" t="s">
        <v>51</v>
      </c>
      <c r="C241" t="s">
        <v>121</v>
      </c>
      <c r="D241">
        <v>2002</v>
      </c>
      <c r="E241" t="s">
        <v>31</v>
      </c>
      <c r="F241" t="s">
        <v>34</v>
      </c>
      <c r="G241" t="s">
        <v>31</v>
      </c>
      <c r="H241" t="s">
        <v>27</v>
      </c>
      <c r="I241" t="s">
        <v>27</v>
      </c>
      <c r="J241" t="s">
        <v>27</v>
      </c>
      <c r="K241">
        <v>750</v>
      </c>
      <c r="L241" t="s">
        <v>31</v>
      </c>
      <c r="M241">
        <v>55.871696074050107</v>
      </c>
    </row>
    <row r="242" spans="1:13" hidden="1" x14ac:dyDescent="0.3">
      <c r="A242" t="s">
        <v>886</v>
      </c>
      <c r="B242" t="s">
        <v>28</v>
      </c>
      <c r="C242" t="s">
        <v>30</v>
      </c>
      <c r="D242">
        <v>2002</v>
      </c>
      <c r="E242">
        <v>640000</v>
      </c>
      <c r="F242" t="s">
        <v>73</v>
      </c>
      <c r="G242" t="s">
        <v>31</v>
      </c>
      <c r="H242" t="s">
        <v>33</v>
      </c>
      <c r="I242" t="s">
        <v>27</v>
      </c>
      <c r="J242" t="s">
        <v>27</v>
      </c>
      <c r="K242">
        <v>500030</v>
      </c>
      <c r="L242">
        <v>1145482</v>
      </c>
      <c r="M242">
        <v>55.871696074050107</v>
      </c>
    </row>
    <row r="243" spans="1:13" hidden="1" x14ac:dyDescent="0.3">
      <c r="A243" t="s">
        <v>887</v>
      </c>
      <c r="B243" t="s">
        <v>28</v>
      </c>
      <c r="C243" t="s">
        <v>30</v>
      </c>
      <c r="D243">
        <v>2002</v>
      </c>
      <c r="E243">
        <v>200</v>
      </c>
      <c r="F243" t="s">
        <v>144</v>
      </c>
      <c r="G243" t="s">
        <v>31</v>
      </c>
      <c r="H243" t="s">
        <v>27</v>
      </c>
      <c r="I243" t="s">
        <v>27</v>
      </c>
      <c r="J243" t="s">
        <v>27</v>
      </c>
      <c r="K243">
        <v>2000</v>
      </c>
      <c r="L243">
        <v>358</v>
      </c>
      <c r="M243">
        <v>55.871696074050107</v>
      </c>
    </row>
    <row r="244" spans="1:13" hidden="1" x14ac:dyDescent="0.3">
      <c r="A244" t="s">
        <v>888</v>
      </c>
      <c r="B244" t="s">
        <v>28</v>
      </c>
      <c r="C244" t="s">
        <v>30</v>
      </c>
      <c r="D244">
        <v>2002</v>
      </c>
      <c r="E244">
        <v>1000</v>
      </c>
      <c r="F244" t="s">
        <v>670</v>
      </c>
      <c r="G244" t="s">
        <v>31</v>
      </c>
      <c r="H244" t="s">
        <v>27</v>
      </c>
      <c r="I244" t="s">
        <v>27</v>
      </c>
      <c r="J244" t="s">
        <v>27</v>
      </c>
      <c r="K244">
        <v>300</v>
      </c>
      <c r="L244">
        <v>1790</v>
      </c>
      <c r="M244">
        <v>55.871696074050107</v>
      </c>
    </row>
    <row r="245" spans="1:13" hidden="1" x14ac:dyDescent="0.3">
      <c r="A245" t="s">
        <v>889</v>
      </c>
      <c r="B245" t="s">
        <v>28</v>
      </c>
      <c r="C245" t="s">
        <v>30</v>
      </c>
      <c r="D245">
        <v>2002</v>
      </c>
      <c r="E245">
        <v>500</v>
      </c>
      <c r="F245" t="s">
        <v>670</v>
      </c>
      <c r="G245" t="s">
        <v>31</v>
      </c>
      <c r="H245" t="s">
        <v>27</v>
      </c>
      <c r="I245" t="s">
        <v>27</v>
      </c>
      <c r="J245" t="s">
        <v>27</v>
      </c>
      <c r="K245" t="s">
        <v>31</v>
      </c>
      <c r="L245">
        <v>895</v>
      </c>
      <c r="M245">
        <v>55.871696074050107</v>
      </c>
    </row>
    <row r="246" spans="1:13" hidden="1" x14ac:dyDescent="0.3">
      <c r="A246" t="s">
        <v>890</v>
      </c>
      <c r="B246" t="s">
        <v>51</v>
      </c>
      <c r="C246" t="s">
        <v>121</v>
      </c>
      <c r="D246">
        <v>2002</v>
      </c>
      <c r="E246" t="s">
        <v>31</v>
      </c>
      <c r="F246" t="s">
        <v>166</v>
      </c>
      <c r="G246" t="s">
        <v>31</v>
      </c>
      <c r="H246" t="s">
        <v>27</v>
      </c>
      <c r="I246" t="s">
        <v>27</v>
      </c>
      <c r="J246" t="s">
        <v>27</v>
      </c>
      <c r="K246">
        <v>15000</v>
      </c>
      <c r="L246" t="s">
        <v>31</v>
      </c>
      <c r="M246">
        <v>55.871696074050107</v>
      </c>
    </row>
    <row r="247" spans="1:13" hidden="1" x14ac:dyDescent="0.3">
      <c r="A247" t="s">
        <v>891</v>
      </c>
      <c r="B247" t="s">
        <v>28</v>
      </c>
      <c r="C247" t="s">
        <v>189</v>
      </c>
      <c r="D247">
        <v>2002</v>
      </c>
      <c r="E247" t="s">
        <v>31</v>
      </c>
      <c r="F247" t="s">
        <v>34</v>
      </c>
      <c r="G247" t="s">
        <v>31</v>
      </c>
      <c r="H247" t="s">
        <v>27</v>
      </c>
      <c r="I247" t="s">
        <v>27</v>
      </c>
      <c r="J247" t="s">
        <v>27</v>
      </c>
      <c r="K247" t="s">
        <v>31</v>
      </c>
      <c r="L247" t="s">
        <v>31</v>
      </c>
      <c r="M247">
        <v>55.871696074050107</v>
      </c>
    </row>
    <row r="248" spans="1:13" hidden="1" x14ac:dyDescent="0.3">
      <c r="A248" t="s">
        <v>892</v>
      </c>
      <c r="B248" t="s">
        <v>51</v>
      </c>
      <c r="C248" t="s">
        <v>150</v>
      </c>
      <c r="D248">
        <v>2002</v>
      </c>
      <c r="E248" t="s">
        <v>31</v>
      </c>
      <c r="F248" t="s">
        <v>119</v>
      </c>
      <c r="G248" t="s">
        <v>31</v>
      </c>
      <c r="H248" t="s">
        <v>27</v>
      </c>
      <c r="I248" t="s">
        <v>27</v>
      </c>
      <c r="J248" t="s">
        <v>27</v>
      </c>
      <c r="K248" t="s">
        <v>31</v>
      </c>
      <c r="L248" t="s">
        <v>31</v>
      </c>
      <c r="M248">
        <v>55.871696074050107</v>
      </c>
    </row>
    <row r="249" spans="1:13" hidden="1" x14ac:dyDescent="0.3">
      <c r="A249" t="s">
        <v>893</v>
      </c>
      <c r="B249" t="s">
        <v>51</v>
      </c>
      <c r="C249" t="s">
        <v>52</v>
      </c>
      <c r="D249">
        <v>2002</v>
      </c>
      <c r="E249" t="s">
        <v>31</v>
      </c>
      <c r="F249" t="s">
        <v>47</v>
      </c>
      <c r="G249" t="s">
        <v>31</v>
      </c>
      <c r="H249" t="s">
        <v>27</v>
      </c>
      <c r="I249" t="s">
        <v>27</v>
      </c>
      <c r="J249" t="s">
        <v>27</v>
      </c>
      <c r="K249">
        <v>1025</v>
      </c>
      <c r="L249" t="s">
        <v>31</v>
      </c>
      <c r="M249">
        <v>55.871696074050107</v>
      </c>
    </row>
    <row r="250" spans="1:13" hidden="1" x14ac:dyDescent="0.3">
      <c r="A250" t="s">
        <v>894</v>
      </c>
      <c r="B250" t="s">
        <v>39</v>
      </c>
      <c r="C250" t="s">
        <v>157</v>
      </c>
      <c r="D250">
        <v>2002</v>
      </c>
      <c r="E250" t="s">
        <v>31</v>
      </c>
      <c r="F250" t="s">
        <v>119</v>
      </c>
      <c r="G250" t="s">
        <v>31</v>
      </c>
      <c r="H250" t="s">
        <v>27</v>
      </c>
      <c r="I250" t="s">
        <v>27</v>
      </c>
      <c r="J250" t="s">
        <v>33</v>
      </c>
      <c r="K250" t="s">
        <v>31</v>
      </c>
      <c r="L250" t="s">
        <v>31</v>
      </c>
      <c r="M250">
        <v>55.871696074050107</v>
      </c>
    </row>
    <row r="251" spans="1:13" hidden="1" x14ac:dyDescent="0.3">
      <c r="A251" t="s">
        <v>895</v>
      </c>
      <c r="B251" t="s">
        <v>39</v>
      </c>
      <c r="C251" t="s">
        <v>157</v>
      </c>
      <c r="D251">
        <v>2002</v>
      </c>
      <c r="E251" t="s">
        <v>31</v>
      </c>
      <c r="F251" t="s">
        <v>53</v>
      </c>
      <c r="G251" t="s">
        <v>31</v>
      </c>
      <c r="H251" t="s">
        <v>27</v>
      </c>
      <c r="I251" t="s">
        <v>27</v>
      </c>
      <c r="J251" t="s">
        <v>27</v>
      </c>
      <c r="K251">
        <v>21500</v>
      </c>
      <c r="L251" t="s">
        <v>31</v>
      </c>
      <c r="M251">
        <v>55.871696074050107</v>
      </c>
    </row>
    <row r="252" spans="1:13" hidden="1" x14ac:dyDescent="0.3">
      <c r="A252" t="s">
        <v>1448</v>
      </c>
      <c r="B252" t="s">
        <v>51</v>
      </c>
      <c r="C252" t="s">
        <v>121</v>
      </c>
      <c r="D252">
        <v>2002</v>
      </c>
      <c r="E252">
        <v>100000</v>
      </c>
      <c r="F252" t="s">
        <v>111</v>
      </c>
      <c r="G252" t="s">
        <v>181</v>
      </c>
      <c r="H252" t="s">
        <v>27</v>
      </c>
      <c r="I252" t="s">
        <v>27</v>
      </c>
      <c r="J252" t="s">
        <v>27</v>
      </c>
      <c r="K252">
        <v>5146</v>
      </c>
      <c r="L252">
        <v>178982</v>
      </c>
      <c r="M252">
        <v>55.871696074050107</v>
      </c>
    </row>
    <row r="253" spans="1:13" hidden="1" x14ac:dyDescent="0.3">
      <c r="A253" t="s">
        <v>1455</v>
      </c>
      <c r="B253" t="s">
        <v>28</v>
      </c>
      <c r="C253" t="s">
        <v>67</v>
      </c>
      <c r="D253">
        <v>2002</v>
      </c>
      <c r="E253" t="s">
        <v>31</v>
      </c>
      <c r="F253" t="s">
        <v>34</v>
      </c>
      <c r="G253" t="s">
        <v>290</v>
      </c>
      <c r="H253" t="s">
        <v>27</v>
      </c>
      <c r="I253" t="s">
        <v>27</v>
      </c>
      <c r="J253" t="s">
        <v>27</v>
      </c>
      <c r="K253" t="s">
        <v>31</v>
      </c>
      <c r="L253" t="s">
        <v>31</v>
      </c>
      <c r="M253">
        <v>55.871696074050107</v>
      </c>
    </row>
    <row r="254" spans="1:13" hidden="1" x14ac:dyDescent="0.3">
      <c r="A254" t="s">
        <v>1456</v>
      </c>
      <c r="B254" t="s">
        <v>91</v>
      </c>
      <c r="C254" t="s">
        <v>105</v>
      </c>
      <c r="D254">
        <v>2002</v>
      </c>
      <c r="E254" t="s">
        <v>31</v>
      </c>
      <c r="F254" t="s">
        <v>73</v>
      </c>
      <c r="G254" t="s">
        <v>31</v>
      </c>
      <c r="H254" t="s">
        <v>27</v>
      </c>
      <c r="I254" t="s">
        <v>27</v>
      </c>
      <c r="J254" t="s">
        <v>27</v>
      </c>
      <c r="K254">
        <v>300</v>
      </c>
      <c r="L254" t="s">
        <v>31</v>
      </c>
      <c r="M254">
        <v>55.871696074050107</v>
      </c>
    </row>
    <row r="255" spans="1:13" hidden="1" x14ac:dyDescent="0.3">
      <c r="A255" t="s">
        <v>1457</v>
      </c>
      <c r="B255" t="s">
        <v>51</v>
      </c>
      <c r="C255" t="s">
        <v>121</v>
      </c>
      <c r="D255">
        <v>2002</v>
      </c>
      <c r="E255" t="s">
        <v>31</v>
      </c>
      <c r="F255" t="s">
        <v>119</v>
      </c>
      <c r="G255" t="s">
        <v>54</v>
      </c>
      <c r="H255" t="s">
        <v>27</v>
      </c>
      <c r="I255" t="s">
        <v>27</v>
      </c>
      <c r="J255" t="s">
        <v>27</v>
      </c>
      <c r="K255">
        <v>1500</v>
      </c>
      <c r="L255" t="s">
        <v>31</v>
      </c>
      <c r="M255">
        <v>55.871696074050107</v>
      </c>
    </row>
    <row r="256" spans="1:13" hidden="1" x14ac:dyDescent="0.3">
      <c r="A256" t="s">
        <v>1458</v>
      </c>
      <c r="B256" t="s">
        <v>51</v>
      </c>
      <c r="C256" t="s">
        <v>52</v>
      </c>
      <c r="D256">
        <v>2002</v>
      </c>
      <c r="E256">
        <v>3000</v>
      </c>
      <c r="F256" t="s">
        <v>109</v>
      </c>
      <c r="G256" t="s">
        <v>31</v>
      </c>
      <c r="H256" t="s">
        <v>27</v>
      </c>
      <c r="I256" t="s">
        <v>27</v>
      </c>
      <c r="J256" t="s">
        <v>27</v>
      </c>
      <c r="K256">
        <v>520</v>
      </c>
      <c r="L256">
        <v>5369</v>
      </c>
      <c r="M256">
        <v>55.871696074050107</v>
      </c>
    </row>
    <row r="257" spans="1:13" hidden="1" x14ac:dyDescent="0.3">
      <c r="A257" t="s">
        <v>1459</v>
      </c>
      <c r="B257" t="s">
        <v>51</v>
      </c>
      <c r="C257" t="s">
        <v>121</v>
      </c>
      <c r="D257">
        <v>2002</v>
      </c>
      <c r="E257">
        <v>500</v>
      </c>
      <c r="F257" t="s">
        <v>166</v>
      </c>
      <c r="G257" t="s">
        <v>31</v>
      </c>
      <c r="H257" t="s">
        <v>27</v>
      </c>
      <c r="I257" t="s">
        <v>27</v>
      </c>
      <c r="J257" t="s">
        <v>27</v>
      </c>
      <c r="K257">
        <v>11500</v>
      </c>
      <c r="L257">
        <v>895</v>
      </c>
      <c r="M257">
        <v>55.871696074050107</v>
      </c>
    </row>
    <row r="258" spans="1:13" hidden="1" x14ac:dyDescent="0.3">
      <c r="A258" t="s">
        <v>1460</v>
      </c>
      <c r="B258" t="s">
        <v>28</v>
      </c>
      <c r="C258" t="s">
        <v>97</v>
      </c>
      <c r="D258">
        <v>2002</v>
      </c>
      <c r="E258">
        <v>4000</v>
      </c>
      <c r="F258" t="s">
        <v>34</v>
      </c>
      <c r="G258" t="s">
        <v>31</v>
      </c>
      <c r="H258" t="s">
        <v>27</v>
      </c>
      <c r="I258" t="s">
        <v>27</v>
      </c>
      <c r="J258" t="s">
        <v>27</v>
      </c>
      <c r="K258">
        <v>12</v>
      </c>
      <c r="L258">
        <v>7159</v>
      </c>
      <c r="M258">
        <v>55.871696074050107</v>
      </c>
    </row>
    <row r="259" spans="1:13" hidden="1" x14ac:dyDescent="0.3">
      <c r="A259" t="s">
        <v>1461</v>
      </c>
      <c r="B259" t="s">
        <v>39</v>
      </c>
      <c r="C259" t="s">
        <v>41</v>
      </c>
      <c r="D259">
        <v>2002</v>
      </c>
      <c r="E259" t="s">
        <v>31</v>
      </c>
      <c r="F259" t="s">
        <v>34</v>
      </c>
      <c r="G259" t="s">
        <v>31</v>
      </c>
      <c r="H259" t="s">
        <v>27</v>
      </c>
      <c r="I259" t="s">
        <v>27</v>
      </c>
      <c r="J259" t="s">
        <v>27</v>
      </c>
      <c r="K259" t="s">
        <v>31</v>
      </c>
      <c r="L259" t="s">
        <v>31</v>
      </c>
      <c r="M259">
        <v>55.871696074050107</v>
      </c>
    </row>
    <row r="260" spans="1:13" hidden="1" x14ac:dyDescent="0.3">
      <c r="A260" t="s">
        <v>1462</v>
      </c>
      <c r="B260" t="s">
        <v>51</v>
      </c>
      <c r="C260" t="s">
        <v>121</v>
      </c>
      <c r="D260">
        <v>2002</v>
      </c>
      <c r="E260" t="s">
        <v>31</v>
      </c>
      <c r="F260" t="s">
        <v>47</v>
      </c>
      <c r="G260" t="s">
        <v>54</v>
      </c>
      <c r="H260" t="s">
        <v>27</v>
      </c>
      <c r="I260" t="s">
        <v>27</v>
      </c>
      <c r="J260" t="s">
        <v>27</v>
      </c>
      <c r="K260">
        <v>73013</v>
      </c>
      <c r="L260" t="s">
        <v>31</v>
      </c>
      <c r="M260">
        <v>55.871696074050107</v>
      </c>
    </row>
    <row r="261" spans="1:13" hidden="1" x14ac:dyDescent="0.3">
      <c r="A261" t="s">
        <v>1463</v>
      </c>
      <c r="B261" t="s">
        <v>43</v>
      </c>
      <c r="C261" t="s">
        <v>44</v>
      </c>
      <c r="D261">
        <v>2002</v>
      </c>
      <c r="E261" t="s">
        <v>31</v>
      </c>
      <c r="F261" t="s">
        <v>166</v>
      </c>
      <c r="G261" t="s">
        <v>31</v>
      </c>
      <c r="H261" t="s">
        <v>27</v>
      </c>
      <c r="I261" t="s">
        <v>27</v>
      </c>
      <c r="J261" t="s">
        <v>27</v>
      </c>
      <c r="K261">
        <v>173</v>
      </c>
      <c r="L261" t="s">
        <v>31</v>
      </c>
      <c r="M261">
        <v>55.871696074050107</v>
      </c>
    </row>
    <row r="262" spans="1:13" hidden="1" x14ac:dyDescent="0.3">
      <c r="A262" t="s">
        <v>1464</v>
      </c>
      <c r="B262" t="s">
        <v>51</v>
      </c>
      <c r="C262" t="s">
        <v>121</v>
      </c>
      <c r="D262">
        <v>2002</v>
      </c>
      <c r="E262" t="s">
        <v>31</v>
      </c>
      <c r="F262" t="s">
        <v>119</v>
      </c>
      <c r="G262" t="s">
        <v>402</v>
      </c>
      <c r="H262" t="s">
        <v>27</v>
      </c>
      <c r="I262" t="s">
        <v>27</v>
      </c>
      <c r="J262" t="s">
        <v>27</v>
      </c>
      <c r="K262">
        <v>2000</v>
      </c>
      <c r="L262" t="s">
        <v>31</v>
      </c>
      <c r="M262">
        <v>55.871696074050107</v>
      </c>
    </row>
    <row r="263" spans="1:13" hidden="1" x14ac:dyDescent="0.3">
      <c r="A263" t="s">
        <v>1465</v>
      </c>
      <c r="B263" t="s">
        <v>28</v>
      </c>
      <c r="C263" t="s">
        <v>67</v>
      </c>
      <c r="D263">
        <v>2002</v>
      </c>
      <c r="E263" t="s">
        <v>31</v>
      </c>
      <c r="F263" t="s">
        <v>53</v>
      </c>
      <c r="G263" t="s">
        <v>31</v>
      </c>
      <c r="H263" t="s">
        <v>27</v>
      </c>
      <c r="I263" t="s">
        <v>27</v>
      </c>
      <c r="J263" t="s">
        <v>27</v>
      </c>
      <c r="K263">
        <v>86682</v>
      </c>
      <c r="L263" t="s">
        <v>31</v>
      </c>
      <c r="M263">
        <v>55.871696074050107</v>
      </c>
    </row>
    <row r="264" spans="1:13" hidden="1" x14ac:dyDescent="0.3">
      <c r="A264" t="s">
        <v>1466</v>
      </c>
      <c r="B264" t="s">
        <v>28</v>
      </c>
      <c r="C264" t="s">
        <v>68</v>
      </c>
      <c r="D264">
        <v>2002</v>
      </c>
      <c r="E264" t="s">
        <v>31</v>
      </c>
      <c r="F264" t="s">
        <v>60</v>
      </c>
      <c r="G264" t="s">
        <v>31</v>
      </c>
      <c r="H264" t="s">
        <v>27</v>
      </c>
      <c r="I264" t="s">
        <v>27</v>
      </c>
      <c r="J264" t="s">
        <v>27</v>
      </c>
      <c r="K264">
        <v>25000</v>
      </c>
      <c r="L264" t="s">
        <v>31</v>
      </c>
      <c r="M264">
        <v>55.871696074050107</v>
      </c>
    </row>
    <row r="265" spans="1:13" hidden="1" x14ac:dyDescent="0.3">
      <c r="A265" t="s">
        <v>1467</v>
      </c>
      <c r="B265" t="s">
        <v>51</v>
      </c>
      <c r="C265" t="s">
        <v>194</v>
      </c>
      <c r="D265">
        <v>2002</v>
      </c>
      <c r="E265" t="s">
        <v>31</v>
      </c>
      <c r="F265" t="s">
        <v>49</v>
      </c>
      <c r="G265" t="s">
        <v>31</v>
      </c>
      <c r="H265" t="s">
        <v>27</v>
      </c>
      <c r="I265" t="s">
        <v>27</v>
      </c>
      <c r="J265" t="s">
        <v>27</v>
      </c>
      <c r="K265">
        <v>1720</v>
      </c>
      <c r="L265" t="s">
        <v>31</v>
      </c>
      <c r="M265">
        <v>55.871696074050107</v>
      </c>
    </row>
    <row r="266" spans="1:13" hidden="1" x14ac:dyDescent="0.3">
      <c r="A266" t="s">
        <v>1468</v>
      </c>
      <c r="B266" t="s">
        <v>39</v>
      </c>
      <c r="C266" t="s">
        <v>41</v>
      </c>
      <c r="D266">
        <v>2002</v>
      </c>
      <c r="E266" t="s">
        <v>31</v>
      </c>
      <c r="F266" t="s">
        <v>34</v>
      </c>
      <c r="G266" t="s">
        <v>31</v>
      </c>
      <c r="H266" t="s">
        <v>27</v>
      </c>
      <c r="I266" t="s">
        <v>27</v>
      </c>
      <c r="J266" t="s">
        <v>27</v>
      </c>
      <c r="K266">
        <v>2213</v>
      </c>
      <c r="L266" t="s">
        <v>31</v>
      </c>
      <c r="M266">
        <v>55.871696074050107</v>
      </c>
    </row>
    <row r="267" spans="1:13" hidden="1" x14ac:dyDescent="0.3">
      <c r="A267" t="s">
        <v>1469</v>
      </c>
      <c r="B267" t="s">
        <v>28</v>
      </c>
      <c r="C267" t="s">
        <v>30</v>
      </c>
      <c r="D267">
        <v>2002</v>
      </c>
      <c r="E267">
        <v>30</v>
      </c>
      <c r="F267" t="s">
        <v>234</v>
      </c>
      <c r="G267" t="s">
        <v>37</v>
      </c>
      <c r="H267" t="s">
        <v>27</v>
      </c>
      <c r="I267" t="s">
        <v>27</v>
      </c>
      <c r="J267" t="s">
        <v>27</v>
      </c>
      <c r="K267">
        <v>1500</v>
      </c>
      <c r="L267">
        <v>54</v>
      </c>
      <c r="M267">
        <v>55.871696074050107</v>
      </c>
    </row>
    <row r="268" spans="1:13" hidden="1" x14ac:dyDescent="0.3">
      <c r="A268" t="s">
        <v>1470</v>
      </c>
      <c r="B268" t="s">
        <v>28</v>
      </c>
      <c r="C268" t="s">
        <v>30</v>
      </c>
      <c r="D268">
        <v>2002</v>
      </c>
      <c r="E268" t="s">
        <v>31</v>
      </c>
      <c r="F268" t="s">
        <v>73</v>
      </c>
      <c r="G268" t="s">
        <v>31</v>
      </c>
      <c r="H268" t="s">
        <v>27</v>
      </c>
      <c r="I268" t="s">
        <v>27</v>
      </c>
      <c r="J268" t="s">
        <v>27</v>
      </c>
      <c r="K268">
        <v>500</v>
      </c>
      <c r="L268" t="s">
        <v>31</v>
      </c>
      <c r="M268">
        <v>55.871696074050107</v>
      </c>
    </row>
    <row r="269" spans="1:13" hidden="1" x14ac:dyDescent="0.3">
      <c r="A269" t="s">
        <v>1471</v>
      </c>
      <c r="B269" t="s">
        <v>28</v>
      </c>
      <c r="C269" t="s">
        <v>30</v>
      </c>
      <c r="D269">
        <v>2002</v>
      </c>
      <c r="E269">
        <v>200000</v>
      </c>
      <c r="F269" t="s">
        <v>73</v>
      </c>
      <c r="G269" t="s">
        <v>31</v>
      </c>
      <c r="H269" t="s">
        <v>27</v>
      </c>
      <c r="I269" t="s">
        <v>27</v>
      </c>
      <c r="J269" t="s">
        <v>27</v>
      </c>
      <c r="K269">
        <v>9000</v>
      </c>
      <c r="L269">
        <v>357963</v>
      </c>
      <c r="M269">
        <v>55.871696074050107</v>
      </c>
    </row>
    <row r="270" spans="1:13" hidden="1" x14ac:dyDescent="0.3">
      <c r="A270" t="s">
        <v>1472</v>
      </c>
      <c r="B270" t="s">
        <v>91</v>
      </c>
      <c r="C270" t="s">
        <v>105</v>
      </c>
      <c r="D270">
        <v>2002</v>
      </c>
      <c r="E270" t="s">
        <v>31</v>
      </c>
      <c r="F270" t="s">
        <v>109</v>
      </c>
      <c r="G270" t="s">
        <v>31</v>
      </c>
      <c r="H270" t="s">
        <v>27</v>
      </c>
      <c r="I270" t="s">
        <v>27</v>
      </c>
      <c r="J270" t="s">
        <v>33</v>
      </c>
      <c r="K270">
        <v>128150</v>
      </c>
      <c r="L270" t="s">
        <v>31</v>
      </c>
      <c r="M270">
        <v>55.871696074050107</v>
      </c>
    </row>
    <row r="271" spans="1:13" hidden="1" x14ac:dyDescent="0.3">
      <c r="A271" t="s">
        <v>1473</v>
      </c>
      <c r="B271" t="s">
        <v>28</v>
      </c>
      <c r="C271" t="s">
        <v>97</v>
      </c>
      <c r="D271">
        <v>2002</v>
      </c>
      <c r="E271">
        <v>700000</v>
      </c>
      <c r="F271" t="s">
        <v>34</v>
      </c>
      <c r="G271" t="s">
        <v>31</v>
      </c>
      <c r="H271" t="s">
        <v>27</v>
      </c>
      <c r="I271" t="s">
        <v>27</v>
      </c>
      <c r="J271" t="s">
        <v>27</v>
      </c>
      <c r="K271">
        <v>4066</v>
      </c>
      <c r="L271">
        <v>1252871</v>
      </c>
      <c r="M271">
        <v>55.871696074050107</v>
      </c>
    </row>
    <row r="272" spans="1:13" hidden="1" x14ac:dyDescent="0.3">
      <c r="A272" t="s">
        <v>1474</v>
      </c>
      <c r="B272" t="s">
        <v>51</v>
      </c>
      <c r="C272" t="s">
        <v>52</v>
      </c>
      <c r="D272">
        <v>2002</v>
      </c>
      <c r="E272">
        <v>500</v>
      </c>
      <c r="F272" t="s">
        <v>75</v>
      </c>
      <c r="G272" t="s">
        <v>31</v>
      </c>
      <c r="H272" t="s">
        <v>27</v>
      </c>
      <c r="I272" t="s">
        <v>27</v>
      </c>
      <c r="J272" t="s">
        <v>27</v>
      </c>
      <c r="K272">
        <v>1750</v>
      </c>
      <c r="L272">
        <v>895</v>
      </c>
      <c r="M272">
        <v>55.871696074050107</v>
      </c>
    </row>
    <row r="273" spans="1:13" hidden="1" x14ac:dyDescent="0.3">
      <c r="A273" t="s">
        <v>1476</v>
      </c>
      <c r="B273" t="s">
        <v>51</v>
      </c>
      <c r="C273" t="s">
        <v>121</v>
      </c>
      <c r="D273">
        <v>2002</v>
      </c>
      <c r="E273" t="s">
        <v>31</v>
      </c>
      <c r="F273" t="s">
        <v>130</v>
      </c>
      <c r="G273" t="s">
        <v>31</v>
      </c>
      <c r="H273" t="s">
        <v>27</v>
      </c>
      <c r="I273" t="s">
        <v>27</v>
      </c>
      <c r="J273" t="s">
        <v>27</v>
      </c>
      <c r="K273">
        <v>6000</v>
      </c>
      <c r="L273" t="s">
        <v>31</v>
      </c>
      <c r="M273">
        <v>55.871696074050107</v>
      </c>
    </row>
    <row r="274" spans="1:13" hidden="1" x14ac:dyDescent="0.3">
      <c r="A274" t="s">
        <v>1477</v>
      </c>
      <c r="B274" t="s">
        <v>28</v>
      </c>
      <c r="C274" t="s">
        <v>30</v>
      </c>
      <c r="D274">
        <v>2002</v>
      </c>
      <c r="E274" t="s">
        <v>31</v>
      </c>
      <c r="F274" t="s">
        <v>115</v>
      </c>
      <c r="G274" t="s">
        <v>31</v>
      </c>
      <c r="H274" t="s">
        <v>27</v>
      </c>
      <c r="I274" t="s">
        <v>27</v>
      </c>
      <c r="J274" t="s">
        <v>27</v>
      </c>
      <c r="K274">
        <v>500</v>
      </c>
      <c r="L274" t="s">
        <v>31</v>
      </c>
      <c r="M274">
        <v>55.871696074050107</v>
      </c>
    </row>
    <row r="275" spans="1:13" hidden="1" x14ac:dyDescent="0.3">
      <c r="A275" t="s">
        <v>1478</v>
      </c>
      <c r="B275" t="s">
        <v>28</v>
      </c>
      <c r="C275" t="s">
        <v>189</v>
      </c>
      <c r="D275">
        <v>2002</v>
      </c>
      <c r="E275" t="s">
        <v>31</v>
      </c>
      <c r="F275" t="s">
        <v>34</v>
      </c>
      <c r="G275" t="s">
        <v>31</v>
      </c>
      <c r="H275" t="s">
        <v>27</v>
      </c>
      <c r="I275" t="s">
        <v>27</v>
      </c>
      <c r="J275" t="s">
        <v>27</v>
      </c>
      <c r="K275">
        <v>47</v>
      </c>
      <c r="L275" t="s">
        <v>31</v>
      </c>
      <c r="M275">
        <v>55.871696074050107</v>
      </c>
    </row>
    <row r="276" spans="1:13" hidden="1" x14ac:dyDescent="0.3">
      <c r="A276" t="s">
        <v>1479</v>
      </c>
      <c r="B276" t="s">
        <v>39</v>
      </c>
      <c r="C276" t="s">
        <v>157</v>
      </c>
      <c r="D276">
        <v>2002</v>
      </c>
      <c r="E276" t="s">
        <v>31</v>
      </c>
      <c r="F276" t="s">
        <v>49</v>
      </c>
      <c r="G276" t="s">
        <v>31</v>
      </c>
      <c r="H276" t="s">
        <v>27</v>
      </c>
      <c r="I276" t="s">
        <v>27</v>
      </c>
      <c r="J276" t="s">
        <v>33</v>
      </c>
      <c r="K276">
        <v>220000</v>
      </c>
      <c r="L276" t="s">
        <v>31</v>
      </c>
      <c r="M276">
        <v>55.871696074050107</v>
      </c>
    </row>
    <row r="277" spans="1:13" hidden="1" x14ac:dyDescent="0.3">
      <c r="A277" t="s">
        <v>2167</v>
      </c>
      <c r="B277" t="s">
        <v>51</v>
      </c>
      <c r="C277" t="s">
        <v>121</v>
      </c>
      <c r="D277">
        <v>2002</v>
      </c>
      <c r="E277" t="s">
        <v>31</v>
      </c>
      <c r="F277" t="s">
        <v>90</v>
      </c>
      <c r="G277" t="s">
        <v>31</v>
      </c>
      <c r="H277" t="s">
        <v>27</v>
      </c>
      <c r="I277" t="s">
        <v>27</v>
      </c>
      <c r="J277" t="s">
        <v>27</v>
      </c>
      <c r="K277">
        <v>98740</v>
      </c>
      <c r="L277" t="s">
        <v>31</v>
      </c>
      <c r="M277">
        <v>55.871696074050107</v>
      </c>
    </row>
    <row r="278" spans="1:13" hidden="1" x14ac:dyDescent="0.3">
      <c r="A278" t="s">
        <v>2168</v>
      </c>
      <c r="B278" t="s">
        <v>28</v>
      </c>
      <c r="C278" t="s">
        <v>67</v>
      </c>
      <c r="D278">
        <v>2002</v>
      </c>
      <c r="E278" t="s">
        <v>31</v>
      </c>
      <c r="F278" t="s">
        <v>34</v>
      </c>
      <c r="G278" t="s">
        <v>290</v>
      </c>
      <c r="H278" t="s">
        <v>27</v>
      </c>
      <c r="I278" t="s">
        <v>27</v>
      </c>
      <c r="J278" t="s">
        <v>27</v>
      </c>
      <c r="K278" t="s">
        <v>31</v>
      </c>
      <c r="L278" t="s">
        <v>31</v>
      </c>
      <c r="M278">
        <v>55.871696074050107</v>
      </c>
    </row>
    <row r="279" spans="1:13" hidden="1" x14ac:dyDescent="0.3">
      <c r="A279" t="s">
        <v>2169</v>
      </c>
      <c r="B279" t="s">
        <v>39</v>
      </c>
      <c r="C279" t="s">
        <v>41</v>
      </c>
      <c r="D279">
        <v>2002</v>
      </c>
      <c r="E279">
        <v>5000</v>
      </c>
      <c r="F279" t="s">
        <v>34</v>
      </c>
      <c r="G279" t="s">
        <v>31</v>
      </c>
      <c r="H279" t="s">
        <v>27</v>
      </c>
      <c r="I279" t="s">
        <v>27</v>
      </c>
      <c r="J279" t="s">
        <v>27</v>
      </c>
      <c r="K279">
        <v>1300</v>
      </c>
      <c r="L279">
        <v>8949</v>
      </c>
      <c r="M279">
        <v>55.871696074050107</v>
      </c>
    </row>
    <row r="280" spans="1:13" hidden="1" x14ac:dyDescent="0.3">
      <c r="A280" t="s">
        <v>2170</v>
      </c>
      <c r="B280" t="s">
        <v>51</v>
      </c>
      <c r="C280" t="s">
        <v>121</v>
      </c>
      <c r="D280">
        <v>2002</v>
      </c>
      <c r="E280">
        <v>13000</v>
      </c>
      <c r="F280" t="s">
        <v>34</v>
      </c>
      <c r="G280" t="s">
        <v>31</v>
      </c>
      <c r="H280" t="s">
        <v>27</v>
      </c>
      <c r="I280" t="s">
        <v>27</v>
      </c>
      <c r="J280" t="s">
        <v>27</v>
      </c>
      <c r="K280">
        <v>1000</v>
      </c>
      <c r="L280">
        <v>23268</v>
      </c>
      <c r="M280">
        <v>55.871696074050107</v>
      </c>
    </row>
    <row r="281" spans="1:13" hidden="1" x14ac:dyDescent="0.3">
      <c r="A281" t="s">
        <v>2171</v>
      </c>
      <c r="B281" t="s">
        <v>51</v>
      </c>
      <c r="C281" t="s">
        <v>121</v>
      </c>
      <c r="D281">
        <v>2002</v>
      </c>
      <c r="E281" t="s">
        <v>31</v>
      </c>
      <c r="F281" t="s">
        <v>117</v>
      </c>
      <c r="G281" t="s">
        <v>402</v>
      </c>
      <c r="H281" t="s">
        <v>27</v>
      </c>
      <c r="I281" t="s">
        <v>27</v>
      </c>
      <c r="J281" t="s">
        <v>27</v>
      </c>
      <c r="K281">
        <v>2765</v>
      </c>
      <c r="L281" t="s">
        <v>31</v>
      </c>
      <c r="M281">
        <v>55.871696074050107</v>
      </c>
    </row>
    <row r="282" spans="1:13" hidden="1" x14ac:dyDescent="0.3">
      <c r="A282" t="s">
        <v>2172</v>
      </c>
      <c r="B282" t="s">
        <v>28</v>
      </c>
      <c r="C282" t="s">
        <v>97</v>
      </c>
      <c r="D282">
        <v>2002</v>
      </c>
      <c r="E282">
        <v>2200000</v>
      </c>
      <c r="F282" t="s">
        <v>34</v>
      </c>
      <c r="G282" t="s">
        <v>31</v>
      </c>
      <c r="H282" t="s">
        <v>27</v>
      </c>
      <c r="I282" t="s">
        <v>27</v>
      </c>
      <c r="J282" t="s">
        <v>33</v>
      </c>
      <c r="K282">
        <v>100</v>
      </c>
      <c r="L282">
        <v>3937593</v>
      </c>
      <c r="M282">
        <v>55.871696074050107</v>
      </c>
    </row>
    <row r="283" spans="1:13" hidden="1" x14ac:dyDescent="0.3">
      <c r="A283" t="s">
        <v>2173</v>
      </c>
      <c r="B283" t="s">
        <v>51</v>
      </c>
      <c r="C283" t="s">
        <v>121</v>
      </c>
      <c r="D283">
        <v>2002</v>
      </c>
      <c r="E283">
        <v>50</v>
      </c>
      <c r="F283" t="s">
        <v>81</v>
      </c>
      <c r="G283" t="s">
        <v>31</v>
      </c>
      <c r="H283" t="s">
        <v>27</v>
      </c>
      <c r="I283" t="s">
        <v>27</v>
      </c>
      <c r="J283" t="s">
        <v>27</v>
      </c>
      <c r="K283">
        <v>13546</v>
      </c>
      <c r="L283">
        <v>89</v>
      </c>
      <c r="M283">
        <v>55.871696074050107</v>
      </c>
    </row>
    <row r="284" spans="1:13" hidden="1" x14ac:dyDescent="0.3">
      <c r="A284" t="s">
        <v>2174</v>
      </c>
      <c r="B284" t="s">
        <v>51</v>
      </c>
      <c r="C284" t="s">
        <v>121</v>
      </c>
      <c r="D284">
        <v>2002</v>
      </c>
      <c r="E284" t="s">
        <v>31</v>
      </c>
      <c r="F284" t="s">
        <v>77</v>
      </c>
      <c r="G284" t="s">
        <v>31</v>
      </c>
      <c r="H284" t="s">
        <v>27</v>
      </c>
      <c r="I284" t="s">
        <v>27</v>
      </c>
      <c r="J284" t="s">
        <v>27</v>
      </c>
      <c r="K284" t="s">
        <v>31</v>
      </c>
      <c r="L284" t="s">
        <v>31</v>
      </c>
      <c r="M284">
        <v>55.871696074050107</v>
      </c>
    </row>
    <row r="285" spans="1:13" hidden="1" x14ac:dyDescent="0.3">
      <c r="A285" t="s">
        <v>2175</v>
      </c>
      <c r="B285" t="s">
        <v>28</v>
      </c>
      <c r="C285" t="s">
        <v>68</v>
      </c>
      <c r="D285">
        <v>2002</v>
      </c>
      <c r="E285" t="s">
        <v>31</v>
      </c>
      <c r="F285" t="s">
        <v>130</v>
      </c>
      <c r="G285" t="s">
        <v>31</v>
      </c>
      <c r="H285" t="s">
        <v>27</v>
      </c>
      <c r="I285" t="s">
        <v>27</v>
      </c>
      <c r="J285" t="s">
        <v>27</v>
      </c>
      <c r="K285">
        <v>200</v>
      </c>
      <c r="L285" t="s">
        <v>31</v>
      </c>
      <c r="M285">
        <v>55.871696074050107</v>
      </c>
    </row>
    <row r="286" spans="1:13" hidden="1" x14ac:dyDescent="0.3">
      <c r="A286" t="s">
        <v>2176</v>
      </c>
      <c r="B286" t="s">
        <v>43</v>
      </c>
      <c r="C286" t="s">
        <v>114</v>
      </c>
      <c r="D286">
        <v>2002</v>
      </c>
      <c r="E286" t="s">
        <v>31</v>
      </c>
      <c r="F286" t="s">
        <v>109</v>
      </c>
      <c r="G286" t="s">
        <v>31</v>
      </c>
      <c r="H286" t="s">
        <v>27</v>
      </c>
      <c r="I286" t="s">
        <v>27</v>
      </c>
      <c r="J286" t="s">
        <v>27</v>
      </c>
      <c r="K286">
        <v>100</v>
      </c>
      <c r="L286" t="s">
        <v>31</v>
      </c>
      <c r="M286">
        <v>55.871696074050107</v>
      </c>
    </row>
    <row r="287" spans="1:13" hidden="1" x14ac:dyDescent="0.3">
      <c r="A287" t="s">
        <v>2177</v>
      </c>
      <c r="B287" t="s">
        <v>28</v>
      </c>
      <c r="C287" t="s">
        <v>97</v>
      </c>
      <c r="D287">
        <v>2002</v>
      </c>
      <c r="E287">
        <v>20000</v>
      </c>
      <c r="F287" t="s">
        <v>34</v>
      </c>
      <c r="G287" t="s">
        <v>31</v>
      </c>
      <c r="H287" t="s">
        <v>27</v>
      </c>
      <c r="I287" t="s">
        <v>27</v>
      </c>
      <c r="J287" t="s">
        <v>27</v>
      </c>
      <c r="K287">
        <v>537</v>
      </c>
      <c r="L287">
        <v>35796</v>
      </c>
      <c r="M287">
        <v>55.871696074050107</v>
      </c>
    </row>
    <row r="288" spans="1:13" hidden="1" x14ac:dyDescent="0.3">
      <c r="A288" t="s">
        <v>2178</v>
      </c>
      <c r="B288" t="s">
        <v>28</v>
      </c>
      <c r="C288" t="s">
        <v>30</v>
      </c>
      <c r="D288">
        <v>2002</v>
      </c>
      <c r="E288">
        <v>23000</v>
      </c>
      <c r="F288" t="s">
        <v>242</v>
      </c>
      <c r="G288" t="s">
        <v>31</v>
      </c>
      <c r="H288" t="s">
        <v>27</v>
      </c>
      <c r="I288" t="s">
        <v>27</v>
      </c>
      <c r="J288" t="s">
        <v>27</v>
      </c>
      <c r="K288">
        <v>42500</v>
      </c>
      <c r="L288">
        <v>41166</v>
      </c>
      <c r="M288">
        <v>55.871696074050107</v>
      </c>
    </row>
    <row r="289" spans="1:13" hidden="1" x14ac:dyDescent="0.3">
      <c r="A289" t="s">
        <v>2179</v>
      </c>
      <c r="B289" t="s">
        <v>39</v>
      </c>
      <c r="C289" t="s">
        <v>41</v>
      </c>
      <c r="D289">
        <v>2002</v>
      </c>
      <c r="E289" t="s">
        <v>31</v>
      </c>
      <c r="F289" t="s">
        <v>34</v>
      </c>
      <c r="G289" t="s">
        <v>31</v>
      </c>
      <c r="H289" t="s">
        <v>27</v>
      </c>
      <c r="I289" t="s">
        <v>27</v>
      </c>
      <c r="J289" t="s">
        <v>27</v>
      </c>
      <c r="K289" t="s">
        <v>31</v>
      </c>
      <c r="L289" t="s">
        <v>31</v>
      </c>
      <c r="M289">
        <v>55.871696074050107</v>
      </c>
    </row>
    <row r="290" spans="1:13" hidden="1" x14ac:dyDescent="0.3">
      <c r="A290" t="s">
        <v>2180</v>
      </c>
      <c r="B290" t="s">
        <v>28</v>
      </c>
      <c r="C290" t="s">
        <v>30</v>
      </c>
      <c r="D290">
        <v>2002</v>
      </c>
      <c r="E290">
        <v>23000</v>
      </c>
      <c r="F290" t="s">
        <v>242</v>
      </c>
      <c r="G290" t="s">
        <v>31</v>
      </c>
      <c r="H290" t="s">
        <v>27</v>
      </c>
      <c r="I290" t="s">
        <v>27</v>
      </c>
      <c r="J290" t="s">
        <v>27</v>
      </c>
      <c r="K290">
        <v>281470</v>
      </c>
      <c r="L290">
        <v>41166</v>
      </c>
      <c r="M290">
        <v>55.871696074050107</v>
      </c>
    </row>
    <row r="291" spans="1:13" hidden="1" x14ac:dyDescent="0.3">
      <c r="A291" t="s">
        <v>2181</v>
      </c>
      <c r="B291" t="s">
        <v>28</v>
      </c>
      <c r="C291" t="s">
        <v>30</v>
      </c>
      <c r="D291">
        <v>2002</v>
      </c>
      <c r="E291">
        <v>1000</v>
      </c>
      <c r="F291" t="s">
        <v>234</v>
      </c>
      <c r="G291" t="s">
        <v>31</v>
      </c>
      <c r="H291" t="s">
        <v>27</v>
      </c>
      <c r="I291" t="s">
        <v>27</v>
      </c>
      <c r="J291" t="s">
        <v>27</v>
      </c>
      <c r="K291" t="s">
        <v>31</v>
      </c>
      <c r="L291">
        <v>1790</v>
      </c>
      <c r="M291">
        <v>55.871696074050107</v>
      </c>
    </row>
    <row r="292" spans="1:13" hidden="1" x14ac:dyDescent="0.3">
      <c r="A292" t="s">
        <v>2182</v>
      </c>
      <c r="B292" t="s">
        <v>28</v>
      </c>
      <c r="C292" t="s">
        <v>30</v>
      </c>
      <c r="D292">
        <v>2002</v>
      </c>
      <c r="E292" t="s">
        <v>31</v>
      </c>
      <c r="F292" t="s">
        <v>45</v>
      </c>
      <c r="G292" t="s">
        <v>37</v>
      </c>
      <c r="H292" t="s">
        <v>27</v>
      </c>
      <c r="I292" t="s">
        <v>27</v>
      </c>
      <c r="J292" t="s">
        <v>27</v>
      </c>
      <c r="K292">
        <v>250</v>
      </c>
      <c r="L292" t="s">
        <v>31</v>
      </c>
      <c r="M292">
        <v>55.871696074050107</v>
      </c>
    </row>
    <row r="293" spans="1:13" hidden="1" x14ac:dyDescent="0.3">
      <c r="A293" t="s">
        <v>2183</v>
      </c>
      <c r="B293" t="s">
        <v>43</v>
      </c>
      <c r="C293" t="s">
        <v>114</v>
      </c>
      <c r="D293">
        <v>2002</v>
      </c>
      <c r="E293" t="s">
        <v>31</v>
      </c>
      <c r="F293" t="s">
        <v>77</v>
      </c>
      <c r="G293" t="s">
        <v>31</v>
      </c>
      <c r="H293" t="s">
        <v>27</v>
      </c>
      <c r="I293" t="s">
        <v>27</v>
      </c>
      <c r="J293" t="s">
        <v>27</v>
      </c>
      <c r="K293">
        <v>139</v>
      </c>
      <c r="L293" t="s">
        <v>31</v>
      </c>
      <c r="M293">
        <v>55.871696074050107</v>
      </c>
    </row>
    <row r="294" spans="1:13" hidden="1" x14ac:dyDescent="0.3">
      <c r="A294" t="s">
        <v>2184</v>
      </c>
      <c r="B294" t="s">
        <v>28</v>
      </c>
      <c r="C294" t="s">
        <v>189</v>
      </c>
      <c r="D294">
        <v>2002</v>
      </c>
      <c r="E294" t="s">
        <v>31</v>
      </c>
      <c r="F294" t="s">
        <v>130</v>
      </c>
      <c r="G294" t="s">
        <v>31</v>
      </c>
      <c r="H294" t="s">
        <v>27</v>
      </c>
      <c r="I294" t="s">
        <v>27</v>
      </c>
      <c r="J294" t="s">
        <v>27</v>
      </c>
      <c r="K294">
        <v>5000</v>
      </c>
      <c r="L294" t="s">
        <v>31</v>
      </c>
      <c r="M294">
        <v>55.871696074050107</v>
      </c>
    </row>
    <row r="295" spans="1:13" hidden="1" x14ac:dyDescent="0.3">
      <c r="A295" t="s">
        <v>2185</v>
      </c>
      <c r="B295" t="s">
        <v>28</v>
      </c>
      <c r="C295" t="s">
        <v>30</v>
      </c>
      <c r="D295">
        <v>2002</v>
      </c>
      <c r="E295">
        <v>2000000</v>
      </c>
      <c r="F295" t="s">
        <v>34</v>
      </c>
      <c r="G295" t="s">
        <v>37</v>
      </c>
      <c r="H295" t="s">
        <v>27</v>
      </c>
      <c r="I295" t="s">
        <v>27</v>
      </c>
      <c r="J295" t="s">
        <v>27</v>
      </c>
      <c r="K295" t="s">
        <v>31</v>
      </c>
      <c r="L295">
        <v>3579630</v>
      </c>
      <c r="M295">
        <v>55.871696074050107</v>
      </c>
    </row>
    <row r="296" spans="1:13" hidden="1" x14ac:dyDescent="0.3">
      <c r="A296" t="s">
        <v>2186</v>
      </c>
      <c r="B296" t="s">
        <v>28</v>
      </c>
      <c r="C296" t="s">
        <v>67</v>
      </c>
      <c r="D296">
        <v>2002</v>
      </c>
      <c r="E296" t="s">
        <v>31</v>
      </c>
      <c r="F296" t="s">
        <v>34</v>
      </c>
      <c r="G296" t="s">
        <v>31</v>
      </c>
      <c r="H296" t="s">
        <v>27</v>
      </c>
      <c r="I296" t="s">
        <v>27</v>
      </c>
      <c r="J296" t="s">
        <v>27</v>
      </c>
      <c r="K296" t="s">
        <v>31</v>
      </c>
      <c r="L296" t="s">
        <v>31</v>
      </c>
      <c r="M296">
        <v>55.871696074050107</v>
      </c>
    </row>
    <row r="297" spans="1:13" hidden="1" x14ac:dyDescent="0.3">
      <c r="A297" t="s">
        <v>2187</v>
      </c>
      <c r="B297" t="s">
        <v>28</v>
      </c>
      <c r="C297" t="s">
        <v>68</v>
      </c>
      <c r="D297">
        <v>2002</v>
      </c>
      <c r="E297" t="s">
        <v>31</v>
      </c>
      <c r="F297" t="s">
        <v>73</v>
      </c>
      <c r="G297" t="s">
        <v>31</v>
      </c>
      <c r="H297" t="s">
        <v>27</v>
      </c>
      <c r="I297" t="s">
        <v>27</v>
      </c>
      <c r="J297" t="s">
        <v>27</v>
      </c>
      <c r="K297" t="s">
        <v>31</v>
      </c>
      <c r="L297" t="s">
        <v>31</v>
      </c>
      <c r="M297">
        <v>55.871696074050107</v>
      </c>
    </row>
    <row r="298" spans="1:13" hidden="1" x14ac:dyDescent="0.3">
      <c r="A298" t="s">
        <v>2188</v>
      </c>
      <c r="B298" t="s">
        <v>51</v>
      </c>
      <c r="C298" t="s">
        <v>121</v>
      </c>
      <c r="D298">
        <v>2002</v>
      </c>
      <c r="E298" t="s">
        <v>31</v>
      </c>
      <c r="F298" t="s">
        <v>47</v>
      </c>
      <c r="G298" t="s">
        <v>402</v>
      </c>
      <c r="H298" t="s">
        <v>27</v>
      </c>
      <c r="I298" t="s">
        <v>27</v>
      </c>
      <c r="J298" t="s">
        <v>27</v>
      </c>
      <c r="K298">
        <v>12500</v>
      </c>
      <c r="L298" t="s">
        <v>31</v>
      </c>
      <c r="M298">
        <v>55.871696074050107</v>
      </c>
    </row>
    <row r="299" spans="1:13" hidden="1" x14ac:dyDescent="0.3">
      <c r="A299" t="s">
        <v>2189</v>
      </c>
      <c r="B299" t="s">
        <v>91</v>
      </c>
      <c r="C299" t="s">
        <v>105</v>
      </c>
      <c r="D299">
        <v>2002</v>
      </c>
      <c r="E299" t="s">
        <v>31</v>
      </c>
      <c r="F299" t="s">
        <v>109</v>
      </c>
      <c r="G299" t="s">
        <v>31</v>
      </c>
      <c r="H299" t="s">
        <v>27</v>
      </c>
      <c r="I299" t="s">
        <v>27</v>
      </c>
      <c r="J299" t="s">
        <v>27</v>
      </c>
      <c r="K299">
        <v>21500</v>
      </c>
      <c r="L299" t="s">
        <v>31</v>
      </c>
      <c r="M299">
        <v>55.871696074050107</v>
      </c>
    </row>
    <row r="300" spans="1:13" hidden="1" x14ac:dyDescent="0.3">
      <c r="A300" t="s">
        <v>2190</v>
      </c>
      <c r="B300" t="s">
        <v>51</v>
      </c>
      <c r="C300" t="s">
        <v>121</v>
      </c>
      <c r="D300">
        <v>2002</v>
      </c>
      <c r="E300" t="s">
        <v>31</v>
      </c>
      <c r="F300" t="s">
        <v>60</v>
      </c>
      <c r="G300" t="s">
        <v>31</v>
      </c>
      <c r="H300" t="s">
        <v>27</v>
      </c>
      <c r="I300" t="s">
        <v>27</v>
      </c>
      <c r="J300" t="s">
        <v>27</v>
      </c>
      <c r="K300">
        <v>800</v>
      </c>
      <c r="L300" t="s">
        <v>31</v>
      </c>
      <c r="M300">
        <v>55.871696074050107</v>
      </c>
    </row>
    <row r="301" spans="1:13" hidden="1" x14ac:dyDescent="0.3">
      <c r="A301" t="s">
        <v>2191</v>
      </c>
      <c r="B301" t="s">
        <v>28</v>
      </c>
      <c r="C301" t="s">
        <v>30</v>
      </c>
      <c r="D301">
        <v>2002</v>
      </c>
      <c r="E301">
        <v>100</v>
      </c>
      <c r="F301" t="s">
        <v>90</v>
      </c>
      <c r="G301" t="s">
        <v>31</v>
      </c>
      <c r="H301" t="s">
        <v>27</v>
      </c>
      <c r="I301" t="s">
        <v>27</v>
      </c>
      <c r="J301" t="s">
        <v>27</v>
      </c>
      <c r="K301">
        <v>1500</v>
      </c>
      <c r="L301">
        <v>179</v>
      </c>
      <c r="M301">
        <v>55.871696074050107</v>
      </c>
    </row>
    <row r="302" spans="1:13" hidden="1" x14ac:dyDescent="0.3">
      <c r="A302" t="s">
        <v>2192</v>
      </c>
      <c r="B302" t="s">
        <v>28</v>
      </c>
      <c r="C302" t="s">
        <v>30</v>
      </c>
      <c r="D302">
        <v>2002</v>
      </c>
      <c r="E302">
        <v>1000</v>
      </c>
      <c r="F302" t="s">
        <v>81</v>
      </c>
      <c r="G302" t="s">
        <v>31</v>
      </c>
      <c r="H302" t="s">
        <v>27</v>
      </c>
      <c r="I302" t="s">
        <v>27</v>
      </c>
      <c r="J302" t="s">
        <v>27</v>
      </c>
      <c r="K302">
        <v>300</v>
      </c>
      <c r="L302">
        <v>1790</v>
      </c>
      <c r="M302">
        <v>55.871696074050107</v>
      </c>
    </row>
    <row r="303" spans="1:13" hidden="1" x14ac:dyDescent="0.3">
      <c r="A303" t="s">
        <v>2193</v>
      </c>
      <c r="B303" t="s">
        <v>39</v>
      </c>
      <c r="C303" t="s">
        <v>157</v>
      </c>
      <c r="D303">
        <v>2002</v>
      </c>
      <c r="E303">
        <v>210000</v>
      </c>
      <c r="F303" t="s">
        <v>73</v>
      </c>
      <c r="G303" t="s">
        <v>31</v>
      </c>
      <c r="H303" t="s">
        <v>27</v>
      </c>
      <c r="I303" t="s">
        <v>27</v>
      </c>
      <c r="J303" t="s">
        <v>27</v>
      </c>
      <c r="K303" t="s">
        <v>31</v>
      </c>
      <c r="L303">
        <v>375861</v>
      </c>
      <c r="M303">
        <v>55.871696074050107</v>
      </c>
    </row>
    <row r="304" spans="1:13" hidden="1" x14ac:dyDescent="0.3">
      <c r="A304" t="s">
        <v>516</v>
      </c>
      <c r="B304" t="s">
        <v>51</v>
      </c>
      <c r="C304" t="s">
        <v>121</v>
      </c>
      <c r="D304">
        <v>2003</v>
      </c>
      <c r="E304" t="s">
        <v>31</v>
      </c>
      <c r="F304" t="s">
        <v>111</v>
      </c>
      <c r="G304" t="s">
        <v>31</v>
      </c>
      <c r="H304" t="s">
        <v>27</v>
      </c>
      <c r="I304" t="s">
        <v>27</v>
      </c>
      <c r="J304" t="s">
        <v>27</v>
      </c>
      <c r="K304">
        <v>6500</v>
      </c>
      <c r="L304" t="s">
        <v>31</v>
      </c>
      <c r="M304">
        <v>57.140035267041597</v>
      </c>
    </row>
    <row r="305" spans="1:13" hidden="1" x14ac:dyDescent="0.3">
      <c r="A305" t="s">
        <v>518</v>
      </c>
      <c r="B305" t="s">
        <v>51</v>
      </c>
      <c r="C305" t="s">
        <v>121</v>
      </c>
      <c r="D305">
        <v>2003</v>
      </c>
      <c r="E305">
        <v>106000</v>
      </c>
      <c r="F305" t="s">
        <v>34</v>
      </c>
      <c r="G305" t="s">
        <v>181</v>
      </c>
      <c r="H305" t="s">
        <v>27</v>
      </c>
      <c r="I305" t="s">
        <v>27</v>
      </c>
      <c r="J305" t="s">
        <v>27</v>
      </c>
      <c r="K305">
        <v>1200</v>
      </c>
      <c r="L305">
        <v>185509</v>
      </c>
      <c r="M305">
        <v>57.140035267041597</v>
      </c>
    </row>
    <row r="306" spans="1:13" hidden="1" x14ac:dyDescent="0.3">
      <c r="A306" t="s">
        <v>519</v>
      </c>
      <c r="B306" t="s">
        <v>28</v>
      </c>
      <c r="C306" t="s">
        <v>68</v>
      </c>
      <c r="D306">
        <v>2003</v>
      </c>
      <c r="E306" t="s">
        <v>31</v>
      </c>
      <c r="F306" t="s">
        <v>53</v>
      </c>
      <c r="G306" t="s">
        <v>355</v>
      </c>
      <c r="H306" t="s">
        <v>33</v>
      </c>
      <c r="I306" t="s">
        <v>27</v>
      </c>
      <c r="J306" t="s">
        <v>27</v>
      </c>
      <c r="K306">
        <v>1839888</v>
      </c>
      <c r="L306" t="s">
        <v>31</v>
      </c>
      <c r="M306">
        <v>57.140035267041597</v>
      </c>
    </row>
    <row r="307" spans="1:13" hidden="1" x14ac:dyDescent="0.3">
      <c r="A307" t="s">
        <v>520</v>
      </c>
      <c r="B307" t="s">
        <v>51</v>
      </c>
      <c r="C307" t="s">
        <v>56</v>
      </c>
      <c r="D307">
        <v>2003</v>
      </c>
      <c r="E307">
        <v>10000</v>
      </c>
      <c r="F307" t="s">
        <v>77</v>
      </c>
      <c r="G307" t="s">
        <v>31</v>
      </c>
      <c r="H307" t="s">
        <v>27</v>
      </c>
      <c r="I307" t="s">
        <v>27</v>
      </c>
      <c r="J307" t="s">
        <v>27</v>
      </c>
      <c r="K307">
        <v>400</v>
      </c>
      <c r="L307">
        <v>17501</v>
      </c>
      <c r="M307">
        <v>57.140035267041597</v>
      </c>
    </row>
    <row r="308" spans="1:13" hidden="1" x14ac:dyDescent="0.3">
      <c r="A308" t="s">
        <v>521</v>
      </c>
      <c r="B308" t="s">
        <v>28</v>
      </c>
      <c r="C308" t="s">
        <v>30</v>
      </c>
      <c r="D308">
        <v>2003</v>
      </c>
      <c r="E308">
        <v>100000</v>
      </c>
      <c r="F308" t="s">
        <v>73</v>
      </c>
      <c r="G308" t="s">
        <v>382</v>
      </c>
      <c r="H308" t="s">
        <v>27</v>
      </c>
      <c r="I308" t="s">
        <v>27</v>
      </c>
      <c r="J308" t="s">
        <v>27</v>
      </c>
      <c r="K308">
        <v>6000</v>
      </c>
      <c r="L308">
        <v>175009</v>
      </c>
      <c r="M308">
        <v>57.140035267041597</v>
      </c>
    </row>
    <row r="309" spans="1:13" hidden="1" x14ac:dyDescent="0.3">
      <c r="A309" t="s">
        <v>522</v>
      </c>
      <c r="B309" t="s">
        <v>51</v>
      </c>
      <c r="C309" t="s">
        <v>194</v>
      </c>
      <c r="D309">
        <v>2003</v>
      </c>
      <c r="E309" t="s">
        <v>31</v>
      </c>
      <c r="F309" t="s">
        <v>73</v>
      </c>
      <c r="G309" t="s">
        <v>31</v>
      </c>
      <c r="H309" t="s">
        <v>27</v>
      </c>
      <c r="I309" t="s">
        <v>27</v>
      </c>
      <c r="J309" t="s">
        <v>27</v>
      </c>
      <c r="K309">
        <v>50000</v>
      </c>
      <c r="L309" t="s">
        <v>31</v>
      </c>
      <c r="M309">
        <v>57.140035267041597</v>
      </c>
    </row>
    <row r="310" spans="1:13" hidden="1" x14ac:dyDescent="0.3">
      <c r="A310" t="s">
        <v>523</v>
      </c>
      <c r="B310" t="s">
        <v>51</v>
      </c>
      <c r="C310" t="s">
        <v>121</v>
      </c>
      <c r="D310">
        <v>2003</v>
      </c>
      <c r="E310">
        <v>15000</v>
      </c>
      <c r="F310" t="s">
        <v>77</v>
      </c>
      <c r="G310" t="s">
        <v>31</v>
      </c>
      <c r="H310" t="s">
        <v>27</v>
      </c>
      <c r="I310" t="s">
        <v>27</v>
      </c>
      <c r="J310" t="s">
        <v>33</v>
      </c>
      <c r="K310">
        <v>800</v>
      </c>
      <c r="L310">
        <v>26251</v>
      </c>
      <c r="M310">
        <v>57.140035267041597</v>
      </c>
    </row>
    <row r="311" spans="1:13" hidden="1" x14ac:dyDescent="0.3">
      <c r="A311" t="s">
        <v>524</v>
      </c>
      <c r="B311" t="s">
        <v>39</v>
      </c>
      <c r="C311" t="s">
        <v>41</v>
      </c>
      <c r="D311">
        <v>2003</v>
      </c>
      <c r="E311" t="s">
        <v>31</v>
      </c>
      <c r="F311" t="s">
        <v>73</v>
      </c>
      <c r="G311" t="s">
        <v>31</v>
      </c>
      <c r="H311" t="s">
        <v>27</v>
      </c>
      <c r="I311" t="s">
        <v>27</v>
      </c>
      <c r="J311" t="s">
        <v>27</v>
      </c>
      <c r="K311" t="s">
        <v>31</v>
      </c>
      <c r="L311" t="s">
        <v>31</v>
      </c>
      <c r="M311">
        <v>57.140035267041597</v>
      </c>
    </row>
    <row r="312" spans="1:13" hidden="1" x14ac:dyDescent="0.3">
      <c r="A312" t="s">
        <v>525</v>
      </c>
      <c r="B312" t="s">
        <v>91</v>
      </c>
      <c r="C312" t="s">
        <v>93</v>
      </c>
      <c r="D312">
        <v>2003</v>
      </c>
      <c r="E312" t="s">
        <v>31</v>
      </c>
      <c r="F312" t="s">
        <v>161</v>
      </c>
      <c r="G312" t="s">
        <v>31</v>
      </c>
      <c r="H312" t="s">
        <v>27</v>
      </c>
      <c r="I312" t="s">
        <v>27</v>
      </c>
      <c r="J312" t="s">
        <v>27</v>
      </c>
      <c r="K312">
        <v>135</v>
      </c>
      <c r="L312" t="s">
        <v>31</v>
      </c>
      <c r="M312">
        <v>57.140035267041597</v>
      </c>
    </row>
    <row r="313" spans="1:13" hidden="1" x14ac:dyDescent="0.3">
      <c r="A313" t="s">
        <v>526</v>
      </c>
      <c r="B313" t="s">
        <v>51</v>
      </c>
      <c r="C313" t="s">
        <v>56</v>
      </c>
      <c r="D313">
        <v>2003</v>
      </c>
      <c r="E313" t="s">
        <v>31</v>
      </c>
      <c r="F313" t="s">
        <v>34</v>
      </c>
      <c r="G313" t="s">
        <v>31</v>
      </c>
      <c r="H313" t="s">
        <v>27</v>
      </c>
      <c r="I313" t="s">
        <v>27</v>
      </c>
      <c r="J313" t="s">
        <v>33</v>
      </c>
      <c r="K313" t="s">
        <v>31</v>
      </c>
      <c r="L313" t="s">
        <v>31</v>
      </c>
      <c r="M313">
        <v>57.140035267041597</v>
      </c>
    </row>
    <row r="314" spans="1:13" x14ac:dyDescent="0.3">
      <c r="D314" s="2" t="s">
        <v>2572</v>
      </c>
      <c r="E314" s="2">
        <f>SUM(E116)</f>
        <v>45000</v>
      </c>
    </row>
    <row r="315" spans="1:13" x14ac:dyDescent="0.3">
      <c r="A315" t="s">
        <v>527</v>
      </c>
      <c r="B315" t="s">
        <v>51</v>
      </c>
      <c r="C315" t="s">
        <v>121</v>
      </c>
      <c r="D315">
        <v>2003</v>
      </c>
      <c r="E315">
        <v>303000</v>
      </c>
      <c r="F315" t="s">
        <v>119</v>
      </c>
      <c r="G315" t="s">
        <v>54</v>
      </c>
      <c r="H315" t="s">
        <v>33</v>
      </c>
      <c r="I315" t="s">
        <v>27</v>
      </c>
      <c r="J315" t="s">
        <v>27</v>
      </c>
      <c r="K315">
        <v>175470</v>
      </c>
      <c r="L315">
        <v>530276</v>
      </c>
      <c r="M315">
        <v>57.140035267041597</v>
      </c>
    </row>
    <row r="316" spans="1:13" hidden="1" x14ac:dyDescent="0.3">
      <c r="A316" t="s">
        <v>528</v>
      </c>
      <c r="B316" t="s">
        <v>28</v>
      </c>
      <c r="C316" t="s">
        <v>30</v>
      </c>
      <c r="D316">
        <v>2003</v>
      </c>
      <c r="E316" t="s">
        <v>31</v>
      </c>
      <c r="F316" t="s">
        <v>73</v>
      </c>
      <c r="G316" t="s">
        <v>181</v>
      </c>
      <c r="H316" t="s">
        <v>27</v>
      </c>
      <c r="I316" t="s">
        <v>27</v>
      </c>
      <c r="J316" t="s">
        <v>27</v>
      </c>
      <c r="K316">
        <v>3000</v>
      </c>
      <c r="L316" t="s">
        <v>31</v>
      </c>
      <c r="M316">
        <v>57.140035267041597</v>
      </c>
    </row>
    <row r="317" spans="1:13" hidden="1" x14ac:dyDescent="0.3">
      <c r="A317" t="s">
        <v>529</v>
      </c>
      <c r="B317" t="s">
        <v>51</v>
      </c>
      <c r="C317" t="s">
        <v>121</v>
      </c>
      <c r="D317">
        <v>2003</v>
      </c>
      <c r="E317" t="s">
        <v>31</v>
      </c>
      <c r="F317" t="s">
        <v>73</v>
      </c>
      <c r="G317" t="s">
        <v>530</v>
      </c>
      <c r="H317" t="s">
        <v>27</v>
      </c>
      <c r="I317" t="s">
        <v>27</v>
      </c>
      <c r="J317" t="s">
        <v>27</v>
      </c>
      <c r="K317">
        <v>3050</v>
      </c>
      <c r="L317" t="s">
        <v>31</v>
      </c>
      <c r="M317">
        <v>57.140035267041597</v>
      </c>
    </row>
    <row r="318" spans="1:13" hidden="1" x14ac:dyDescent="0.3">
      <c r="A318" t="s">
        <v>531</v>
      </c>
      <c r="B318" t="s">
        <v>51</v>
      </c>
      <c r="C318" t="s">
        <v>121</v>
      </c>
      <c r="D318">
        <v>2003</v>
      </c>
      <c r="E318" t="s">
        <v>31</v>
      </c>
      <c r="F318" t="s">
        <v>119</v>
      </c>
      <c r="G318" t="s">
        <v>54</v>
      </c>
      <c r="H318" t="s">
        <v>27</v>
      </c>
      <c r="I318" t="s">
        <v>27</v>
      </c>
      <c r="J318" t="s">
        <v>27</v>
      </c>
      <c r="K318">
        <v>16000</v>
      </c>
      <c r="L318" t="s">
        <v>31</v>
      </c>
      <c r="M318">
        <v>57.140035267041597</v>
      </c>
    </row>
    <row r="319" spans="1:13" hidden="1" x14ac:dyDescent="0.3">
      <c r="A319" t="s">
        <v>532</v>
      </c>
      <c r="B319" t="s">
        <v>51</v>
      </c>
      <c r="C319" t="s">
        <v>121</v>
      </c>
      <c r="D319">
        <v>2003</v>
      </c>
      <c r="E319" t="s">
        <v>31</v>
      </c>
      <c r="F319" t="s">
        <v>242</v>
      </c>
      <c r="G319" t="s">
        <v>31</v>
      </c>
      <c r="H319" t="s">
        <v>27</v>
      </c>
      <c r="I319" t="s">
        <v>27</v>
      </c>
      <c r="J319" t="s">
        <v>27</v>
      </c>
      <c r="K319">
        <v>600</v>
      </c>
      <c r="L319" t="s">
        <v>31</v>
      </c>
      <c r="M319">
        <v>57.140035267041597</v>
      </c>
    </row>
    <row r="320" spans="1:13" hidden="1" x14ac:dyDescent="0.3">
      <c r="A320" t="s">
        <v>533</v>
      </c>
      <c r="B320" t="s">
        <v>51</v>
      </c>
      <c r="C320" t="s">
        <v>121</v>
      </c>
      <c r="D320">
        <v>2003</v>
      </c>
      <c r="E320" t="s">
        <v>31</v>
      </c>
      <c r="F320" t="s">
        <v>109</v>
      </c>
      <c r="G320" t="s">
        <v>31</v>
      </c>
      <c r="H320" t="s">
        <v>27</v>
      </c>
      <c r="I320" t="s">
        <v>27</v>
      </c>
      <c r="J320" t="s">
        <v>27</v>
      </c>
      <c r="K320">
        <v>7905</v>
      </c>
      <c r="L320" t="s">
        <v>31</v>
      </c>
      <c r="M320">
        <v>57.140035267041597</v>
      </c>
    </row>
    <row r="321" spans="1:13" hidden="1" x14ac:dyDescent="0.3">
      <c r="A321" t="s">
        <v>534</v>
      </c>
      <c r="B321" t="s">
        <v>51</v>
      </c>
      <c r="C321" t="s">
        <v>121</v>
      </c>
      <c r="D321">
        <v>2003</v>
      </c>
      <c r="E321" t="s">
        <v>31</v>
      </c>
      <c r="F321" t="s">
        <v>166</v>
      </c>
      <c r="G321" t="s">
        <v>405</v>
      </c>
      <c r="H321" t="s">
        <v>27</v>
      </c>
      <c r="I321" t="s">
        <v>27</v>
      </c>
      <c r="J321" t="s">
        <v>27</v>
      </c>
      <c r="K321">
        <v>1000</v>
      </c>
      <c r="L321" t="s">
        <v>31</v>
      </c>
      <c r="M321">
        <v>57.140035267041597</v>
      </c>
    </row>
    <row r="322" spans="1:13" hidden="1" x14ac:dyDescent="0.3">
      <c r="A322" t="s">
        <v>535</v>
      </c>
      <c r="B322" t="s">
        <v>39</v>
      </c>
      <c r="C322" t="s">
        <v>41</v>
      </c>
      <c r="D322">
        <v>2003</v>
      </c>
      <c r="E322">
        <v>3500000</v>
      </c>
      <c r="F322" t="s">
        <v>34</v>
      </c>
      <c r="G322" t="s">
        <v>31</v>
      </c>
      <c r="H322" t="s">
        <v>27</v>
      </c>
      <c r="I322" t="s">
        <v>27</v>
      </c>
      <c r="J322" t="s">
        <v>27</v>
      </c>
      <c r="K322">
        <v>40</v>
      </c>
      <c r="L322">
        <v>6125302</v>
      </c>
      <c r="M322">
        <v>57.140035267041597</v>
      </c>
    </row>
    <row r="323" spans="1:13" hidden="1" x14ac:dyDescent="0.3">
      <c r="A323" t="s">
        <v>537</v>
      </c>
      <c r="B323" t="s">
        <v>28</v>
      </c>
      <c r="C323" t="s">
        <v>189</v>
      </c>
      <c r="D323">
        <v>2003</v>
      </c>
      <c r="E323">
        <v>2100000</v>
      </c>
      <c r="F323" t="s">
        <v>34</v>
      </c>
      <c r="G323" t="s">
        <v>538</v>
      </c>
      <c r="H323" t="s">
        <v>27</v>
      </c>
      <c r="I323" t="s">
        <v>27</v>
      </c>
      <c r="J323" t="s">
        <v>27</v>
      </c>
      <c r="K323" t="s">
        <v>31</v>
      </c>
      <c r="L323">
        <v>3675181</v>
      </c>
      <c r="M323">
        <v>57.140035267041597</v>
      </c>
    </row>
    <row r="324" spans="1:13" hidden="1" x14ac:dyDescent="0.3">
      <c r="A324" t="s">
        <v>539</v>
      </c>
      <c r="B324" t="s">
        <v>39</v>
      </c>
      <c r="C324" t="s">
        <v>157</v>
      </c>
      <c r="D324">
        <v>2003</v>
      </c>
      <c r="E324">
        <v>120000</v>
      </c>
      <c r="F324" t="s">
        <v>130</v>
      </c>
      <c r="G324" t="s">
        <v>31</v>
      </c>
      <c r="H324" t="s">
        <v>27</v>
      </c>
      <c r="I324" t="s">
        <v>27</v>
      </c>
      <c r="J324" t="s">
        <v>27</v>
      </c>
      <c r="K324" t="s">
        <v>31</v>
      </c>
      <c r="L324">
        <v>210010</v>
      </c>
      <c r="M324">
        <v>57.140035267041597</v>
      </c>
    </row>
    <row r="325" spans="1:13" hidden="1" x14ac:dyDescent="0.3">
      <c r="A325" t="s">
        <v>896</v>
      </c>
      <c r="B325" t="s">
        <v>51</v>
      </c>
      <c r="C325" t="s">
        <v>121</v>
      </c>
      <c r="D325">
        <v>2003</v>
      </c>
      <c r="E325" t="s">
        <v>31</v>
      </c>
      <c r="F325" t="s">
        <v>119</v>
      </c>
      <c r="G325" t="s">
        <v>54</v>
      </c>
      <c r="H325" t="s">
        <v>33</v>
      </c>
      <c r="I325" t="s">
        <v>27</v>
      </c>
      <c r="J325" t="s">
        <v>33</v>
      </c>
      <c r="K325">
        <v>10511</v>
      </c>
      <c r="L325" t="s">
        <v>31</v>
      </c>
      <c r="M325">
        <v>57.140035267041597</v>
      </c>
    </row>
    <row r="326" spans="1:13" hidden="1" x14ac:dyDescent="0.3">
      <c r="A326" t="s">
        <v>897</v>
      </c>
      <c r="B326" t="s">
        <v>28</v>
      </c>
      <c r="C326" t="s">
        <v>67</v>
      </c>
      <c r="D326">
        <v>2003</v>
      </c>
      <c r="E326">
        <v>25000</v>
      </c>
      <c r="F326" t="s">
        <v>34</v>
      </c>
      <c r="G326" t="s">
        <v>290</v>
      </c>
      <c r="H326" t="s">
        <v>27</v>
      </c>
      <c r="I326" t="s">
        <v>27</v>
      </c>
      <c r="J326" t="s">
        <v>27</v>
      </c>
      <c r="K326" t="s">
        <v>31</v>
      </c>
      <c r="L326">
        <v>43752</v>
      </c>
      <c r="M326">
        <v>57.140035267041597</v>
      </c>
    </row>
    <row r="327" spans="1:13" hidden="1" x14ac:dyDescent="0.3">
      <c r="A327" t="s">
        <v>898</v>
      </c>
      <c r="B327" t="s">
        <v>51</v>
      </c>
      <c r="C327" t="s">
        <v>121</v>
      </c>
      <c r="D327">
        <v>2003</v>
      </c>
      <c r="E327" t="s">
        <v>31</v>
      </c>
      <c r="F327" t="s">
        <v>130</v>
      </c>
      <c r="G327" t="s">
        <v>31</v>
      </c>
      <c r="H327" t="s">
        <v>27</v>
      </c>
      <c r="I327" t="s">
        <v>27</v>
      </c>
      <c r="J327" t="s">
        <v>27</v>
      </c>
      <c r="K327">
        <v>3000</v>
      </c>
      <c r="L327" t="s">
        <v>31</v>
      </c>
      <c r="M327">
        <v>57.140035267041597</v>
      </c>
    </row>
    <row r="328" spans="1:13" hidden="1" x14ac:dyDescent="0.3">
      <c r="A328" t="s">
        <v>899</v>
      </c>
      <c r="B328" t="s">
        <v>51</v>
      </c>
      <c r="C328" t="s">
        <v>134</v>
      </c>
      <c r="D328">
        <v>2003</v>
      </c>
      <c r="E328" t="s">
        <v>31</v>
      </c>
      <c r="F328" t="s">
        <v>111</v>
      </c>
      <c r="G328" t="s">
        <v>31</v>
      </c>
      <c r="H328" t="s">
        <v>33</v>
      </c>
      <c r="I328" t="s">
        <v>33</v>
      </c>
      <c r="J328" t="s">
        <v>33</v>
      </c>
      <c r="K328">
        <v>1001</v>
      </c>
      <c r="L328" t="s">
        <v>31</v>
      </c>
      <c r="M328">
        <v>57.140035267041597</v>
      </c>
    </row>
    <row r="329" spans="1:13" hidden="1" x14ac:dyDescent="0.3">
      <c r="A329" t="s">
        <v>900</v>
      </c>
      <c r="B329" t="s">
        <v>51</v>
      </c>
      <c r="C329" t="s">
        <v>121</v>
      </c>
      <c r="D329">
        <v>2003</v>
      </c>
      <c r="E329">
        <v>1028210</v>
      </c>
      <c r="F329" t="s">
        <v>130</v>
      </c>
      <c r="G329" t="s">
        <v>31</v>
      </c>
      <c r="H329" t="s">
        <v>33</v>
      </c>
      <c r="I329" t="s">
        <v>27</v>
      </c>
      <c r="J329" t="s">
        <v>33</v>
      </c>
      <c r="K329">
        <v>160000</v>
      </c>
      <c r="L329">
        <v>1799456</v>
      </c>
      <c r="M329">
        <v>57.140035267041597</v>
      </c>
    </row>
    <row r="330" spans="1:13" hidden="1" x14ac:dyDescent="0.3">
      <c r="A330" t="s">
        <v>901</v>
      </c>
      <c r="B330" t="s">
        <v>51</v>
      </c>
      <c r="C330" t="s">
        <v>121</v>
      </c>
      <c r="D330">
        <v>2003</v>
      </c>
      <c r="E330">
        <v>2100</v>
      </c>
      <c r="F330" t="s">
        <v>75</v>
      </c>
      <c r="G330" t="s">
        <v>31</v>
      </c>
      <c r="H330" t="s">
        <v>27</v>
      </c>
      <c r="I330" t="s">
        <v>27</v>
      </c>
      <c r="J330" t="s">
        <v>27</v>
      </c>
      <c r="K330">
        <v>460</v>
      </c>
      <c r="L330">
        <v>3675</v>
      </c>
      <c r="M330">
        <v>57.140035267041597</v>
      </c>
    </row>
    <row r="331" spans="1:13" hidden="1" x14ac:dyDescent="0.3">
      <c r="A331" t="s">
        <v>902</v>
      </c>
      <c r="B331" t="s">
        <v>51</v>
      </c>
      <c r="C331" t="s">
        <v>121</v>
      </c>
      <c r="D331">
        <v>2003</v>
      </c>
      <c r="E331" t="s">
        <v>31</v>
      </c>
      <c r="F331" t="s">
        <v>47</v>
      </c>
      <c r="G331" t="s">
        <v>54</v>
      </c>
      <c r="H331" t="s">
        <v>27</v>
      </c>
      <c r="I331" t="s">
        <v>27</v>
      </c>
      <c r="J331" t="s">
        <v>27</v>
      </c>
      <c r="K331">
        <v>4000</v>
      </c>
      <c r="L331" t="s">
        <v>31</v>
      </c>
      <c r="M331">
        <v>57.140035267041597</v>
      </c>
    </row>
    <row r="332" spans="1:13" hidden="1" x14ac:dyDescent="0.3">
      <c r="A332" t="s">
        <v>903</v>
      </c>
      <c r="B332" t="s">
        <v>91</v>
      </c>
      <c r="C332" t="s">
        <v>105</v>
      </c>
      <c r="D332">
        <v>2003</v>
      </c>
      <c r="E332" t="s">
        <v>31</v>
      </c>
      <c r="F332" t="s">
        <v>109</v>
      </c>
      <c r="G332" t="s">
        <v>176</v>
      </c>
      <c r="H332" t="s">
        <v>27</v>
      </c>
      <c r="I332" t="s">
        <v>27</v>
      </c>
      <c r="J332" t="s">
        <v>33</v>
      </c>
      <c r="K332">
        <v>25000</v>
      </c>
      <c r="L332" t="s">
        <v>31</v>
      </c>
      <c r="M332">
        <v>57.140035267041597</v>
      </c>
    </row>
    <row r="333" spans="1:13" hidden="1" x14ac:dyDescent="0.3">
      <c r="A333" t="s">
        <v>904</v>
      </c>
      <c r="B333" t="s">
        <v>91</v>
      </c>
      <c r="C333" t="s">
        <v>93</v>
      </c>
      <c r="D333">
        <v>2003</v>
      </c>
      <c r="E333" t="s">
        <v>31</v>
      </c>
      <c r="F333" t="s">
        <v>75</v>
      </c>
      <c r="G333" t="s">
        <v>54</v>
      </c>
      <c r="H333" t="s">
        <v>27</v>
      </c>
      <c r="I333" t="s">
        <v>27</v>
      </c>
      <c r="J333" t="s">
        <v>27</v>
      </c>
      <c r="K333">
        <v>2015</v>
      </c>
      <c r="L333" t="s">
        <v>31</v>
      </c>
      <c r="M333">
        <v>57.140035267041597</v>
      </c>
    </row>
    <row r="334" spans="1:13" hidden="1" x14ac:dyDescent="0.3">
      <c r="A334" t="s">
        <v>905</v>
      </c>
      <c r="B334" t="s">
        <v>28</v>
      </c>
      <c r="C334" t="s">
        <v>189</v>
      </c>
      <c r="D334">
        <v>2003</v>
      </c>
      <c r="E334" t="s">
        <v>31</v>
      </c>
      <c r="F334" t="s">
        <v>45</v>
      </c>
      <c r="G334" t="s">
        <v>54</v>
      </c>
      <c r="H334" t="s">
        <v>27</v>
      </c>
      <c r="I334" t="s">
        <v>27</v>
      </c>
      <c r="J334" t="s">
        <v>27</v>
      </c>
      <c r="K334">
        <v>155</v>
      </c>
      <c r="L334" t="s">
        <v>31</v>
      </c>
      <c r="M334">
        <v>57.140035267041597</v>
      </c>
    </row>
    <row r="335" spans="1:13" hidden="1" x14ac:dyDescent="0.3">
      <c r="A335" t="s">
        <v>906</v>
      </c>
      <c r="B335" t="s">
        <v>51</v>
      </c>
      <c r="C335" t="s">
        <v>121</v>
      </c>
      <c r="D335">
        <v>2003</v>
      </c>
      <c r="E335" t="s">
        <v>31</v>
      </c>
      <c r="F335" t="s">
        <v>34</v>
      </c>
      <c r="G335" t="s">
        <v>31</v>
      </c>
      <c r="H335" t="s">
        <v>27</v>
      </c>
      <c r="I335" t="s">
        <v>27</v>
      </c>
      <c r="J335" t="s">
        <v>27</v>
      </c>
      <c r="K335" t="s">
        <v>31</v>
      </c>
      <c r="L335" t="s">
        <v>31</v>
      </c>
      <c r="M335">
        <v>57.140035267041597</v>
      </c>
    </row>
    <row r="336" spans="1:13" hidden="1" x14ac:dyDescent="0.3">
      <c r="A336" t="s">
        <v>907</v>
      </c>
      <c r="B336" t="s">
        <v>28</v>
      </c>
      <c r="C336" t="s">
        <v>189</v>
      </c>
      <c r="D336">
        <v>2003</v>
      </c>
      <c r="E336" t="s">
        <v>31</v>
      </c>
      <c r="F336" t="s">
        <v>34</v>
      </c>
      <c r="G336" t="s">
        <v>82</v>
      </c>
      <c r="H336" t="s">
        <v>27</v>
      </c>
      <c r="I336" t="s">
        <v>27</v>
      </c>
      <c r="J336" t="s">
        <v>27</v>
      </c>
      <c r="K336">
        <v>1125</v>
      </c>
      <c r="L336" t="s">
        <v>31</v>
      </c>
      <c r="M336">
        <v>57.140035267041597</v>
      </c>
    </row>
    <row r="337" spans="1:13" hidden="1" x14ac:dyDescent="0.3">
      <c r="A337" t="s">
        <v>908</v>
      </c>
      <c r="B337" t="s">
        <v>28</v>
      </c>
      <c r="C337" t="s">
        <v>30</v>
      </c>
      <c r="D337">
        <v>2003</v>
      </c>
      <c r="E337" t="s">
        <v>31</v>
      </c>
      <c r="F337" t="s">
        <v>62</v>
      </c>
      <c r="G337" t="s">
        <v>37</v>
      </c>
      <c r="H337" t="s">
        <v>27</v>
      </c>
      <c r="I337" t="s">
        <v>27</v>
      </c>
      <c r="J337" t="s">
        <v>27</v>
      </c>
      <c r="K337">
        <v>100</v>
      </c>
      <c r="L337" t="s">
        <v>31</v>
      </c>
      <c r="M337">
        <v>57.140035267041597</v>
      </c>
    </row>
    <row r="338" spans="1:13" hidden="1" x14ac:dyDescent="0.3">
      <c r="A338" t="s">
        <v>909</v>
      </c>
      <c r="B338" t="s">
        <v>28</v>
      </c>
      <c r="C338" t="s">
        <v>68</v>
      </c>
      <c r="D338">
        <v>2003</v>
      </c>
      <c r="E338" t="s">
        <v>31</v>
      </c>
      <c r="F338" t="s">
        <v>73</v>
      </c>
      <c r="G338" t="s">
        <v>31</v>
      </c>
      <c r="H338" t="s">
        <v>27</v>
      </c>
      <c r="I338" t="s">
        <v>27</v>
      </c>
      <c r="J338" t="s">
        <v>33</v>
      </c>
      <c r="K338" t="s">
        <v>31</v>
      </c>
      <c r="L338" t="s">
        <v>31</v>
      </c>
      <c r="M338">
        <v>57.140035267041597</v>
      </c>
    </row>
    <row r="339" spans="1:13" hidden="1" x14ac:dyDescent="0.3">
      <c r="A339" t="s">
        <v>910</v>
      </c>
      <c r="B339" t="s">
        <v>51</v>
      </c>
      <c r="C339" t="s">
        <v>121</v>
      </c>
      <c r="D339">
        <v>2003</v>
      </c>
      <c r="E339" t="s">
        <v>31</v>
      </c>
      <c r="F339" t="s">
        <v>45</v>
      </c>
      <c r="G339" t="s">
        <v>31</v>
      </c>
      <c r="H339" t="s">
        <v>27</v>
      </c>
      <c r="I339" t="s">
        <v>27</v>
      </c>
      <c r="J339" t="s">
        <v>27</v>
      </c>
      <c r="K339">
        <v>320</v>
      </c>
      <c r="L339" t="s">
        <v>31</v>
      </c>
      <c r="M339">
        <v>57.140035267041597</v>
      </c>
    </row>
    <row r="340" spans="1:13" hidden="1" x14ac:dyDescent="0.3">
      <c r="A340" t="s">
        <v>911</v>
      </c>
      <c r="B340" t="s">
        <v>39</v>
      </c>
      <c r="C340" t="s">
        <v>41</v>
      </c>
      <c r="D340">
        <v>2003</v>
      </c>
      <c r="E340" t="s">
        <v>31</v>
      </c>
      <c r="F340" t="s">
        <v>90</v>
      </c>
      <c r="G340" t="s">
        <v>31</v>
      </c>
      <c r="H340" t="s">
        <v>27</v>
      </c>
      <c r="I340" t="s">
        <v>27</v>
      </c>
      <c r="J340" t="s">
        <v>33</v>
      </c>
      <c r="K340" t="s">
        <v>31</v>
      </c>
      <c r="L340" t="s">
        <v>31</v>
      </c>
      <c r="M340">
        <v>57.140035267041597</v>
      </c>
    </row>
    <row r="341" spans="1:13" hidden="1" x14ac:dyDescent="0.3">
      <c r="A341" t="s">
        <v>912</v>
      </c>
      <c r="B341" t="s">
        <v>51</v>
      </c>
      <c r="C341" t="s">
        <v>121</v>
      </c>
      <c r="D341">
        <v>2003</v>
      </c>
      <c r="E341">
        <v>20000</v>
      </c>
      <c r="F341" t="s">
        <v>49</v>
      </c>
      <c r="G341" t="s">
        <v>31</v>
      </c>
      <c r="H341" t="s">
        <v>27</v>
      </c>
      <c r="I341" t="s">
        <v>27</v>
      </c>
      <c r="J341" t="s">
        <v>27</v>
      </c>
      <c r="K341">
        <v>3000</v>
      </c>
      <c r="L341">
        <v>35002</v>
      </c>
      <c r="M341">
        <v>57.140035267041597</v>
      </c>
    </row>
    <row r="342" spans="1:13" hidden="1" x14ac:dyDescent="0.3">
      <c r="A342" t="s">
        <v>913</v>
      </c>
      <c r="B342" t="s">
        <v>51</v>
      </c>
      <c r="C342" t="s">
        <v>56</v>
      </c>
      <c r="D342">
        <v>2003</v>
      </c>
      <c r="E342" t="s">
        <v>31</v>
      </c>
      <c r="F342" t="s">
        <v>73</v>
      </c>
      <c r="G342" t="s">
        <v>31</v>
      </c>
      <c r="H342" t="s">
        <v>27</v>
      </c>
      <c r="I342" t="s">
        <v>27</v>
      </c>
      <c r="J342" t="s">
        <v>27</v>
      </c>
      <c r="K342">
        <v>800</v>
      </c>
      <c r="L342" t="s">
        <v>31</v>
      </c>
      <c r="M342">
        <v>57.140035267041597</v>
      </c>
    </row>
    <row r="343" spans="1:13" hidden="1" x14ac:dyDescent="0.3">
      <c r="A343" t="s">
        <v>914</v>
      </c>
      <c r="B343" t="s">
        <v>51</v>
      </c>
      <c r="C343" t="s">
        <v>121</v>
      </c>
      <c r="D343">
        <v>2003</v>
      </c>
      <c r="E343" t="s">
        <v>31</v>
      </c>
      <c r="F343" t="s">
        <v>70</v>
      </c>
      <c r="G343" t="s">
        <v>54</v>
      </c>
      <c r="H343" t="s">
        <v>27</v>
      </c>
      <c r="I343" t="s">
        <v>27</v>
      </c>
      <c r="J343" t="s">
        <v>27</v>
      </c>
      <c r="K343">
        <v>450</v>
      </c>
      <c r="L343" t="s">
        <v>31</v>
      </c>
      <c r="M343">
        <v>57.140035267041597</v>
      </c>
    </row>
    <row r="344" spans="1:13" hidden="1" x14ac:dyDescent="0.3">
      <c r="A344" t="s">
        <v>915</v>
      </c>
      <c r="B344" t="s">
        <v>51</v>
      </c>
      <c r="C344" t="s">
        <v>121</v>
      </c>
      <c r="D344">
        <v>2003</v>
      </c>
      <c r="E344" t="s">
        <v>31</v>
      </c>
      <c r="F344" t="s">
        <v>47</v>
      </c>
      <c r="G344" t="s">
        <v>54</v>
      </c>
      <c r="H344" t="s">
        <v>27</v>
      </c>
      <c r="I344" t="s">
        <v>27</v>
      </c>
      <c r="J344" t="s">
        <v>27</v>
      </c>
      <c r="K344" t="s">
        <v>31</v>
      </c>
      <c r="L344" t="s">
        <v>31</v>
      </c>
      <c r="M344">
        <v>57.140035267041597</v>
      </c>
    </row>
    <row r="345" spans="1:13" hidden="1" x14ac:dyDescent="0.3">
      <c r="A345" t="s">
        <v>916</v>
      </c>
      <c r="B345" t="s">
        <v>39</v>
      </c>
      <c r="C345" t="s">
        <v>157</v>
      </c>
      <c r="D345">
        <v>2003</v>
      </c>
      <c r="E345" t="s">
        <v>31</v>
      </c>
      <c r="F345" t="s">
        <v>45</v>
      </c>
      <c r="G345" t="s">
        <v>196</v>
      </c>
      <c r="H345" t="s">
        <v>27</v>
      </c>
      <c r="I345" t="s">
        <v>27</v>
      </c>
      <c r="J345" t="s">
        <v>27</v>
      </c>
      <c r="K345">
        <v>35000</v>
      </c>
      <c r="L345" t="s">
        <v>31</v>
      </c>
      <c r="M345">
        <v>57.140035267041597</v>
      </c>
    </row>
    <row r="346" spans="1:13" hidden="1" x14ac:dyDescent="0.3">
      <c r="A346" t="s">
        <v>1475</v>
      </c>
      <c r="B346" t="s">
        <v>28</v>
      </c>
      <c r="C346" t="s">
        <v>67</v>
      </c>
      <c r="D346">
        <v>2003</v>
      </c>
      <c r="E346">
        <v>200000</v>
      </c>
      <c r="F346" t="s">
        <v>34</v>
      </c>
      <c r="G346" t="s">
        <v>31</v>
      </c>
      <c r="H346" t="s">
        <v>27</v>
      </c>
      <c r="I346" t="s">
        <v>27</v>
      </c>
      <c r="J346" t="s">
        <v>33</v>
      </c>
      <c r="K346">
        <v>120</v>
      </c>
      <c r="L346">
        <v>350017</v>
      </c>
      <c r="M346">
        <v>57.140035267041597</v>
      </c>
    </row>
    <row r="347" spans="1:13" hidden="1" x14ac:dyDescent="0.3">
      <c r="A347" t="s">
        <v>1480</v>
      </c>
      <c r="B347" t="s">
        <v>51</v>
      </c>
      <c r="C347" t="s">
        <v>121</v>
      </c>
      <c r="D347">
        <v>2003</v>
      </c>
      <c r="E347" t="s">
        <v>31</v>
      </c>
      <c r="F347" t="s">
        <v>77</v>
      </c>
      <c r="G347" t="s">
        <v>31</v>
      </c>
      <c r="H347" t="s">
        <v>27</v>
      </c>
      <c r="I347" t="s">
        <v>27</v>
      </c>
      <c r="J347" t="s">
        <v>33</v>
      </c>
      <c r="K347">
        <v>1100</v>
      </c>
      <c r="L347" t="s">
        <v>31</v>
      </c>
      <c r="M347">
        <v>57.140035267041597</v>
      </c>
    </row>
    <row r="348" spans="1:13" hidden="1" x14ac:dyDescent="0.3">
      <c r="A348" t="s">
        <v>1481</v>
      </c>
      <c r="B348" t="s">
        <v>51</v>
      </c>
      <c r="C348" t="s">
        <v>121</v>
      </c>
      <c r="D348">
        <v>2003</v>
      </c>
      <c r="E348" t="s">
        <v>31</v>
      </c>
      <c r="F348" t="s">
        <v>53</v>
      </c>
      <c r="G348" t="s">
        <v>54</v>
      </c>
      <c r="H348" t="s">
        <v>33</v>
      </c>
      <c r="I348" t="s">
        <v>27</v>
      </c>
      <c r="J348" t="s">
        <v>33</v>
      </c>
      <c r="K348">
        <v>60012</v>
      </c>
      <c r="L348" t="s">
        <v>31</v>
      </c>
      <c r="M348">
        <v>57.140035267041597</v>
      </c>
    </row>
    <row r="349" spans="1:13" hidden="1" x14ac:dyDescent="0.3">
      <c r="A349" t="s">
        <v>1482</v>
      </c>
      <c r="B349" t="s">
        <v>51</v>
      </c>
      <c r="C349" t="s">
        <v>150</v>
      </c>
      <c r="D349">
        <v>2003</v>
      </c>
      <c r="E349" t="s">
        <v>31</v>
      </c>
      <c r="F349" t="s">
        <v>47</v>
      </c>
      <c r="G349" t="s">
        <v>31</v>
      </c>
      <c r="H349" t="s">
        <v>27</v>
      </c>
      <c r="I349" t="s">
        <v>27</v>
      </c>
      <c r="J349" t="s">
        <v>27</v>
      </c>
      <c r="K349">
        <v>779</v>
      </c>
      <c r="L349" t="s">
        <v>31</v>
      </c>
      <c r="M349">
        <v>57.140035267041597</v>
      </c>
    </row>
    <row r="350" spans="1:13" hidden="1" x14ac:dyDescent="0.3">
      <c r="A350" t="s">
        <v>1483</v>
      </c>
      <c r="B350" t="s">
        <v>28</v>
      </c>
      <c r="C350" t="s">
        <v>97</v>
      </c>
      <c r="D350">
        <v>2003</v>
      </c>
      <c r="E350">
        <v>5000000</v>
      </c>
      <c r="F350" t="s">
        <v>34</v>
      </c>
      <c r="G350" t="s">
        <v>100</v>
      </c>
      <c r="H350" t="s">
        <v>27</v>
      </c>
      <c r="I350" t="s">
        <v>27</v>
      </c>
      <c r="J350" t="s">
        <v>27</v>
      </c>
      <c r="K350">
        <v>386</v>
      </c>
      <c r="L350">
        <v>8750432</v>
      </c>
      <c r="M350">
        <v>57.140035267041597</v>
      </c>
    </row>
    <row r="351" spans="1:13" hidden="1" x14ac:dyDescent="0.3">
      <c r="A351" t="s">
        <v>1484</v>
      </c>
      <c r="B351" t="s">
        <v>51</v>
      </c>
      <c r="C351" t="s">
        <v>134</v>
      </c>
      <c r="D351">
        <v>2003</v>
      </c>
      <c r="E351" t="s">
        <v>31</v>
      </c>
      <c r="F351" t="s">
        <v>90</v>
      </c>
      <c r="G351" t="s">
        <v>31</v>
      </c>
      <c r="H351" t="s">
        <v>27</v>
      </c>
      <c r="I351" t="s">
        <v>27</v>
      </c>
      <c r="J351" t="s">
        <v>27</v>
      </c>
      <c r="K351">
        <v>220</v>
      </c>
      <c r="L351" t="s">
        <v>31</v>
      </c>
      <c r="M351">
        <v>57.140035267041597</v>
      </c>
    </row>
    <row r="352" spans="1:13" hidden="1" x14ac:dyDescent="0.3">
      <c r="A352" t="s">
        <v>1485</v>
      </c>
      <c r="B352" t="s">
        <v>51</v>
      </c>
      <c r="C352" t="s">
        <v>121</v>
      </c>
      <c r="D352">
        <v>2003</v>
      </c>
      <c r="E352">
        <v>10000</v>
      </c>
      <c r="F352" t="s">
        <v>77</v>
      </c>
      <c r="G352" t="s">
        <v>31</v>
      </c>
      <c r="H352" t="s">
        <v>27</v>
      </c>
      <c r="I352" t="s">
        <v>27</v>
      </c>
      <c r="J352" t="s">
        <v>27</v>
      </c>
      <c r="K352">
        <v>170</v>
      </c>
      <c r="L352">
        <v>17501</v>
      </c>
      <c r="M352">
        <v>57.140035267041597</v>
      </c>
    </row>
    <row r="353" spans="1:13" hidden="1" x14ac:dyDescent="0.3">
      <c r="A353" t="s">
        <v>1486</v>
      </c>
      <c r="B353" t="s">
        <v>28</v>
      </c>
      <c r="C353" t="s">
        <v>97</v>
      </c>
      <c r="D353">
        <v>2003</v>
      </c>
      <c r="E353" t="s">
        <v>31</v>
      </c>
      <c r="F353" t="s">
        <v>34</v>
      </c>
      <c r="G353" t="s">
        <v>31</v>
      </c>
      <c r="H353" t="s">
        <v>27</v>
      </c>
      <c r="I353" t="s">
        <v>27</v>
      </c>
      <c r="J353" t="s">
        <v>27</v>
      </c>
      <c r="K353">
        <v>1500</v>
      </c>
      <c r="L353" t="s">
        <v>31</v>
      </c>
      <c r="M353">
        <v>57.140035267041597</v>
      </c>
    </row>
    <row r="354" spans="1:13" hidden="1" x14ac:dyDescent="0.3">
      <c r="A354" t="s">
        <v>1487</v>
      </c>
      <c r="B354" t="s">
        <v>39</v>
      </c>
      <c r="C354" t="s">
        <v>41</v>
      </c>
      <c r="D354">
        <v>2003</v>
      </c>
      <c r="E354" t="s">
        <v>31</v>
      </c>
      <c r="F354" t="s">
        <v>34</v>
      </c>
      <c r="G354" t="s">
        <v>31</v>
      </c>
      <c r="H354" t="s">
        <v>27</v>
      </c>
      <c r="I354" t="s">
        <v>27</v>
      </c>
      <c r="J354" t="s">
        <v>27</v>
      </c>
      <c r="K354">
        <v>750</v>
      </c>
      <c r="L354" t="s">
        <v>31</v>
      </c>
      <c r="M354">
        <v>57.140035267041597</v>
      </c>
    </row>
    <row r="355" spans="1:13" hidden="1" x14ac:dyDescent="0.3">
      <c r="A355" t="s">
        <v>1488</v>
      </c>
      <c r="B355" t="s">
        <v>39</v>
      </c>
      <c r="C355" t="s">
        <v>41</v>
      </c>
      <c r="D355">
        <v>2003</v>
      </c>
      <c r="E355">
        <v>545000</v>
      </c>
      <c r="F355" t="s">
        <v>77</v>
      </c>
      <c r="G355" t="s">
        <v>31</v>
      </c>
      <c r="H355" t="s">
        <v>27</v>
      </c>
      <c r="I355" t="s">
        <v>27</v>
      </c>
      <c r="J355" t="s">
        <v>27</v>
      </c>
      <c r="K355" t="s">
        <v>31</v>
      </c>
      <c r="L355">
        <v>953797</v>
      </c>
      <c r="M355">
        <v>57.140035267041597</v>
      </c>
    </row>
    <row r="356" spans="1:13" hidden="1" x14ac:dyDescent="0.3">
      <c r="A356" t="s">
        <v>1489</v>
      </c>
      <c r="B356" t="s">
        <v>43</v>
      </c>
      <c r="C356" t="s">
        <v>329</v>
      </c>
      <c r="D356">
        <v>2003</v>
      </c>
      <c r="E356" t="s">
        <v>31</v>
      </c>
      <c r="F356" t="s">
        <v>115</v>
      </c>
      <c r="G356" t="s">
        <v>31</v>
      </c>
      <c r="H356" t="s">
        <v>27</v>
      </c>
      <c r="I356" t="s">
        <v>27</v>
      </c>
      <c r="J356" t="s">
        <v>33</v>
      </c>
      <c r="K356">
        <v>50000</v>
      </c>
      <c r="L356" t="s">
        <v>31</v>
      </c>
      <c r="M356">
        <v>57.140035267041597</v>
      </c>
    </row>
    <row r="357" spans="1:13" hidden="1" x14ac:dyDescent="0.3">
      <c r="A357" t="s">
        <v>1490</v>
      </c>
      <c r="B357" t="s">
        <v>51</v>
      </c>
      <c r="C357" t="s">
        <v>134</v>
      </c>
      <c r="D357">
        <v>2003</v>
      </c>
      <c r="E357" t="s">
        <v>31</v>
      </c>
      <c r="F357" t="s">
        <v>73</v>
      </c>
      <c r="G357" t="s">
        <v>31</v>
      </c>
      <c r="H357" t="s">
        <v>27</v>
      </c>
      <c r="I357" t="s">
        <v>27</v>
      </c>
      <c r="J357" t="s">
        <v>27</v>
      </c>
      <c r="K357">
        <v>200</v>
      </c>
      <c r="L357" t="s">
        <v>31</v>
      </c>
      <c r="M357">
        <v>57.140035267041597</v>
      </c>
    </row>
    <row r="358" spans="1:13" hidden="1" x14ac:dyDescent="0.3">
      <c r="A358" t="s">
        <v>1491</v>
      </c>
      <c r="B358" t="s">
        <v>51</v>
      </c>
      <c r="C358" t="s">
        <v>56</v>
      </c>
      <c r="D358">
        <v>2003</v>
      </c>
      <c r="E358" t="s">
        <v>31</v>
      </c>
      <c r="F358" t="s">
        <v>45</v>
      </c>
      <c r="G358" t="s">
        <v>31</v>
      </c>
      <c r="H358" t="s">
        <v>33</v>
      </c>
      <c r="I358" t="s">
        <v>27</v>
      </c>
      <c r="J358" t="s">
        <v>27</v>
      </c>
      <c r="K358">
        <v>12070</v>
      </c>
      <c r="L358" t="s">
        <v>31</v>
      </c>
      <c r="M358">
        <v>57.140035267041597</v>
      </c>
    </row>
    <row r="359" spans="1:13" hidden="1" x14ac:dyDescent="0.3">
      <c r="A359" t="s">
        <v>1492</v>
      </c>
      <c r="B359" t="s">
        <v>28</v>
      </c>
      <c r="C359" t="s">
        <v>30</v>
      </c>
      <c r="D359">
        <v>2003</v>
      </c>
      <c r="E359">
        <v>300000</v>
      </c>
      <c r="F359" t="s">
        <v>1493</v>
      </c>
      <c r="G359" t="s">
        <v>181</v>
      </c>
      <c r="H359" t="s">
        <v>27</v>
      </c>
      <c r="I359" t="s">
        <v>27</v>
      </c>
      <c r="J359" t="s">
        <v>27</v>
      </c>
      <c r="K359" t="s">
        <v>31</v>
      </c>
      <c r="L359">
        <v>525026</v>
      </c>
      <c r="M359">
        <v>57.140035267041597</v>
      </c>
    </row>
    <row r="360" spans="1:13" hidden="1" x14ac:dyDescent="0.3">
      <c r="A360" t="s">
        <v>1494</v>
      </c>
      <c r="B360" t="s">
        <v>28</v>
      </c>
      <c r="C360" t="s">
        <v>30</v>
      </c>
      <c r="D360">
        <v>2003</v>
      </c>
      <c r="E360" t="s">
        <v>31</v>
      </c>
      <c r="F360" t="s">
        <v>77</v>
      </c>
      <c r="G360" t="s">
        <v>31</v>
      </c>
      <c r="H360" t="s">
        <v>27</v>
      </c>
      <c r="I360" t="s">
        <v>27</v>
      </c>
      <c r="J360" t="s">
        <v>27</v>
      </c>
      <c r="K360" t="s">
        <v>31</v>
      </c>
      <c r="L360" t="s">
        <v>31</v>
      </c>
      <c r="M360">
        <v>57.140035267041597</v>
      </c>
    </row>
    <row r="361" spans="1:13" hidden="1" x14ac:dyDescent="0.3">
      <c r="A361" t="s">
        <v>1495</v>
      </c>
      <c r="B361" t="s">
        <v>28</v>
      </c>
      <c r="C361" t="s">
        <v>30</v>
      </c>
      <c r="D361">
        <v>2003</v>
      </c>
      <c r="E361">
        <v>3370000</v>
      </c>
      <c r="F361" t="s">
        <v>34</v>
      </c>
      <c r="G361" t="s">
        <v>37</v>
      </c>
      <c r="H361" t="s">
        <v>27</v>
      </c>
      <c r="I361" t="s">
        <v>27</v>
      </c>
      <c r="J361" t="s">
        <v>33</v>
      </c>
      <c r="K361">
        <v>225000</v>
      </c>
      <c r="L361">
        <v>5897791</v>
      </c>
      <c r="M361">
        <v>57.140035267041597</v>
      </c>
    </row>
    <row r="362" spans="1:13" hidden="1" x14ac:dyDescent="0.3">
      <c r="A362" t="s">
        <v>1496</v>
      </c>
      <c r="B362" t="s">
        <v>39</v>
      </c>
      <c r="C362" t="s">
        <v>41</v>
      </c>
      <c r="D362">
        <v>2003</v>
      </c>
      <c r="E362" t="s">
        <v>31</v>
      </c>
      <c r="F362" t="s">
        <v>34</v>
      </c>
      <c r="G362" t="s">
        <v>31</v>
      </c>
      <c r="H362" t="s">
        <v>27</v>
      </c>
      <c r="I362" t="s">
        <v>27</v>
      </c>
      <c r="J362" t="s">
        <v>33</v>
      </c>
      <c r="K362">
        <v>27104</v>
      </c>
      <c r="L362" t="s">
        <v>31</v>
      </c>
      <c r="M362">
        <v>57.140035267041597</v>
      </c>
    </row>
    <row r="363" spans="1:13" hidden="1" x14ac:dyDescent="0.3">
      <c r="A363" t="s">
        <v>1497</v>
      </c>
      <c r="B363" t="s">
        <v>28</v>
      </c>
      <c r="C363" t="s">
        <v>99</v>
      </c>
      <c r="D363">
        <v>2003</v>
      </c>
      <c r="E363" t="s">
        <v>31</v>
      </c>
      <c r="F363" t="s">
        <v>130</v>
      </c>
      <c r="G363" t="s">
        <v>100</v>
      </c>
      <c r="H363" t="s">
        <v>27</v>
      </c>
      <c r="I363" t="s">
        <v>27</v>
      </c>
      <c r="J363" t="s">
        <v>27</v>
      </c>
      <c r="K363">
        <v>900</v>
      </c>
      <c r="L363" t="s">
        <v>31</v>
      </c>
      <c r="M363">
        <v>57.140035267041597</v>
      </c>
    </row>
    <row r="364" spans="1:13" hidden="1" x14ac:dyDescent="0.3">
      <c r="A364" t="s">
        <v>1498</v>
      </c>
      <c r="B364" t="s">
        <v>51</v>
      </c>
      <c r="C364" t="s">
        <v>121</v>
      </c>
      <c r="D364">
        <v>2003</v>
      </c>
      <c r="E364" t="s">
        <v>31</v>
      </c>
      <c r="F364" t="s">
        <v>119</v>
      </c>
      <c r="G364" t="s">
        <v>54</v>
      </c>
      <c r="H364" t="s">
        <v>27</v>
      </c>
      <c r="I364" t="s">
        <v>27</v>
      </c>
      <c r="J364" t="s">
        <v>33</v>
      </c>
      <c r="K364">
        <v>2000</v>
      </c>
      <c r="L364" t="s">
        <v>31</v>
      </c>
      <c r="M364">
        <v>57.140035267041597</v>
      </c>
    </row>
    <row r="365" spans="1:13" hidden="1" x14ac:dyDescent="0.3">
      <c r="A365" t="s">
        <v>1499</v>
      </c>
      <c r="B365" t="s">
        <v>28</v>
      </c>
      <c r="C365" t="s">
        <v>30</v>
      </c>
      <c r="D365">
        <v>2003</v>
      </c>
      <c r="E365" t="s">
        <v>31</v>
      </c>
      <c r="F365" t="s">
        <v>75</v>
      </c>
      <c r="G365" t="s">
        <v>37</v>
      </c>
      <c r="H365" t="s">
        <v>27</v>
      </c>
      <c r="I365" t="s">
        <v>27</v>
      </c>
      <c r="J365" t="s">
        <v>27</v>
      </c>
      <c r="K365">
        <v>10000</v>
      </c>
      <c r="L365" t="s">
        <v>31</v>
      </c>
      <c r="M365">
        <v>57.140035267041597</v>
      </c>
    </row>
    <row r="366" spans="1:13" hidden="1" x14ac:dyDescent="0.3">
      <c r="A366" t="s">
        <v>1500</v>
      </c>
      <c r="B366" t="s">
        <v>91</v>
      </c>
      <c r="C366" t="s">
        <v>93</v>
      </c>
      <c r="D366">
        <v>2003</v>
      </c>
      <c r="E366">
        <v>200000</v>
      </c>
      <c r="F366" t="s">
        <v>34</v>
      </c>
      <c r="G366" t="s">
        <v>31</v>
      </c>
      <c r="H366" t="s">
        <v>27</v>
      </c>
      <c r="I366" t="s">
        <v>27</v>
      </c>
      <c r="J366" t="s">
        <v>33</v>
      </c>
      <c r="K366">
        <v>160</v>
      </c>
      <c r="L366">
        <v>350017</v>
      </c>
      <c r="M366">
        <v>57.140035267041597</v>
      </c>
    </row>
    <row r="367" spans="1:13" hidden="1" x14ac:dyDescent="0.3">
      <c r="A367" t="s">
        <v>1501</v>
      </c>
      <c r="B367" t="s">
        <v>51</v>
      </c>
      <c r="C367" t="s">
        <v>121</v>
      </c>
      <c r="D367">
        <v>2003</v>
      </c>
      <c r="E367" t="s">
        <v>31</v>
      </c>
      <c r="F367" t="s">
        <v>45</v>
      </c>
      <c r="G367" t="s">
        <v>54</v>
      </c>
      <c r="H367" t="s">
        <v>27</v>
      </c>
      <c r="I367" t="s">
        <v>27</v>
      </c>
      <c r="J367" t="s">
        <v>27</v>
      </c>
      <c r="K367">
        <v>150000</v>
      </c>
      <c r="L367" t="s">
        <v>31</v>
      </c>
      <c r="M367">
        <v>57.140035267041597</v>
      </c>
    </row>
    <row r="368" spans="1:13" hidden="1" x14ac:dyDescent="0.3">
      <c r="A368" t="s">
        <v>1502</v>
      </c>
      <c r="B368" t="s">
        <v>51</v>
      </c>
      <c r="C368" t="s">
        <v>121</v>
      </c>
      <c r="D368">
        <v>2003</v>
      </c>
      <c r="E368" t="s">
        <v>31</v>
      </c>
      <c r="F368" t="s">
        <v>53</v>
      </c>
      <c r="G368" t="s">
        <v>405</v>
      </c>
      <c r="H368" t="s">
        <v>27</v>
      </c>
      <c r="I368" t="s">
        <v>27</v>
      </c>
      <c r="J368" t="s">
        <v>33</v>
      </c>
      <c r="K368">
        <v>5450</v>
      </c>
      <c r="L368" t="s">
        <v>31</v>
      </c>
      <c r="M368">
        <v>57.140035267041597</v>
      </c>
    </row>
    <row r="369" spans="1:13" hidden="1" x14ac:dyDescent="0.3">
      <c r="A369" t="s">
        <v>1503</v>
      </c>
      <c r="B369" t="s">
        <v>51</v>
      </c>
      <c r="C369" t="s">
        <v>121</v>
      </c>
      <c r="D369">
        <v>2003</v>
      </c>
      <c r="E369" t="s">
        <v>31</v>
      </c>
      <c r="F369" t="s">
        <v>161</v>
      </c>
      <c r="G369" t="s">
        <v>31</v>
      </c>
      <c r="H369" t="s">
        <v>27</v>
      </c>
      <c r="I369" t="s">
        <v>27</v>
      </c>
      <c r="J369" t="s">
        <v>27</v>
      </c>
      <c r="K369">
        <v>2500</v>
      </c>
      <c r="L369" t="s">
        <v>31</v>
      </c>
      <c r="M369">
        <v>57.140035267041597</v>
      </c>
    </row>
    <row r="370" spans="1:13" hidden="1" x14ac:dyDescent="0.3">
      <c r="A370" t="s">
        <v>1504</v>
      </c>
      <c r="B370" t="s">
        <v>28</v>
      </c>
      <c r="C370" t="s">
        <v>189</v>
      </c>
      <c r="D370">
        <v>2003</v>
      </c>
      <c r="E370">
        <v>400000</v>
      </c>
      <c r="F370" t="s">
        <v>34</v>
      </c>
      <c r="G370" t="s">
        <v>37</v>
      </c>
      <c r="H370" t="s">
        <v>27</v>
      </c>
      <c r="I370" t="s">
        <v>27</v>
      </c>
      <c r="J370" t="s">
        <v>27</v>
      </c>
      <c r="K370">
        <v>118</v>
      </c>
      <c r="L370">
        <v>700035</v>
      </c>
      <c r="M370">
        <v>57.140035267041597</v>
      </c>
    </row>
    <row r="371" spans="1:13" hidden="1" x14ac:dyDescent="0.3">
      <c r="A371" t="s">
        <v>1505</v>
      </c>
      <c r="B371" t="s">
        <v>28</v>
      </c>
      <c r="C371" t="s">
        <v>189</v>
      </c>
      <c r="D371">
        <v>2003</v>
      </c>
      <c r="E371" t="s">
        <v>31</v>
      </c>
      <c r="F371" t="s">
        <v>34</v>
      </c>
      <c r="G371" t="s">
        <v>31</v>
      </c>
      <c r="H371" t="s">
        <v>27</v>
      </c>
      <c r="I371" t="s">
        <v>27</v>
      </c>
      <c r="J371" t="s">
        <v>33</v>
      </c>
      <c r="K371">
        <v>54</v>
      </c>
      <c r="L371" t="s">
        <v>31</v>
      </c>
      <c r="M371">
        <v>57.140035267041597</v>
      </c>
    </row>
    <row r="372" spans="1:13" hidden="1" x14ac:dyDescent="0.3">
      <c r="A372" t="s">
        <v>1506</v>
      </c>
      <c r="B372" t="s">
        <v>28</v>
      </c>
      <c r="C372" t="s">
        <v>67</v>
      </c>
      <c r="D372">
        <v>2003</v>
      </c>
      <c r="E372" t="s">
        <v>31</v>
      </c>
      <c r="F372" t="s">
        <v>34</v>
      </c>
      <c r="G372" t="s">
        <v>290</v>
      </c>
      <c r="H372" t="s">
        <v>27</v>
      </c>
      <c r="I372" t="s">
        <v>27</v>
      </c>
      <c r="J372" t="s">
        <v>27</v>
      </c>
      <c r="K372" t="s">
        <v>31</v>
      </c>
      <c r="L372" t="s">
        <v>31</v>
      </c>
      <c r="M372">
        <v>57.140035267041597</v>
      </c>
    </row>
    <row r="373" spans="1:13" hidden="1" x14ac:dyDescent="0.3">
      <c r="A373" t="s">
        <v>2194</v>
      </c>
      <c r="B373" t="s">
        <v>91</v>
      </c>
      <c r="C373" t="s">
        <v>93</v>
      </c>
      <c r="D373">
        <v>2003</v>
      </c>
      <c r="E373">
        <v>116300</v>
      </c>
      <c r="F373" t="s">
        <v>73</v>
      </c>
      <c r="G373" t="s">
        <v>54</v>
      </c>
      <c r="H373" t="s">
        <v>33</v>
      </c>
      <c r="I373" t="s">
        <v>27</v>
      </c>
      <c r="J373" t="s">
        <v>33</v>
      </c>
      <c r="K373">
        <v>178603</v>
      </c>
      <c r="L373">
        <v>203535</v>
      </c>
      <c r="M373">
        <v>57.140035267041597</v>
      </c>
    </row>
    <row r="374" spans="1:13" hidden="1" x14ac:dyDescent="0.3">
      <c r="A374" t="s">
        <v>2195</v>
      </c>
      <c r="B374" t="s">
        <v>39</v>
      </c>
      <c r="C374" t="s">
        <v>59</v>
      </c>
      <c r="D374">
        <v>2003</v>
      </c>
      <c r="E374" t="s">
        <v>31</v>
      </c>
      <c r="F374" t="s">
        <v>60</v>
      </c>
      <c r="G374" t="s">
        <v>31</v>
      </c>
      <c r="H374" t="s">
        <v>27</v>
      </c>
      <c r="I374" t="s">
        <v>27</v>
      </c>
      <c r="J374" t="s">
        <v>27</v>
      </c>
      <c r="K374">
        <v>285</v>
      </c>
      <c r="L374" t="s">
        <v>31</v>
      </c>
      <c r="M374">
        <v>57.140035267041597</v>
      </c>
    </row>
    <row r="375" spans="1:13" hidden="1" x14ac:dyDescent="0.3">
      <c r="A375" t="s">
        <v>2196</v>
      </c>
      <c r="B375" t="s">
        <v>51</v>
      </c>
      <c r="C375" t="s">
        <v>56</v>
      </c>
      <c r="D375">
        <v>2003</v>
      </c>
      <c r="E375" t="s">
        <v>31</v>
      </c>
      <c r="F375" t="s">
        <v>111</v>
      </c>
      <c r="G375" t="s">
        <v>54</v>
      </c>
      <c r="H375" t="s">
        <v>27</v>
      </c>
      <c r="I375" t="s">
        <v>27</v>
      </c>
      <c r="J375" t="s">
        <v>33</v>
      </c>
      <c r="K375">
        <v>6025</v>
      </c>
      <c r="L375" t="s">
        <v>31</v>
      </c>
      <c r="M375">
        <v>57.140035267041597</v>
      </c>
    </row>
    <row r="376" spans="1:13" hidden="1" x14ac:dyDescent="0.3">
      <c r="A376" t="s">
        <v>2197</v>
      </c>
      <c r="B376" t="s">
        <v>28</v>
      </c>
      <c r="C376" t="s">
        <v>97</v>
      </c>
      <c r="D376">
        <v>2003</v>
      </c>
      <c r="E376">
        <v>4000000</v>
      </c>
      <c r="F376" t="s">
        <v>34</v>
      </c>
      <c r="G376" t="s">
        <v>31</v>
      </c>
      <c r="H376" t="s">
        <v>27</v>
      </c>
      <c r="I376" t="s">
        <v>27</v>
      </c>
      <c r="J376" t="s">
        <v>33</v>
      </c>
      <c r="K376">
        <v>15145</v>
      </c>
      <c r="L376">
        <v>7000346</v>
      </c>
      <c r="M376">
        <v>57.140035267041597</v>
      </c>
    </row>
    <row r="377" spans="1:13" hidden="1" x14ac:dyDescent="0.3">
      <c r="A377" t="s">
        <v>2198</v>
      </c>
      <c r="B377" t="s">
        <v>51</v>
      </c>
      <c r="C377" t="s">
        <v>121</v>
      </c>
      <c r="D377">
        <v>2003</v>
      </c>
      <c r="E377" t="s">
        <v>31</v>
      </c>
      <c r="F377" t="s">
        <v>62</v>
      </c>
      <c r="G377" t="s">
        <v>54</v>
      </c>
      <c r="H377" t="s">
        <v>27</v>
      </c>
      <c r="I377" t="s">
        <v>27</v>
      </c>
      <c r="J377" t="s">
        <v>33</v>
      </c>
      <c r="K377">
        <v>2405</v>
      </c>
      <c r="L377" t="s">
        <v>31</v>
      </c>
      <c r="M377">
        <v>57.140035267041597</v>
      </c>
    </row>
    <row r="378" spans="1:13" hidden="1" x14ac:dyDescent="0.3">
      <c r="A378" t="s">
        <v>2199</v>
      </c>
      <c r="B378" t="s">
        <v>43</v>
      </c>
      <c r="C378" t="s">
        <v>114</v>
      </c>
      <c r="D378">
        <v>2003</v>
      </c>
      <c r="E378" t="s">
        <v>31</v>
      </c>
      <c r="F378" t="s">
        <v>45</v>
      </c>
      <c r="G378" t="s">
        <v>31</v>
      </c>
      <c r="H378" t="s">
        <v>27</v>
      </c>
      <c r="I378" t="s">
        <v>27</v>
      </c>
      <c r="J378" t="s">
        <v>27</v>
      </c>
      <c r="K378">
        <v>200</v>
      </c>
      <c r="L378" t="s">
        <v>31</v>
      </c>
      <c r="M378">
        <v>57.140035267041597</v>
      </c>
    </row>
    <row r="379" spans="1:13" hidden="1" x14ac:dyDescent="0.3">
      <c r="A379" t="s">
        <v>2200</v>
      </c>
      <c r="B379" t="s">
        <v>91</v>
      </c>
      <c r="C379" t="s">
        <v>93</v>
      </c>
      <c r="D379">
        <v>2003</v>
      </c>
      <c r="E379" t="s">
        <v>31</v>
      </c>
      <c r="F379" t="s">
        <v>166</v>
      </c>
      <c r="G379" t="s">
        <v>31</v>
      </c>
      <c r="H379" t="s">
        <v>27</v>
      </c>
      <c r="I379" t="s">
        <v>27</v>
      </c>
      <c r="J379" t="s">
        <v>27</v>
      </c>
      <c r="K379">
        <v>340</v>
      </c>
      <c r="L379" t="s">
        <v>31</v>
      </c>
      <c r="M379">
        <v>57.140035267041597</v>
      </c>
    </row>
    <row r="380" spans="1:13" hidden="1" x14ac:dyDescent="0.3">
      <c r="A380" t="s">
        <v>2201</v>
      </c>
      <c r="B380" t="s">
        <v>51</v>
      </c>
      <c r="C380" t="s">
        <v>52</v>
      </c>
      <c r="D380">
        <v>2003</v>
      </c>
      <c r="E380" t="s">
        <v>31</v>
      </c>
      <c r="F380" t="s">
        <v>49</v>
      </c>
      <c r="G380" t="s">
        <v>31</v>
      </c>
      <c r="H380" t="s">
        <v>27</v>
      </c>
      <c r="I380" t="s">
        <v>27</v>
      </c>
      <c r="J380" t="s">
        <v>27</v>
      </c>
      <c r="K380">
        <v>105</v>
      </c>
      <c r="L380" t="s">
        <v>31</v>
      </c>
      <c r="M380">
        <v>57.140035267041597</v>
      </c>
    </row>
    <row r="381" spans="1:13" hidden="1" x14ac:dyDescent="0.3">
      <c r="A381" t="s">
        <v>2202</v>
      </c>
      <c r="B381" t="s">
        <v>28</v>
      </c>
      <c r="C381" t="s">
        <v>30</v>
      </c>
      <c r="D381">
        <v>2003</v>
      </c>
      <c r="E381">
        <v>110000</v>
      </c>
      <c r="F381" t="s">
        <v>77</v>
      </c>
      <c r="G381" t="s">
        <v>37</v>
      </c>
      <c r="H381" t="s">
        <v>27</v>
      </c>
      <c r="I381" t="s">
        <v>27</v>
      </c>
      <c r="J381" t="s">
        <v>33</v>
      </c>
      <c r="K381">
        <v>200</v>
      </c>
      <c r="L381">
        <v>192510</v>
      </c>
      <c r="M381">
        <v>57.140035267041597</v>
      </c>
    </row>
    <row r="382" spans="1:13" hidden="1" x14ac:dyDescent="0.3">
      <c r="A382" t="s">
        <v>2203</v>
      </c>
      <c r="B382" t="s">
        <v>51</v>
      </c>
      <c r="C382" t="s">
        <v>121</v>
      </c>
      <c r="D382">
        <v>2003</v>
      </c>
      <c r="E382" t="s">
        <v>31</v>
      </c>
      <c r="F382" t="s">
        <v>119</v>
      </c>
      <c r="G382" t="s">
        <v>31</v>
      </c>
      <c r="H382" t="s">
        <v>27</v>
      </c>
      <c r="I382" t="s">
        <v>27</v>
      </c>
      <c r="J382" t="s">
        <v>33</v>
      </c>
      <c r="K382">
        <v>2000</v>
      </c>
      <c r="L382" t="s">
        <v>31</v>
      </c>
      <c r="M382">
        <v>57.140035267041597</v>
      </c>
    </row>
    <row r="383" spans="1:13" hidden="1" x14ac:dyDescent="0.3">
      <c r="A383" t="s">
        <v>2204</v>
      </c>
      <c r="B383" t="s">
        <v>51</v>
      </c>
      <c r="C383" t="s">
        <v>194</v>
      </c>
      <c r="D383">
        <v>2003</v>
      </c>
      <c r="E383">
        <v>42620</v>
      </c>
      <c r="F383" t="s">
        <v>75</v>
      </c>
      <c r="G383" t="s">
        <v>473</v>
      </c>
      <c r="H383" t="s">
        <v>33</v>
      </c>
      <c r="I383" t="s">
        <v>27</v>
      </c>
      <c r="J383" t="s">
        <v>27</v>
      </c>
      <c r="K383">
        <v>65003</v>
      </c>
      <c r="L383">
        <v>74589</v>
      </c>
      <c r="M383">
        <v>57.140035267041597</v>
      </c>
    </row>
    <row r="384" spans="1:13" hidden="1" x14ac:dyDescent="0.3">
      <c r="A384" t="s">
        <v>2205</v>
      </c>
      <c r="B384" t="s">
        <v>51</v>
      </c>
      <c r="C384" t="s">
        <v>121</v>
      </c>
      <c r="D384">
        <v>2003</v>
      </c>
      <c r="E384" t="s">
        <v>31</v>
      </c>
      <c r="F384" t="s">
        <v>47</v>
      </c>
      <c r="G384" t="s">
        <v>405</v>
      </c>
      <c r="H384" t="s">
        <v>27</v>
      </c>
      <c r="I384" t="s">
        <v>27</v>
      </c>
      <c r="J384" t="s">
        <v>27</v>
      </c>
      <c r="K384">
        <v>35752</v>
      </c>
      <c r="L384" t="s">
        <v>31</v>
      </c>
      <c r="M384">
        <v>57.140035267041597</v>
      </c>
    </row>
    <row r="385" spans="1:13" hidden="1" x14ac:dyDescent="0.3">
      <c r="A385" t="s">
        <v>2206</v>
      </c>
      <c r="B385" t="s">
        <v>28</v>
      </c>
      <c r="C385" t="s">
        <v>67</v>
      </c>
      <c r="D385">
        <v>2003</v>
      </c>
      <c r="E385" t="s">
        <v>31</v>
      </c>
      <c r="F385" t="s">
        <v>34</v>
      </c>
      <c r="G385" t="s">
        <v>290</v>
      </c>
      <c r="H385" t="s">
        <v>27</v>
      </c>
      <c r="I385" t="s">
        <v>27</v>
      </c>
      <c r="J385" t="s">
        <v>27</v>
      </c>
      <c r="K385" t="s">
        <v>31</v>
      </c>
      <c r="L385" t="s">
        <v>31</v>
      </c>
      <c r="M385">
        <v>57.140035267041597</v>
      </c>
    </row>
    <row r="386" spans="1:13" hidden="1" x14ac:dyDescent="0.3">
      <c r="A386" t="s">
        <v>2207</v>
      </c>
      <c r="B386" t="s">
        <v>51</v>
      </c>
      <c r="C386" t="s">
        <v>121</v>
      </c>
      <c r="D386">
        <v>2003</v>
      </c>
      <c r="E386">
        <v>1000</v>
      </c>
      <c r="F386" t="s">
        <v>111</v>
      </c>
      <c r="G386" t="s">
        <v>473</v>
      </c>
      <c r="H386" t="s">
        <v>27</v>
      </c>
      <c r="I386" t="s">
        <v>27</v>
      </c>
      <c r="J386" t="s">
        <v>33</v>
      </c>
      <c r="K386">
        <v>45004</v>
      </c>
      <c r="L386">
        <v>1750</v>
      </c>
      <c r="M386">
        <v>57.140035267041597</v>
      </c>
    </row>
    <row r="387" spans="1:13" hidden="1" x14ac:dyDescent="0.3">
      <c r="A387" t="s">
        <v>2208</v>
      </c>
      <c r="B387" t="s">
        <v>91</v>
      </c>
      <c r="C387" t="s">
        <v>93</v>
      </c>
      <c r="D387">
        <v>2003</v>
      </c>
      <c r="E387" t="s">
        <v>31</v>
      </c>
      <c r="F387" t="s">
        <v>166</v>
      </c>
      <c r="G387" t="s">
        <v>31</v>
      </c>
      <c r="H387" t="s">
        <v>27</v>
      </c>
      <c r="I387" t="s">
        <v>27</v>
      </c>
      <c r="J387" t="s">
        <v>27</v>
      </c>
      <c r="K387">
        <v>1075</v>
      </c>
      <c r="L387" t="s">
        <v>31</v>
      </c>
      <c r="M387">
        <v>57.140035267041597</v>
      </c>
    </row>
    <row r="388" spans="1:13" hidden="1" x14ac:dyDescent="0.3">
      <c r="A388" t="s">
        <v>2209</v>
      </c>
      <c r="B388" t="s">
        <v>51</v>
      </c>
      <c r="C388" t="s">
        <v>150</v>
      </c>
      <c r="D388">
        <v>2003</v>
      </c>
      <c r="E388" t="s">
        <v>31</v>
      </c>
      <c r="F388" t="s">
        <v>34</v>
      </c>
      <c r="G388" t="s">
        <v>31</v>
      </c>
      <c r="H388" t="s">
        <v>27</v>
      </c>
      <c r="I388" t="s">
        <v>27</v>
      </c>
      <c r="J388" t="s">
        <v>27</v>
      </c>
      <c r="K388">
        <v>15</v>
      </c>
      <c r="L388" t="s">
        <v>31</v>
      </c>
      <c r="M388">
        <v>57.140035267041597</v>
      </c>
    </row>
    <row r="389" spans="1:13" hidden="1" x14ac:dyDescent="0.3">
      <c r="A389" t="s">
        <v>2210</v>
      </c>
      <c r="B389" t="s">
        <v>51</v>
      </c>
      <c r="C389" t="s">
        <v>121</v>
      </c>
      <c r="D389">
        <v>2003</v>
      </c>
      <c r="E389">
        <v>17000</v>
      </c>
      <c r="F389" t="s">
        <v>34</v>
      </c>
      <c r="G389" t="s">
        <v>31</v>
      </c>
      <c r="H389" t="s">
        <v>27</v>
      </c>
      <c r="I389" t="s">
        <v>27</v>
      </c>
      <c r="J389" t="s">
        <v>27</v>
      </c>
      <c r="K389">
        <v>2000</v>
      </c>
      <c r="L389">
        <v>29751</v>
      </c>
      <c r="M389">
        <v>57.140035267041597</v>
      </c>
    </row>
    <row r="390" spans="1:13" hidden="1" x14ac:dyDescent="0.3">
      <c r="A390" t="s">
        <v>2211</v>
      </c>
      <c r="B390" t="s">
        <v>51</v>
      </c>
      <c r="C390" t="s">
        <v>121</v>
      </c>
      <c r="D390">
        <v>2003</v>
      </c>
      <c r="E390" t="s">
        <v>31</v>
      </c>
      <c r="F390" t="s">
        <v>57</v>
      </c>
      <c r="G390" t="s">
        <v>181</v>
      </c>
      <c r="H390" t="s">
        <v>27</v>
      </c>
      <c r="I390" t="s">
        <v>27</v>
      </c>
      <c r="J390" t="s">
        <v>27</v>
      </c>
      <c r="K390">
        <v>200</v>
      </c>
      <c r="L390" t="s">
        <v>31</v>
      </c>
      <c r="M390">
        <v>57.140035267041597</v>
      </c>
    </row>
    <row r="391" spans="1:13" hidden="1" x14ac:dyDescent="0.3">
      <c r="A391" t="s">
        <v>2212</v>
      </c>
      <c r="B391" t="s">
        <v>51</v>
      </c>
      <c r="C391" t="s">
        <v>121</v>
      </c>
      <c r="D391">
        <v>2003</v>
      </c>
      <c r="E391" t="s">
        <v>31</v>
      </c>
      <c r="F391" t="s">
        <v>70</v>
      </c>
      <c r="G391" t="s">
        <v>31</v>
      </c>
      <c r="H391" t="s">
        <v>27</v>
      </c>
      <c r="I391" t="s">
        <v>27</v>
      </c>
      <c r="J391" t="s">
        <v>27</v>
      </c>
      <c r="K391">
        <v>200</v>
      </c>
      <c r="L391" t="s">
        <v>31</v>
      </c>
      <c r="M391">
        <v>57.140035267041597</v>
      </c>
    </row>
    <row r="392" spans="1:13" hidden="1" x14ac:dyDescent="0.3">
      <c r="A392" t="s">
        <v>2213</v>
      </c>
      <c r="B392" t="s">
        <v>28</v>
      </c>
      <c r="C392" t="s">
        <v>97</v>
      </c>
      <c r="D392">
        <v>2003</v>
      </c>
      <c r="E392" t="s">
        <v>31</v>
      </c>
      <c r="F392" t="s">
        <v>34</v>
      </c>
      <c r="G392" t="s">
        <v>31</v>
      </c>
      <c r="H392" t="s">
        <v>27</v>
      </c>
      <c r="I392" t="s">
        <v>27</v>
      </c>
      <c r="J392" t="s">
        <v>27</v>
      </c>
      <c r="K392">
        <v>195</v>
      </c>
      <c r="L392" t="s">
        <v>31</v>
      </c>
      <c r="M392">
        <v>57.140035267041597</v>
      </c>
    </row>
    <row r="393" spans="1:13" hidden="1" x14ac:dyDescent="0.3">
      <c r="A393" t="s">
        <v>2214</v>
      </c>
      <c r="B393" t="s">
        <v>28</v>
      </c>
      <c r="C393" t="s">
        <v>30</v>
      </c>
      <c r="D393">
        <v>2003</v>
      </c>
      <c r="E393">
        <v>50000</v>
      </c>
      <c r="F393" t="s">
        <v>34</v>
      </c>
      <c r="G393" t="s">
        <v>37</v>
      </c>
      <c r="H393" t="s">
        <v>27</v>
      </c>
      <c r="I393" t="s">
        <v>27</v>
      </c>
      <c r="J393" t="s">
        <v>33</v>
      </c>
      <c r="K393">
        <v>4</v>
      </c>
      <c r="L393">
        <v>87504</v>
      </c>
      <c r="M393">
        <v>57.140035267041597</v>
      </c>
    </row>
    <row r="394" spans="1:13" hidden="1" x14ac:dyDescent="0.3">
      <c r="A394" t="s">
        <v>536</v>
      </c>
      <c r="B394" t="s">
        <v>28</v>
      </c>
      <c r="C394" t="s">
        <v>65</v>
      </c>
      <c r="D394">
        <v>2004</v>
      </c>
      <c r="E394">
        <v>1100000</v>
      </c>
      <c r="F394" t="s">
        <v>34</v>
      </c>
      <c r="G394" t="s">
        <v>100</v>
      </c>
      <c r="H394" t="s">
        <v>27</v>
      </c>
      <c r="I394" t="s">
        <v>27</v>
      </c>
      <c r="J394" t="s">
        <v>27</v>
      </c>
      <c r="K394">
        <v>6445</v>
      </c>
      <c r="L394">
        <v>1874900</v>
      </c>
      <c r="M394">
        <v>58.669809293341238</v>
      </c>
    </row>
    <row r="395" spans="1:13" hidden="1" x14ac:dyDescent="0.3">
      <c r="A395" t="s">
        <v>540</v>
      </c>
      <c r="B395" t="s">
        <v>51</v>
      </c>
      <c r="C395" t="s">
        <v>121</v>
      </c>
      <c r="D395">
        <v>2004</v>
      </c>
      <c r="E395" t="s">
        <v>31</v>
      </c>
      <c r="F395" t="s">
        <v>77</v>
      </c>
      <c r="G395" t="s">
        <v>31</v>
      </c>
      <c r="H395" t="s">
        <v>27</v>
      </c>
      <c r="I395" t="s">
        <v>27</v>
      </c>
      <c r="J395" t="s">
        <v>27</v>
      </c>
      <c r="K395">
        <v>1000</v>
      </c>
      <c r="L395" t="s">
        <v>31</v>
      </c>
      <c r="M395">
        <v>58.669809293341238</v>
      </c>
    </row>
    <row r="396" spans="1:13" hidden="1" x14ac:dyDescent="0.3">
      <c r="A396" t="s">
        <v>541</v>
      </c>
      <c r="B396" t="s">
        <v>51</v>
      </c>
      <c r="C396" t="s">
        <v>121</v>
      </c>
      <c r="D396">
        <v>2004</v>
      </c>
      <c r="E396" t="s">
        <v>31</v>
      </c>
      <c r="F396" t="s">
        <v>47</v>
      </c>
      <c r="G396" t="s">
        <v>54</v>
      </c>
      <c r="H396" t="s">
        <v>27</v>
      </c>
      <c r="I396" t="s">
        <v>27</v>
      </c>
      <c r="J396" t="s">
        <v>27</v>
      </c>
      <c r="K396">
        <v>186096</v>
      </c>
      <c r="L396" t="s">
        <v>31</v>
      </c>
      <c r="M396">
        <v>58.669809293341238</v>
      </c>
    </row>
    <row r="397" spans="1:13" hidden="1" x14ac:dyDescent="0.3">
      <c r="A397" t="s">
        <v>542</v>
      </c>
      <c r="B397" t="s">
        <v>51</v>
      </c>
      <c r="C397" t="s">
        <v>121</v>
      </c>
      <c r="D397">
        <v>2004</v>
      </c>
      <c r="E397" t="s">
        <v>31</v>
      </c>
      <c r="F397" t="s">
        <v>75</v>
      </c>
      <c r="G397" t="s">
        <v>54</v>
      </c>
      <c r="H397" t="s">
        <v>33</v>
      </c>
      <c r="I397" t="s">
        <v>27</v>
      </c>
      <c r="J397" t="s">
        <v>27</v>
      </c>
      <c r="K397">
        <v>10002</v>
      </c>
      <c r="L397" t="s">
        <v>31</v>
      </c>
      <c r="M397">
        <v>58.669809293341238</v>
      </c>
    </row>
    <row r="398" spans="1:13" hidden="1" x14ac:dyDescent="0.3">
      <c r="A398" t="s">
        <v>543</v>
      </c>
      <c r="B398" t="s">
        <v>51</v>
      </c>
      <c r="C398" t="s">
        <v>150</v>
      </c>
      <c r="D398">
        <v>2004</v>
      </c>
      <c r="E398" t="s">
        <v>31</v>
      </c>
      <c r="F398" t="s">
        <v>81</v>
      </c>
      <c r="G398" t="s">
        <v>31</v>
      </c>
      <c r="H398" t="s">
        <v>33</v>
      </c>
      <c r="I398" t="s">
        <v>33</v>
      </c>
      <c r="J398" t="s">
        <v>33</v>
      </c>
      <c r="K398">
        <v>5769</v>
      </c>
      <c r="L398" t="s">
        <v>31</v>
      </c>
      <c r="M398">
        <v>58.669809293341238</v>
      </c>
    </row>
    <row r="399" spans="1:13" hidden="1" x14ac:dyDescent="0.3">
      <c r="A399" t="s">
        <v>544</v>
      </c>
      <c r="B399" t="s">
        <v>51</v>
      </c>
      <c r="C399" t="s">
        <v>121</v>
      </c>
      <c r="D399">
        <v>2004</v>
      </c>
      <c r="E399" t="s">
        <v>31</v>
      </c>
      <c r="F399" t="s">
        <v>60</v>
      </c>
      <c r="G399" t="s">
        <v>31</v>
      </c>
      <c r="H399" t="s">
        <v>27</v>
      </c>
      <c r="I399" t="s">
        <v>27</v>
      </c>
      <c r="J399" t="s">
        <v>27</v>
      </c>
      <c r="K399">
        <v>9000</v>
      </c>
      <c r="L399" t="s">
        <v>31</v>
      </c>
      <c r="M399">
        <v>58.669809293341238</v>
      </c>
    </row>
    <row r="400" spans="1:13" hidden="1" x14ac:dyDescent="0.3">
      <c r="A400" t="s">
        <v>545</v>
      </c>
      <c r="B400" t="s">
        <v>28</v>
      </c>
      <c r="C400" t="s">
        <v>68</v>
      </c>
      <c r="D400">
        <v>2004</v>
      </c>
      <c r="E400" t="s">
        <v>31</v>
      </c>
      <c r="F400" t="s">
        <v>130</v>
      </c>
      <c r="G400" t="s">
        <v>355</v>
      </c>
      <c r="H400" t="s">
        <v>27</v>
      </c>
      <c r="I400" t="s">
        <v>27</v>
      </c>
      <c r="J400" t="s">
        <v>27</v>
      </c>
      <c r="K400" t="s">
        <v>31</v>
      </c>
      <c r="L400" t="s">
        <v>31</v>
      </c>
      <c r="M400">
        <v>58.669809293341238</v>
      </c>
    </row>
    <row r="401" spans="1:13" hidden="1" x14ac:dyDescent="0.3">
      <c r="A401" t="s">
        <v>546</v>
      </c>
      <c r="B401" t="s">
        <v>28</v>
      </c>
      <c r="C401" t="s">
        <v>68</v>
      </c>
      <c r="D401">
        <v>2004</v>
      </c>
      <c r="E401" t="s">
        <v>31</v>
      </c>
      <c r="F401" t="s">
        <v>119</v>
      </c>
      <c r="G401" t="s">
        <v>31</v>
      </c>
      <c r="H401" t="s">
        <v>27</v>
      </c>
      <c r="I401" t="s">
        <v>27</v>
      </c>
      <c r="J401" t="s">
        <v>27</v>
      </c>
      <c r="K401" t="s">
        <v>31</v>
      </c>
      <c r="L401" t="s">
        <v>31</v>
      </c>
      <c r="M401">
        <v>58.669809293341238</v>
      </c>
    </row>
    <row r="402" spans="1:13" hidden="1" x14ac:dyDescent="0.3">
      <c r="A402" t="s">
        <v>547</v>
      </c>
      <c r="B402" t="s">
        <v>28</v>
      </c>
      <c r="C402" t="s">
        <v>99</v>
      </c>
      <c r="D402">
        <v>2004</v>
      </c>
      <c r="E402">
        <v>170</v>
      </c>
      <c r="F402" t="s">
        <v>34</v>
      </c>
      <c r="G402" t="s">
        <v>37</v>
      </c>
      <c r="H402" t="s">
        <v>27</v>
      </c>
      <c r="I402" t="s">
        <v>27</v>
      </c>
      <c r="J402" t="s">
        <v>27</v>
      </c>
      <c r="K402">
        <v>313</v>
      </c>
      <c r="L402">
        <v>290</v>
      </c>
      <c r="M402">
        <v>58.669809293341238</v>
      </c>
    </row>
    <row r="403" spans="1:13" hidden="1" x14ac:dyDescent="0.3">
      <c r="A403" t="s">
        <v>548</v>
      </c>
      <c r="B403" t="s">
        <v>39</v>
      </c>
      <c r="C403" t="s">
        <v>41</v>
      </c>
      <c r="D403">
        <v>2004</v>
      </c>
      <c r="E403" t="s">
        <v>31</v>
      </c>
      <c r="F403" t="s">
        <v>34</v>
      </c>
      <c r="G403" t="s">
        <v>549</v>
      </c>
      <c r="H403" t="s">
        <v>27</v>
      </c>
      <c r="I403" t="s">
        <v>27</v>
      </c>
      <c r="J403" t="s">
        <v>27</v>
      </c>
      <c r="K403">
        <v>242</v>
      </c>
      <c r="L403" t="s">
        <v>31</v>
      </c>
      <c r="M403">
        <v>58.669809293341238</v>
      </c>
    </row>
    <row r="404" spans="1:13" hidden="1" x14ac:dyDescent="0.3">
      <c r="A404" t="s">
        <v>550</v>
      </c>
      <c r="B404" t="s">
        <v>91</v>
      </c>
      <c r="C404" t="s">
        <v>93</v>
      </c>
      <c r="D404">
        <v>2004</v>
      </c>
      <c r="E404" t="s">
        <v>31</v>
      </c>
      <c r="F404" t="s">
        <v>47</v>
      </c>
      <c r="G404" t="s">
        <v>31</v>
      </c>
      <c r="H404" t="s">
        <v>27</v>
      </c>
      <c r="I404" t="s">
        <v>27</v>
      </c>
      <c r="J404" t="s">
        <v>27</v>
      </c>
      <c r="K404">
        <v>502</v>
      </c>
      <c r="L404" t="s">
        <v>31</v>
      </c>
      <c r="M404">
        <v>58.669809293341238</v>
      </c>
    </row>
    <row r="405" spans="1:13" hidden="1" x14ac:dyDescent="0.3">
      <c r="A405" t="s">
        <v>551</v>
      </c>
      <c r="B405" t="s">
        <v>39</v>
      </c>
      <c r="C405" t="s">
        <v>41</v>
      </c>
      <c r="D405">
        <v>2004</v>
      </c>
      <c r="E405" t="s">
        <v>31</v>
      </c>
      <c r="F405" t="s">
        <v>34</v>
      </c>
      <c r="G405" t="s">
        <v>31</v>
      </c>
      <c r="H405" t="s">
        <v>27</v>
      </c>
      <c r="I405" t="s">
        <v>27</v>
      </c>
      <c r="J405" t="s">
        <v>27</v>
      </c>
      <c r="K405">
        <v>245</v>
      </c>
      <c r="L405" t="s">
        <v>31</v>
      </c>
      <c r="M405">
        <v>58.669809293341238</v>
      </c>
    </row>
    <row r="406" spans="1:13" hidden="1" x14ac:dyDescent="0.3">
      <c r="A406" t="s">
        <v>552</v>
      </c>
      <c r="B406" t="s">
        <v>28</v>
      </c>
      <c r="C406" t="s">
        <v>30</v>
      </c>
      <c r="D406">
        <v>2004</v>
      </c>
      <c r="E406">
        <v>1000000</v>
      </c>
      <c r="F406" t="s">
        <v>102</v>
      </c>
      <c r="G406" t="s">
        <v>31</v>
      </c>
      <c r="H406" t="s">
        <v>33</v>
      </c>
      <c r="I406" t="s">
        <v>27</v>
      </c>
      <c r="J406" t="s">
        <v>27</v>
      </c>
      <c r="K406">
        <v>8000</v>
      </c>
      <c r="L406">
        <v>1704454</v>
      </c>
      <c r="M406">
        <v>58.669809293341238</v>
      </c>
    </row>
    <row r="407" spans="1:13" hidden="1" x14ac:dyDescent="0.3">
      <c r="A407" t="s">
        <v>553</v>
      </c>
      <c r="B407" t="s">
        <v>28</v>
      </c>
      <c r="C407" t="s">
        <v>30</v>
      </c>
      <c r="D407">
        <v>2004</v>
      </c>
      <c r="E407" t="s">
        <v>31</v>
      </c>
      <c r="F407" t="s">
        <v>62</v>
      </c>
      <c r="G407" t="s">
        <v>31</v>
      </c>
      <c r="H407" t="s">
        <v>27</v>
      </c>
      <c r="I407" t="s">
        <v>27</v>
      </c>
      <c r="J407" t="s">
        <v>27</v>
      </c>
      <c r="K407" t="s">
        <v>31</v>
      </c>
      <c r="L407" t="s">
        <v>31</v>
      </c>
      <c r="M407">
        <v>58.669809293341238</v>
      </c>
    </row>
    <row r="408" spans="1:13" hidden="1" x14ac:dyDescent="0.3">
      <c r="A408" t="s">
        <v>554</v>
      </c>
      <c r="B408" t="s">
        <v>28</v>
      </c>
      <c r="C408" t="s">
        <v>30</v>
      </c>
      <c r="D408">
        <v>2004</v>
      </c>
      <c r="E408" t="s">
        <v>31</v>
      </c>
      <c r="F408" t="s">
        <v>102</v>
      </c>
      <c r="G408" t="s">
        <v>31</v>
      </c>
      <c r="H408" t="s">
        <v>27</v>
      </c>
      <c r="I408" t="s">
        <v>27</v>
      </c>
      <c r="J408" t="s">
        <v>27</v>
      </c>
      <c r="K408" t="s">
        <v>31</v>
      </c>
      <c r="L408" t="s">
        <v>31</v>
      </c>
      <c r="M408">
        <v>58.669809293341238</v>
      </c>
    </row>
    <row r="409" spans="1:13" hidden="1" x14ac:dyDescent="0.3">
      <c r="A409" t="s">
        <v>555</v>
      </c>
      <c r="B409" t="s">
        <v>28</v>
      </c>
      <c r="C409" t="s">
        <v>30</v>
      </c>
      <c r="D409">
        <v>2004</v>
      </c>
      <c r="E409">
        <v>200000</v>
      </c>
      <c r="F409" t="s">
        <v>242</v>
      </c>
      <c r="G409" t="s">
        <v>556</v>
      </c>
      <c r="H409" t="s">
        <v>27</v>
      </c>
      <c r="I409" t="s">
        <v>27</v>
      </c>
      <c r="J409" t="s">
        <v>27</v>
      </c>
      <c r="K409">
        <v>3245</v>
      </c>
      <c r="L409">
        <v>340891</v>
      </c>
      <c r="M409">
        <v>58.669809293341238</v>
      </c>
    </row>
    <row r="410" spans="1:13" hidden="1" x14ac:dyDescent="0.3">
      <c r="A410" t="s">
        <v>557</v>
      </c>
      <c r="B410" t="s">
        <v>28</v>
      </c>
      <c r="C410" t="s">
        <v>30</v>
      </c>
      <c r="D410">
        <v>2004</v>
      </c>
      <c r="E410">
        <v>889000</v>
      </c>
      <c r="F410" t="s">
        <v>446</v>
      </c>
      <c r="G410" t="s">
        <v>31</v>
      </c>
      <c r="H410" t="s">
        <v>33</v>
      </c>
      <c r="I410" t="s">
        <v>27</v>
      </c>
      <c r="J410" t="s">
        <v>33</v>
      </c>
      <c r="K410">
        <v>113700</v>
      </c>
      <c r="L410">
        <v>1515260</v>
      </c>
      <c r="M410">
        <v>58.669809293341238</v>
      </c>
    </row>
    <row r="411" spans="1:13" hidden="1" x14ac:dyDescent="0.3">
      <c r="A411" t="s">
        <v>558</v>
      </c>
      <c r="B411" t="s">
        <v>28</v>
      </c>
      <c r="C411" t="s">
        <v>30</v>
      </c>
      <c r="D411">
        <v>2004</v>
      </c>
      <c r="E411">
        <v>595000</v>
      </c>
      <c r="F411" t="s">
        <v>234</v>
      </c>
      <c r="G411" t="s">
        <v>556</v>
      </c>
      <c r="H411" t="s">
        <v>33</v>
      </c>
      <c r="I411" t="s">
        <v>27</v>
      </c>
      <c r="J411" t="s">
        <v>27</v>
      </c>
      <c r="K411">
        <v>350000</v>
      </c>
      <c r="L411">
        <v>1014150</v>
      </c>
      <c r="M411">
        <v>58.669809293341238</v>
      </c>
    </row>
    <row r="412" spans="1:13" hidden="1" x14ac:dyDescent="0.3">
      <c r="A412" t="s">
        <v>559</v>
      </c>
      <c r="B412" t="s">
        <v>28</v>
      </c>
      <c r="C412" t="s">
        <v>30</v>
      </c>
      <c r="D412">
        <v>2004</v>
      </c>
      <c r="E412">
        <v>500</v>
      </c>
      <c r="F412" t="s">
        <v>246</v>
      </c>
      <c r="G412" t="s">
        <v>31</v>
      </c>
      <c r="H412" t="s">
        <v>27</v>
      </c>
      <c r="I412" t="s">
        <v>27</v>
      </c>
      <c r="J412" t="s">
        <v>27</v>
      </c>
      <c r="K412" t="s">
        <v>31</v>
      </c>
      <c r="L412">
        <v>852</v>
      </c>
      <c r="M412">
        <v>58.669809293341238</v>
      </c>
    </row>
    <row r="413" spans="1:13" hidden="1" x14ac:dyDescent="0.3">
      <c r="A413" t="s">
        <v>560</v>
      </c>
      <c r="B413" t="s">
        <v>28</v>
      </c>
      <c r="C413" t="s">
        <v>30</v>
      </c>
      <c r="D413">
        <v>2004</v>
      </c>
      <c r="E413">
        <v>1000</v>
      </c>
      <c r="F413" t="s">
        <v>561</v>
      </c>
      <c r="G413" t="s">
        <v>31</v>
      </c>
      <c r="H413" t="s">
        <v>27</v>
      </c>
      <c r="I413" t="s">
        <v>33</v>
      </c>
      <c r="J413" t="s">
        <v>27</v>
      </c>
      <c r="K413">
        <v>560</v>
      </c>
      <c r="L413">
        <v>1704</v>
      </c>
      <c r="M413">
        <v>58.669809293341238</v>
      </c>
    </row>
    <row r="414" spans="1:13" hidden="1" x14ac:dyDescent="0.3">
      <c r="A414" t="s">
        <v>562</v>
      </c>
      <c r="B414" t="s">
        <v>28</v>
      </c>
      <c r="C414" t="s">
        <v>30</v>
      </c>
      <c r="D414">
        <v>2004</v>
      </c>
      <c r="E414">
        <v>18000000</v>
      </c>
      <c r="F414" t="s">
        <v>34</v>
      </c>
      <c r="G414" t="s">
        <v>82</v>
      </c>
      <c r="H414" t="s">
        <v>27</v>
      </c>
      <c r="I414" t="s">
        <v>27</v>
      </c>
      <c r="J414" t="s">
        <v>33</v>
      </c>
      <c r="K414" t="s">
        <v>31</v>
      </c>
      <c r="L414">
        <v>30680175</v>
      </c>
      <c r="M414">
        <v>58.669809293341238</v>
      </c>
    </row>
    <row r="415" spans="1:13" hidden="1" x14ac:dyDescent="0.3">
      <c r="A415" t="s">
        <v>563</v>
      </c>
      <c r="B415" t="s">
        <v>28</v>
      </c>
      <c r="C415" t="s">
        <v>30</v>
      </c>
      <c r="D415">
        <v>2004</v>
      </c>
      <c r="E415">
        <v>550000</v>
      </c>
      <c r="F415" t="s">
        <v>102</v>
      </c>
      <c r="G415" t="s">
        <v>85</v>
      </c>
      <c r="H415" t="s">
        <v>27</v>
      </c>
      <c r="I415" t="s">
        <v>27</v>
      </c>
      <c r="J415" t="s">
        <v>27</v>
      </c>
      <c r="K415">
        <v>1000</v>
      </c>
      <c r="L415">
        <v>937450</v>
      </c>
      <c r="M415">
        <v>58.669809293341238</v>
      </c>
    </row>
    <row r="416" spans="1:13" hidden="1" x14ac:dyDescent="0.3">
      <c r="A416" t="s">
        <v>564</v>
      </c>
      <c r="B416" t="s">
        <v>28</v>
      </c>
      <c r="C416" t="s">
        <v>30</v>
      </c>
      <c r="D416">
        <v>2004</v>
      </c>
      <c r="E416">
        <v>100000</v>
      </c>
      <c r="F416" t="s">
        <v>62</v>
      </c>
      <c r="G416" t="s">
        <v>181</v>
      </c>
      <c r="H416" t="s">
        <v>27</v>
      </c>
      <c r="I416" t="s">
        <v>27</v>
      </c>
      <c r="J416" t="s">
        <v>33</v>
      </c>
      <c r="K416">
        <v>3500</v>
      </c>
      <c r="L416">
        <v>170445</v>
      </c>
      <c r="M416">
        <v>58.669809293341238</v>
      </c>
    </row>
    <row r="417" spans="1:13" hidden="1" x14ac:dyDescent="0.3">
      <c r="A417" t="s">
        <v>565</v>
      </c>
      <c r="B417" t="s">
        <v>28</v>
      </c>
      <c r="C417" t="s">
        <v>30</v>
      </c>
      <c r="D417">
        <v>2004</v>
      </c>
      <c r="E417">
        <v>8000000</v>
      </c>
      <c r="F417" t="s">
        <v>34</v>
      </c>
      <c r="G417" t="s">
        <v>31</v>
      </c>
      <c r="H417" t="s">
        <v>27</v>
      </c>
      <c r="I417" t="s">
        <v>27</v>
      </c>
      <c r="J417" t="s">
        <v>33</v>
      </c>
      <c r="K417">
        <v>40000</v>
      </c>
      <c r="L417">
        <v>13635633</v>
      </c>
      <c r="M417">
        <v>58.669809293341238</v>
      </c>
    </row>
    <row r="418" spans="1:13" hidden="1" x14ac:dyDescent="0.3">
      <c r="A418" t="s">
        <v>566</v>
      </c>
      <c r="B418" t="s">
        <v>51</v>
      </c>
      <c r="C418" t="s">
        <v>121</v>
      </c>
      <c r="D418">
        <v>2004</v>
      </c>
      <c r="E418" t="s">
        <v>31</v>
      </c>
      <c r="F418" t="s">
        <v>47</v>
      </c>
      <c r="G418" t="s">
        <v>54</v>
      </c>
      <c r="H418" t="s">
        <v>27</v>
      </c>
      <c r="I418" t="s">
        <v>27</v>
      </c>
      <c r="J418" t="s">
        <v>33</v>
      </c>
      <c r="K418">
        <v>345386</v>
      </c>
      <c r="L418" t="s">
        <v>31</v>
      </c>
      <c r="M418">
        <v>58.669809293341238</v>
      </c>
    </row>
    <row r="419" spans="1:13" hidden="1" x14ac:dyDescent="0.3">
      <c r="A419" t="s">
        <v>567</v>
      </c>
      <c r="B419" t="s">
        <v>51</v>
      </c>
      <c r="C419" t="s">
        <v>121</v>
      </c>
      <c r="D419">
        <v>2004</v>
      </c>
      <c r="E419" t="s">
        <v>31</v>
      </c>
      <c r="F419" t="s">
        <v>166</v>
      </c>
      <c r="G419" t="s">
        <v>31</v>
      </c>
      <c r="H419" t="s">
        <v>27</v>
      </c>
      <c r="I419" t="s">
        <v>27</v>
      </c>
      <c r="J419" t="s">
        <v>27</v>
      </c>
      <c r="K419">
        <v>3400</v>
      </c>
      <c r="L419" t="s">
        <v>31</v>
      </c>
      <c r="M419">
        <v>58.669809293341238</v>
      </c>
    </row>
    <row r="420" spans="1:13" hidden="1" x14ac:dyDescent="0.3">
      <c r="A420" t="s">
        <v>568</v>
      </c>
      <c r="B420" t="s">
        <v>91</v>
      </c>
      <c r="C420" t="s">
        <v>93</v>
      </c>
      <c r="D420">
        <v>2004</v>
      </c>
      <c r="E420" t="s">
        <v>31</v>
      </c>
      <c r="F420" t="s">
        <v>35</v>
      </c>
      <c r="G420" t="s">
        <v>31</v>
      </c>
      <c r="H420" t="s">
        <v>33</v>
      </c>
      <c r="I420" t="s">
        <v>27</v>
      </c>
      <c r="J420" t="s">
        <v>27</v>
      </c>
      <c r="K420">
        <v>100</v>
      </c>
      <c r="L420" t="s">
        <v>31</v>
      </c>
      <c r="M420">
        <v>58.669809293341238</v>
      </c>
    </row>
    <row r="421" spans="1:13" hidden="1" x14ac:dyDescent="0.3">
      <c r="A421" t="s">
        <v>569</v>
      </c>
      <c r="B421" t="s">
        <v>91</v>
      </c>
      <c r="C421" t="s">
        <v>93</v>
      </c>
      <c r="D421">
        <v>2004</v>
      </c>
      <c r="E421" t="s">
        <v>31</v>
      </c>
      <c r="F421" t="s">
        <v>211</v>
      </c>
      <c r="G421" t="s">
        <v>31</v>
      </c>
      <c r="H421" t="s">
        <v>27</v>
      </c>
      <c r="I421" t="s">
        <v>27</v>
      </c>
      <c r="J421" t="s">
        <v>27</v>
      </c>
      <c r="K421">
        <v>153</v>
      </c>
      <c r="L421" t="s">
        <v>31</v>
      </c>
      <c r="M421">
        <v>58.669809293341238</v>
      </c>
    </row>
    <row r="422" spans="1:13" hidden="1" x14ac:dyDescent="0.3">
      <c r="A422" t="s">
        <v>570</v>
      </c>
      <c r="B422" t="s">
        <v>51</v>
      </c>
      <c r="C422" t="s">
        <v>150</v>
      </c>
      <c r="D422">
        <v>2004</v>
      </c>
      <c r="E422" t="s">
        <v>31</v>
      </c>
      <c r="F422" t="s">
        <v>561</v>
      </c>
      <c r="G422" t="s">
        <v>31</v>
      </c>
      <c r="H422" t="s">
        <v>27</v>
      </c>
      <c r="I422" t="s">
        <v>27</v>
      </c>
      <c r="J422" t="s">
        <v>27</v>
      </c>
      <c r="K422">
        <v>1200</v>
      </c>
      <c r="L422" t="s">
        <v>31</v>
      </c>
      <c r="M422">
        <v>58.669809293341238</v>
      </c>
    </row>
    <row r="423" spans="1:13" hidden="1" x14ac:dyDescent="0.3">
      <c r="A423" t="s">
        <v>571</v>
      </c>
      <c r="B423" t="s">
        <v>28</v>
      </c>
      <c r="C423" t="s">
        <v>68</v>
      </c>
      <c r="D423">
        <v>2004</v>
      </c>
      <c r="E423" t="s">
        <v>31</v>
      </c>
      <c r="F423" t="s">
        <v>73</v>
      </c>
      <c r="G423" t="s">
        <v>31</v>
      </c>
      <c r="H423" t="s">
        <v>27</v>
      </c>
      <c r="I423" t="s">
        <v>27</v>
      </c>
      <c r="J423" t="s">
        <v>27</v>
      </c>
      <c r="K423" t="s">
        <v>31</v>
      </c>
      <c r="L423" t="s">
        <v>31</v>
      </c>
      <c r="M423">
        <v>58.669809293341238</v>
      </c>
    </row>
    <row r="424" spans="1:13" hidden="1" x14ac:dyDescent="0.3">
      <c r="A424" t="s">
        <v>572</v>
      </c>
      <c r="B424" t="s">
        <v>39</v>
      </c>
      <c r="C424" t="s">
        <v>157</v>
      </c>
      <c r="D424">
        <v>2004</v>
      </c>
      <c r="E424" t="s">
        <v>31</v>
      </c>
      <c r="F424" t="s">
        <v>53</v>
      </c>
      <c r="G424" t="s">
        <v>68</v>
      </c>
      <c r="H424" t="s">
        <v>27</v>
      </c>
      <c r="I424" t="s">
        <v>27</v>
      </c>
      <c r="J424" t="s">
        <v>33</v>
      </c>
      <c r="K424" t="s">
        <v>31</v>
      </c>
      <c r="L424" t="s">
        <v>31</v>
      </c>
      <c r="M424">
        <v>58.669809293341238</v>
      </c>
    </row>
    <row r="425" spans="1:13" hidden="1" x14ac:dyDescent="0.3">
      <c r="A425" t="s">
        <v>573</v>
      </c>
      <c r="B425" t="s">
        <v>28</v>
      </c>
      <c r="C425" t="s">
        <v>68</v>
      </c>
      <c r="D425">
        <v>2004</v>
      </c>
      <c r="E425" t="s">
        <v>31</v>
      </c>
      <c r="F425" t="s">
        <v>34</v>
      </c>
      <c r="G425" t="s">
        <v>31</v>
      </c>
      <c r="H425" t="s">
        <v>27</v>
      </c>
      <c r="I425" t="s">
        <v>27</v>
      </c>
      <c r="J425" t="s">
        <v>27</v>
      </c>
      <c r="K425" t="s">
        <v>31</v>
      </c>
      <c r="L425" t="s">
        <v>31</v>
      </c>
      <c r="M425">
        <v>58.669809293341238</v>
      </c>
    </row>
    <row r="426" spans="1:13" hidden="1" x14ac:dyDescent="0.3">
      <c r="A426" t="s">
        <v>574</v>
      </c>
      <c r="B426" t="s">
        <v>39</v>
      </c>
      <c r="C426" t="s">
        <v>157</v>
      </c>
      <c r="D426">
        <v>2004</v>
      </c>
      <c r="E426" t="s">
        <v>31</v>
      </c>
      <c r="F426" t="s">
        <v>111</v>
      </c>
      <c r="G426" t="s">
        <v>31</v>
      </c>
      <c r="H426" t="s">
        <v>27</v>
      </c>
      <c r="I426" t="s">
        <v>27</v>
      </c>
      <c r="J426" t="s">
        <v>33</v>
      </c>
      <c r="K426">
        <v>55000</v>
      </c>
      <c r="L426" t="s">
        <v>31</v>
      </c>
      <c r="M426">
        <v>58.669809293341238</v>
      </c>
    </row>
    <row r="427" spans="1:13" hidden="1" x14ac:dyDescent="0.3">
      <c r="A427" t="s">
        <v>575</v>
      </c>
      <c r="B427" t="s">
        <v>39</v>
      </c>
      <c r="C427" t="s">
        <v>157</v>
      </c>
      <c r="D427">
        <v>2004</v>
      </c>
      <c r="E427">
        <v>1650000</v>
      </c>
      <c r="F427" t="s">
        <v>119</v>
      </c>
      <c r="G427" t="s">
        <v>31</v>
      </c>
      <c r="H427" t="s">
        <v>27</v>
      </c>
      <c r="I427" t="s">
        <v>27</v>
      </c>
      <c r="J427" t="s">
        <v>27</v>
      </c>
      <c r="K427" t="s">
        <v>31</v>
      </c>
      <c r="L427">
        <v>2812349</v>
      </c>
      <c r="M427">
        <v>58.669809293341238</v>
      </c>
    </row>
    <row r="428" spans="1:13" hidden="1" x14ac:dyDescent="0.3">
      <c r="A428" t="s">
        <v>917</v>
      </c>
      <c r="B428" t="s">
        <v>28</v>
      </c>
      <c r="C428" t="s">
        <v>67</v>
      </c>
      <c r="D428">
        <v>2004</v>
      </c>
      <c r="E428">
        <v>100000</v>
      </c>
      <c r="F428" t="s">
        <v>77</v>
      </c>
      <c r="G428" t="s">
        <v>68</v>
      </c>
      <c r="H428" t="s">
        <v>27</v>
      </c>
      <c r="I428" t="s">
        <v>27</v>
      </c>
      <c r="J428" t="s">
        <v>27</v>
      </c>
      <c r="K428" t="s">
        <v>31</v>
      </c>
      <c r="L428">
        <v>170445</v>
      </c>
      <c r="M428">
        <v>58.669809293341238</v>
      </c>
    </row>
    <row r="429" spans="1:13" hidden="1" x14ac:dyDescent="0.3">
      <c r="A429" t="s">
        <v>918</v>
      </c>
      <c r="B429" t="s">
        <v>28</v>
      </c>
      <c r="C429" t="s">
        <v>67</v>
      </c>
      <c r="D429">
        <v>2004</v>
      </c>
      <c r="E429" t="s">
        <v>31</v>
      </c>
      <c r="F429" t="s">
        <v>77</v>
      </c>
      <c r="G429" t="s">
        <v>31</v>
      </c>
      <c r="H429" t="s">
        <v>27</v>
      </c>
      <c r="I429" t="s">
        <v>27</v>
      </c>
      <c r="J429" t="s">
        <v>33</v>
      </c>
      <c r="K429" t="s">
        <v>31</v>
      </c>
      <c r="L429" t="s">
        <v>31</v>
      </c>
      <c r="M429">
        <v>58.669809293341238</v>
      </c>
    </row>
    <row r="430" spans="1:13" hidden="1" x14ac:dyDescent="0.3">
      <c r="A430" t="s">
        <v>919</v>
      </c>
      <c r="B430" t="s">
        <v>51</v>
      </c>
      <c r="C430" t="s">
        <v>150</v>
      </c>
      <c r="D430">
        <v>2004</v>
      </c>
      <c r="E430" t="s">
        <v>31</v>
      </c>
      <c r="F430" t="s">
        <v>53</v>
      </c>
      <c r="G430" t="s">
        <v>37</v>
      </c>
      <c r="H430" t="s">
        <v>27</v>
      </c>
      <c r="I430" t="s">
        <v>27</v>
      </c>
      <c r="J430" t="s">
        <v>27</v>
      </c>
      <c r="K430">
        <v>76</v>
      </c>
      <c r="L430" t="s">
        <v>31</v>
      </c>
      <c r="M430">
        <v>58.669809293341238</v>
      </c>
    </row>
    <row r="431" spans="1:13" hidden="1" x14ac:dyDescent="0.3">
      <c r="A431" t="s">
        <v>920</v>
      </c>
      <c r="B431" t="s">
        <v>28</v>
      </c>
      <c r="C431" t="s">
        <v>99</v>
      </c>
      <c r="D431">
        <v>2004</v>
      </c>
      <c r="E431">
        <v>700000</v>
      </c>
      <c r="F431" t="s">
        <v>34</v>
      </c>
      <c r="G431" t="s">
        <v>100</v>
      </c>
      <c r="H431" t="s">
        <v>27</v>
      </c>
      <c r="I431" t="s">
        <v>27</v>
      </c>
      <c r="J431" t="s">
        <v>33</v>
      </c>
      <c r="K431">
        <v>1000</v>
      </c>
      <c r="L431">
        <v>1193118</v>
      </c>
      <c r="M431">
        <v>58.669809293341238</v>
      </c>
    </row>
    <row r="432" spans="1:13" hidden="1" x14ac:dyDescent="0.3">
      <c r="A432" t="s">
        <v>921</v>
      </c>
      <c r="B432" t="s">
        <v>51</v>
      </c>
      <c r="C432" t="s">
        <v>121</v>
      </c>
      <c r="D432">
        <v>2004</v>
      </c>
      <c r="E432" t="s">
        <v>31</v>
      </c>
      <c r="F432" t="s">
        <v>45</v>
      </c>
      <c r="G432" t="s">
        <v>31</v>
      </c>
      <c r="H432" t="s">
        <v>33</v>
      </c>
      <c r="I432" t="s">
        <v>27</v>
      </c>
      <c r="J432" t="s">
        <v>27</v>
      </c>
      <c r="K432">
        <v>31283</v>
      </c>
      <c r="L432" t="s">
        <v>31</v>
      </c>
      <c r="M432">
        <v>58.669809293341238</v>
      </c>
    </row>
    <row r="433" spans="1:13" hidden="1" x14ac:dyDescent="0.3">
      <c r="A433" t="s">
        <v>922</v>
      </c>
      <c r="B433" t="s">
        <v>51</v>
      </c>
      <c r="C433" t="s">
        <v>121</v>
      </c>
      <c r="D433">
        <v>2004</v>
      </c>
      <c r="E433" t="s">
        <v>31</v>
      </c>
      <c r="F433" t="s">
        <v>62</v>
      </c>
      <c r="G433" t="s">
        <v>31</v>
      </c>
      <c r="H433" t="s">
        <v>27</v>
      </c>
      <c r="I433" t="s">
        <v>27</v>
      </c>
      <c r="J433" t="s">
        <v>27</v>
      </c>
      <c r="K433" t="s">
        <v>31</v>
      </c>
      <c r="L433" t="s">
        <v>31</v>
      </c>
      <c r="M433">
        <v>58.669809293341238</v>
      </c>
    </row>
    <row r="434" spans="1:13" hidden="1" x14ac:dyDescent="0.3">
      <c r="A434" t="s">
        <v>923</v>
      </c>
      <c r="B434" t="s">
        <v>28</v>
      </c>
      <c r="C434" t="s">
        <v>189</v>
      </c>
      <c r="D434">
        <v>2004</v>
      </c>
      <c r="E434" t="s">
        <v>31</v>
      </c>
      <c r="F434" t="s">
        <v>81</v>
      </c>
      <c r="G434" t="s">
        <v>37</v>
      </c>
      <c r="H434" t="s">
        <v>27</v>
      </c>
      <c r="I434" t="s">
        <v>27</v>
      </c>
      <c r="J434" t="s">
        <v>27</v>
      </c>
      <c r="K434">
        <v>200</v>
      </c>
      <c r="L434" t="s">
        <v>31</v>
      </c>
      <c r="M434">
        <v>58.669809293341238</v>
      </c>
    </row>
    <row r="435" spans="1:13" hidden="1" x14ac:dyDescent="0.3">
      <c r="A435" t="s">
        <v>924</v>
      </c>
      <c r="B435" t="s">
        <v>51</v>
      </c>
      <c r="C435" t="s">
        <v>121</v>
      </c>
      <c r="D435">
        <v>2004</v>
      </c>
      <c r="E435" t="s">
        <v>31</v>
      </c>
      <c r="F435" t="s">
        <v>130</v>
      </c>
      <c r="G435" t="s">
        <v>405</v>
      </c>
      <c r="H435" t="s">
        <v>27</v>
      </c>
      <c r="I435" t="s">
        <v>27</v>
      </c>
      <c r="J435" t="s">
        <v>27</v>
      </c>
      <c r="K435">
        <v>1307</v>
      </c>
      <c r="L435" t="s">
        <v>31</v>
      </c>
      <c r="M435">
        <v>58.669809293341238</v>
      </c>
    </row>
    <row r="436" spans="1:13" hidden="1" x14ac:dyDescent="0.3">
      <c r="A436" t="s">
        <v>925</v>
      </c>
      <c r="B436" t="s">
        <v>28</v>
      </c>
      <c r="C436" t="s">
        <v>68</v>
      </c>
      <c r="D436">
        <v>2004</v>
      </c>
      <c r="E436" t="s">
        <v>31</v>
      </c>
      <c r="F436" t="s">
        <v>117</v>
      </c>
      <c r="G436" t="s">
        <v>31</v>
      </c>
      <c r="H436" t="s">
        <v>27</v>
      </c>
      <c r="I436" t="s">
        <v>27</v>
      </c>
      <c r="J436" t="s">
        <v>27</v>
      </c>
      <c r="K436" t="s">
        <v>31</v>
      </c>
      <c r="L436" t="s">
        <v>31</v>
      </c>
      <c r="M436">
        <v>58.669809293341238</v>
      </c>
    </row>
    <row r="437" spans="1:13" hidden="1" x14ac:dyDescent="0.3">
      <c r="A437" t="s">
        <v>927</v>
      </c>
      <c r="B437" t="s">
        <v>28</v>
      </c>
      <c r="C437" t="s">
        <v>30</v>
      </c>
      <c r="D437">
        <v>2004</v>
      </c>
      <c r="E437">
        <v>1000000</v>
      </c>
      <c r="F437" t="s">
        <v>242</v>
      </c>
      <c r="G437" t="s">
        <v>31</v>
      </c>
      <c r="H437" t="s">
        <v>27</v>
      </c>
      <c r="I437" t="s">
        <v>27</v>
      </c>
      <c r="J437" t="s">
        <v>27</v>
      </c>
      <c r="K437">
        <v>244005</v>
      </c>
      <c r="L437">
        <v>1704454</v>
      </c>
      <c r="M437">
        <v>58.669809293341238</v>
      </c>
    </row>
    <row r="438" spans="1:13" hidden="1" x14ac:dyDescent="0.3">
      <c r="A438" t="s">
        <v>928</v>
      </c>
      <c r="B438" t="s">
        <v>28</v>
      </c>
      <c r="C438" t="s">
        <v>30</v>
      </c>
      <c r="D438">
        <v>2004</v>
      </c>
      <c r="E438">
        <v>5000</v>
      </c>
      <c r="F438" t="s">
        <v>670</v>
      </c>
      <c r="G438" t="s">
        <v>37</v>
      </c>
      <c r="H438" t="s">
        <v>27</v>
      </c>
      <c r="I438" t="s">
        <v>27</v>
      </c>
      <c r="J438" t="s">
        <v>27</v>
      </c>
      <c r="K438" t="s">
        <v>31</v>
      </c>
      <c r="L438">
        <v>8522</v>
      </c>
      <c r="M438">
        <v>58.669809293341238</v>
      </c>
    </row>
    <row r="439" spans="1:13" hidden="1" x14ac:dyDescent="0.3">
      <c r="A439" t="s">
        <v>929</v>
      </c>
      <c r="B439" t="s">
        <v>28</v>
      </c>
      <c r="C439" t="s">
        <v>30</v>
      </c>
      <c r="D439">
        <v>2004</v>
      </c>
      <c r="E439">
        <v>300000</v>
      </c>
      <c r="F439" t="s">
        <v>234</v>
      </c>
      <c r="G439" t="s">
        <v>37</v>
      </c>
      <c r="H439" t="s">
        <v>27</v>
      </c>
      <c r="I439" t="s">
        <v>27</v>
      </c>
      <c r="J439" t="s">
        <v>27</v>
      </c>
      <c r="K439">
        <v>126</v>
      </c>
      <c r="L439">
        <v>511336</v>
      </c>
      <c r="M439">
        <v>58.669809293341238</v>
      </c>
    </row>
    <row r="440" spans="1:13" hidden="1" x14ac:dyDescent="0.3">
      <c r="A440" t="s">
        <v>930</v>
      </c>
      <c r="B440" t="s">
        <v>28</v>
      </c>
      <c r="C440" t="s">
        <v>30</v>
      </c>
      <c r="D440">
        <v>2004</v>
      </c>
      <c r="E440">
        <v>16000000</v>
      </c>
      <c r="F440" t="s">
        <v>34</v>
      </c>
      <c r="G440" t="s">
        <v>290</v>
      </c>
      <c r="H440" t="s">
        <v>27</v>
      </c>
      <c r="I440" t="s">
        <v>27</v>
      </c>
      <c r="J440" t="s">
        <v>33</v>
      </c>
      <c r="K440">
        <v>30000</v>
      </c>
      <c r="L440">
        <v>27271266</v>
      </c>
      <c r="M440">
        <v>58.669809293341238</v>
      </c>
    </row>
    <row r="441" spans="1:13" hidden="1" x14ac:dyDescent="0.3">
      <c r="A441" t="s">
        <v>931</v>
      </c>
      <c r="B441" t="s">
        <v>28</v>
      </c>
      <c r="C441" t="s">
        <v>30</v>
      </c>
      <c r="D441">
        <v>2004</v>
      </c>
      <c r="E441" t="s">
        <v>31</v>
      </c>
      <c r="F441" t="s">
        <v>75</v>
      </c>
      <c r="G441" t="s">
        <v>31</v>
      </c>
      <c r="H441" t="s">
        <v>27</v>
      </c>
      <c r="I441" t="s">
        <v>27</v>
      </c>
      <c r="J441" t="s">
        <v>27</v>
      </c>
      <c r="K441">
        <v>250</v>
      </c>
      <c r="L441" t="s">
        <v>31</v>
      </c>
      <c r="M441">
        <v>58.669809293341238</v>
      </c>
    </row>
    <row r="442" spans="1:13" hidden="1" x14ac:dyDescent="0.3">
      <c r="A442" t="s">
        <v>932</v>
      </c>
      <c r="B442" t="s">
        <v>28</v>
      </c>
      <c r="C442" t="s">
        <v>30</v>
      </c>
      <c r="D442">
        <v>2004</v>
      </c>
      <c r="E442" t="s">
        <v>31</v>
      </c>
      <c r="F442" t="s">
        <v>674</v>
      </c>
      <c r="G442" t="s">
        <v>31</v>
      </c>
      <c r="H442" t="s">
        <v>27</v>
      </c>
      <c r="I442" t="s">
        <v>27</v>
      </c>
      <c r="J442" t="s">
        <v>27</v>
      </c>
      <c r="K442">
        <v>200</v>
      </c>
      <c r="L442" t="s">
        <v>31</v>
      </c>
      <c r="M442">
        <v>58.669809293341238</v>
      </c>
    </row>
    <row r="443" spans="1:13" hidden="1" x14ac:dyDescent="0.3">
      <c r="A443" t="s">
        <v>933</v>
      </c>
      <c r="B443" t="s">
        <v>28</v>
      </c>
      <c r="C443" t="s">
        <v>30</v>
      </c>
      <c r="D443">
        <v>2004</v>
      </c>
      <c r="E443">
        <v>3430080</v>
      </c>
      <c r="F443" t="s">
        <v>670</v>
      </c>
      <c r="G443" t="s">
        <v>31</v>
      </c>
      <c r="H443" t="s">
        <v>27</v>
      </c>
      <c r="I443" t="s">
        <v>27</v>
      </c>
      <c r="J443" t="s">
        <v>27</v>
      </c>
      <c r="K443" t="s">
        <v>31</v>
      </c>
      <c r="L443">
        <v>5846414</v>
      </c>
      <c r="M443">
        <v>58.669809293341238</v>
      </c>
    </row>
    <row r="444" spans="1:13" hidden="1" x14ac:dyDescent="0.3">
      <c r="A444" t="s">
        <v>934</v>
      </c>
      <c r="B444" t="s">
        <v>28</v>
      </c>
      <c r="C444" t="s">
        <v>30</v>
      </c>
      <c r="D444">
        <v>2004</v>
      </c>
      <c r="E444">
        <v>1000</v>
      </c>
      <c r="F444" t="s">
        <v>75</v>
      </c>
      <c r="G444" t="s">
        <v>31</v>
      </c>
      <c r="H444" t="s">
        <v>27</v>
      </c>
      <c r="I444" t="s">
        <v>27</v>
      </c>
      <c r="J444" t="s">
        <v>27</v>
      </c>
      <c r="K444" t="s">
        <v>31</v>
      </c>
      <c r="L444">
        <v>1704</v>
      </c>
      <c r="M444">
        <v>58.669809293341238</v>
      </c>
    </row>
    <row r="445" spans="1:13" hidden="1" x14ac:dyDescent="0.3">
      <c r="A445" t="s">
        <v>935</v>
      </c>
      <c r="B445" t="s">
        <v>28</v>
      </c>
      <c r="C445" t="s">
        <v>30</v>
      </c>
      <c r="D445">
        <v>2004</v>
      </c>
      <c r="E445">
        <v>40000</v>
      </c>
      <c r="F445" t="s">
        <v>148</v>
      </c>
      <c r="G445" t="s">
        <v>31</v>
      </c>
      <c r="H445" t="s">
        <v>27</v>
      </c>
      <c r="I445" t="s">
        <v>27</v>
      </c>
      <c r="J445" t="s">
        <v>27</v>
      </c>
      <c r="K445">
        <v>1004</v>
      </c>
      <c r="L445">
        <v>68178</v>
      </c>
      <c r="M445">
        <v>58.669809293341238</v>
      </c>
    </row>
    <row r="446" spans="1:13" hidden="1" x14ac:dyDescent="0.3">
      <c r="A446" t="s">
        <v>936</v>
      </c>
      <c r="B446" t="s">
        <v>28</v>
      </c>
      <c r="C446" t="s">
        <v>30</v>
      </c>
      <c r="D446">
        <v>2004</v>
      </c>
      <c r="E446" t="s">
        <v>31</v>
      </c>
      <c r="F446" t="s">
        <v>205</v>
      </c>
      <c r="G446" t="s">
        <v>31</v>
      </c>
      <c r="H446" t="s">
        <v>27</v>
      </c>
      <c r="I446" t="s">
        <v>27</v>
      </c>
      <c r="J446" t="s">
        <v>27</v>
      </c>
      <c r="K446" t="s">
        <v>31</v>
      </c>
      <c r="L446" t="s">
        <v>31</v>
      </c>
      <c r="M446">
        <v>58.669809293341238</v>
      </c>
    </row>
    <row r="447" spans="1:13" hidden="1" x14ac:dyDescent="0.3">
      <c r="A447" t="s">
        <v>937</v>
      </c>
      <c r="B447" t="s">
        <v>51</v>
      </c>
      <c r="C447" t="s">
        <v>121</v>
      </c>
      <c r="D447">
        <v>2004</v>
      </c>
      <c r="E447" t="s">
        <v>31</v>
      </c>
      <c r="F447" t="s">
        <v>161</v>
      </c>
      <c r="G447" t="s">
        <v>54</v>
      </c>
      <c r="H447" t="s">
        <v>27</v>
      </c>
      <c r="I447" t="s">
        <v>27</v>
      </c>
      <c r="J447" t="s">
        <v>27</v>
      </c>
      <c r="K447">
        <v>1000</v>
      </c>
      <c r="L447" t="s">
        <v>31</v>
      </c>
      <c r="M447">
        <v>58.669809293341238</v>
      </c>
    </row>
    <row r="448" spans="1:13" hidden="1" x14ac:dyDescent="0.3">
      <c r="A448" t="s">
        <v>938</v>
      </c>
      <c r="B448" t="s">
        <v>51</v>
      </c>
      <c r="C448" t="s">
        <v>121</v>
      </c>
      <c r="D448">
        <v>2004</v>
      </c>
      <c r="E448">
        <v>1000</v>
      </c>
      <c r="F448" t="s">
        <v>34</v>
      </c>
      <c r="G448" t="s">
        <v>31</v>
      </c>
      <c r="H448" t="s">
        <v>27</v>
      </c>
      <c r="I448" t="s">
        <v>27</v>
      </c>
      <c r="J448" t="s">
        <v>33</v>
      </c>
      <c r="K448">
        <v>105</v>
      </c>
      <c r="L448">
        <v>1704</v>
      </c>
      <c r="M448">
        <v>58.669809293341238</v>
      </c>
    </row>
    <row r="449" spans="1:13" hidden="1" x14ac:dyDescent="0.3">
      <c r="A449" t="s">
        <v>939</v>
      </c>
      <c r="B449" t="s">
        <v>91</v>
      </c>
      <c r="C449" t="s">
        <v>93</v>
      </c>
      <c r="D449">
        <v>2004</v>
      </c>
      <c r="E449" t="s">
        <v>31</v>
      </c>
      <c r="F449" t="s">
        <v>47</v>
      </c>
      <c r="G449" t="s">
        <v>31</v>
      </c>
      <c r="H449" t="s">
        <v>27</v>
      </c>
      <c r="I449" t="s">
        <v>27</v>
      </c>
      <c r="J449" t="s">
        <v>27</v>
      </c>
      <c r="K449">
        <v>8036</v>
      </c>
      <c r="L449" t="s">
        <v>31</v>
      </c>
      <c r="M449">
        <v>58.669809293341238</v>
      </c>
    </row>
    <row r="450" spans="1:13" hidden="1" x14ac:dyDescent="0.3">
      <c r="A450" t="s">
        <v>940</v>
      </c>
      <c r="B450" t="s">
        <v>91</v>
      </c>
      <c r="C450" t="s">
        <v>93</v>
      </c>
      <c r="D450">
        <v>2004</v>
      </c>
      <c r="E450" t="s">
        <v>31</v>
      </c>
      <c r="F450" t="s">
        <v>161</v>
      </c>
      <c r="G450" t="s">
        <v>54</v>
      </c>
      <c r="H450" t="s">
        <v>27</v>
      </c>
      <c r="I450" t="s">
        <v>27</v>
      </c>
      <c r="J450" t="s">
        <v>27</v>
      </c>
      <c r="K450">
        <v>280</v>
      </c>
      <c r="L450" t="s">
        <v>31</v>
      </c>
      <c r="M450">
        <v>58.669809293341238</v>
      </c>
    </row>
    <row r="451" spans="1:13" hidden="1" x14ac:dyDescent="0.3">
      <c r="A451" t="s">
        <v>941</v>
      </c>
      <c r="B451" t="s">
        <v>51</v>
      </c>
      <c r="C451" t="s">
        <v>121</v>
      </c>
      <c r="D451">
        <v>2004</v>
      </c>
      <c r="E451">
        <v>500000</v>
      </c>
      <c r="F451" t="s">
        <v>34</v>
      </c>
      <c r="G451" t="s">
        <v>31</v>
      </c>
      <c r="H451" t="s">
        <v>27</v>
      </c>
      <c r="I451" t="s">
        <v>27</v>
      </c>
      <c r="J451" t="s">
        <v>27</v>
      </c>
      <c r="K451" t="s">
        <v>31</v>
      </c>
      <c r="L451">
        <v>852227</v>
      </c>
      <c r="M451">
        <v>58.669809293341238</v>
      </c>
    </row>
    <row r="452" spans="1:13" hidden="1" x14ac:dyDescent="0.3">
      <c r="A452" t="s">
        <v>942</v>
      </c>
      <c r="B452" t="s">
        <v>51</v>
      </c>
      <c r="C452" t="s">
        <v>121</v>
      </c>
      <c r="D452">
        <v>2004</v>
      </c>
      <c r="E452" t="s">
        <v>31</v>
      </c>
      <c r="F452" t="s">
        <v>70</v>
      </c>
      <c r="G452" t="s">
        <v>54</v>
      </c>
      <c r="H452" t="s">
        <v>27</v>
      </c>
      <c r="I452" t="s">
        <v>27</v>
      </c>
      <c r="J452" t="s">
        <v>27</v>
      </c>
      <c r="K452">
        <v>4000</v>
      </c>
      <c r="L452" t="s">
        <v>31</v>
      </c>
      <c r="M452">
        <v>58.669809293341238</v>
      </c>
    </row>
    <row r="453" spans="1:13" hidden="1" x14ac:dyDescent="0.3">
      <c r="A453" t="s">
        <v>943</v>
      </c>
      <c r="B453" t="s">
        <v>39</v>
      </c>
      <c r="C453" t="s">
        <v>157</v>
      </c>
      <c r="D453">
        <v>2004</v>
      </c>
      <c r="E453">
        <v>3139</v>
      </c>
      <c r="F453" t="s">
        <v>242</v>
      </c>
      <c r="G453" t="s">
        <v>31</v>
      </c>
      <c r="H453" t="s">
        <v>27</v>
      </c>
      <c r="I453" t="s">
        <v>27</v>
      </c>
      <c r="J453" t="s">
        <v>27</v>
      </c>
      <c r="K453" t="s">
        <v>31</v>
      </c>
      <c r="L453">
        <v>5350</v>
      </c>
      <c r="M453">
        <v>58.669809293341238</v>
      </c>
    </row>
    <row r="454" spans="1:13" hidden="1" x14ac:dyDescent="0.3">
      <c r="A454" t="s">
        <v>1507</v>
      </c>
      <c r="B454" t="s">
        <v>28</v>
      </c>
      <c r="C454" t="s">
        <v>67</v>
      </c>
      <c r="D454">
        <v>2004</v>
      </c>
      <c r="E454">
        <v>60000</v>
      </c>
      <c r="F454" t="s">
        <v>34</v>
      </c>
      <c r="G454" t="s">
        <v>279</v>
      </c>
      <c r="H454" t="s">
        <v>27</v>
      </c>
      <c r="I454" t="s">
        <v>27</v>
      </c>
      <c r="J454" t="s">
        <v>33</v>
      </c>
      <c r="K454" t="s">
        <v>31</v>
      </c>
      <c r="L454">
        <v>102267</v>
      </c>
      <c r="M454">
        <v>58.669809293341238</v>
      </c>
    </row>
    <row r="455" spans="1:13" hidden="1" x14ac:dyDescent="0.3">
      <c r="A455" t="s">
        <v>1508</v>
      </c>
      <c r="B455" t="s">
        <v>28</v>
      </c>
      <c r="C455" t="s">
        <v>97</v>
      </c>
      <c r="D455">
        <v>2004</v>
      </c>
      <c r="E455">
        <v>300000</v>
      </c>
      <c r="F455" t="s">
        <v>34</v>
      </c>
      <c r="G455" t="s">
        <v>666</v>
      </c>
      <c r="H455" t="s">
        <v>27</v>
      </c>
      <c r="I455" t="s">
        <v>27</v>
      </c>
      <c r="J455" t="s">
        <v>27</v>
      </c>
      <c r="K455">
        <v>1749</v>
      </c>
      <c r="L455">
        <v>511336</v>
      </c>
      <c r="M455">
        <v>58.669809293341238</v>
      </c>
    </row>
    <row r="456" spans="1:13" hidden="1" x14ac:dyDescent="0.3">
      <c r="A456" t="s">
        <v>1509</v>
      </c>
      <c r="B456" t="s">
        <v>28</v>
      </c>
      <c r="C456" t="s">
        <v>30</v>
      </c>
      <c r="D456">
        <v>2004</v>
      </c>
      <c r="E456">
        <v>350000</v>
      </c>
      <c r="F456" t="s">
        <v>119</v>
      </c>
      <c r="G456" t="s">
        <v>87</v>
      </c>
      <c r="H456" t="s">
        <v>27</v>
      </c>
      <c r="I456" t="s">
        <v>27</v>
      </c>
      <c r="J456" t="s">
        <v>27</v>
      </c>
      <c r="K456">
        <v>150060</v>
      </c>
      <c r="L456">
        <v>596559</v>
      </c>
      <c r="M456">
        <v>58.669809293341238</v>
      </c>
    </row>
    <row r="457" spans="1:13" hidden="1" x14ac:dyDescent="0.3">
      <c r="A457" t="s">
        <v>1510</v>
      </c>
      <c r="B457" t="s">
        <v>51</v>
      </c>
      <c r="C457" t="s">
        <v>121</v>
      </c>
      <c r="D457">
        <v>2004</v>
      </c>
      <c r="E457" t="s">
        <v>31</v>
      </c>
      <c r="F457" t="s">
        <v>53</v>
      </c>
      <c r="G457" t="s">
        <v>54</v>
      </c>
      <c r="H457" t="s">
        <v>27</v>
      </c>
      <c r="I457" t="s">
        <v>27</v>
      </c>
      <c r="J457" t="s">
        <v>27</v>
      </c>
      <c r="K457">
        <v>7500</v>
      </c>
      <c r="L457" t="s">
        <v>31</v>
      </c>
      <c r="M457">
        <v>58.669809293341238</v>
      </c>
    </row>
    <row r="458" spans="1:13" hidden="1" x14ac:dyDescent="0.3">
      <c r="A458" t="s">
        <v>1511</v>
      </c>
      <c r="B458" t="s">
        <v>51</v>
      </c>
      <c r="C458" t="s">
        <v>121</v>
      </c>
      <c r="D458">
        <v>2004</v>
      </c>
      <c r="E458" t="s">
        <v>31</v>
      </c>
      <c r="F458" t="s">
        <v>161</v>
      </c>
      <c r="G458" t="s">
        <v>473</v>
      </c>
      <c r="H458" t="s">
        <v>27</v>
      </c>
      <c r="I458" t="s">
        <v>27</v>
      </c>
      <c r="J458" t="s">
        <v>27</v>
      </c>
      <c r="K458">
        <v>2056</v>
      </c>
      <c r="L458" t="s">
        <v>31</v>
      </c>
      <c r="M458">
        <v>58.669809293341238</v>
      </c>
    </row>
    <row r="459" spans="1:13" x14ac:dyDescent="0.3">
      <c r="D459" s="2" t="s">
        <v>2571</v>
      </c>
      <c r="E459" s="2">
        <f>SUM(E315)</f>
        <v>303000</v>
      </c>
    </row>
    <row r="460" spans="1:13" x14ac:dyDescent="0.3">
      <c r="A460" t="s">
        <v>1512</v>
      </c>
      <c r="B460" t="s">
        <v>51</v>
      </c>
      <c r="C460" t="s">
        <v>121</v>
      </c>
      <c r="D460">
        <v>2004</v>
      </c>
      <c r="E460">
        <v>370</v>
      </c>
      <c r="F460" t="s">
        <v>119</v>
      </c>
      <c r="G460" t="s">
        <v>54</v>
      </c>
      <c r="H460" t="s">
        <v>27</v>
      </c>
      <c r="I460" t="s">
        <v>27</v>
      </c>
      <c r="J460" t="s">
        <v>33</v>
      </c>
      <c r="K460">
        <v>2254</v>
      </c>
      <c r="L460">
        <v>631</v>
      </c>
      <c r="M460">
        <v>58.669809293341238</v>
      </c>
    </row>
    <row r="461" spans="1:13" hidden="1" x14ac:dyDescent="0.3">
      <c r="A461" t="s">
        <v>1513</v>
      </c>
      <c r="B461" t="s">
        <v>51</v>
      </c>
      <c r="C461" t="s">
        <v>121</v>
      </c>
      <c r="D461">
        <v>2004</v>
      </c>
      <c r="E461" t="s">
        <v>31</v>
      </c>
      <c r="F461" t="s">
        <v>34</v>
      </c>
      <c r="G461" t="s">
        <v>31</v>
      </c>
      <c r="H461" t="s">
        <v>27</v>
      </c>
      <c r="I461" t="s">
        <v>27</v>
      </c>
      <c r="J461" t="s">
        <v>27</v>
      </c>
      <c r="K461">
        <v>4929</v>
      </c>
      <c r="L461" t="s">
        <v>31</v>
      </c>
      <c r="M461">
        <v>58.669809293341238</v>
      </c>
    </row>
    <row r="462" spans="1:13" hidden="1" x14ac:dyDescent="0.3">
      <c r="A462" t="s">
        <v>1514</v>
      </c>
      <c r="B462" t="s">
        <v>51</v>
      </c>
      <c r="C462" t="s">
        <v>121</v>
      </c>
      <c r="D462">
        <v>2004</v>
      </c>
      <c r="E462">
        <v>3600</v>
      </c>
      <c r="F462" t="s">
        <v>73</v>
      </c>
      <c r="G462" t="s">
        <v>31</v>
      </c>
      <c r="H462" t="s">
        <v>27</v>
      </c>
      <c r="I462" t="s">
        <v>27</v>
      </c>
      <c r="J462" t="s">
        <v>27</v>
      </c>
      <c r="K462">
        <v>350</v>
      </c>
      <c r="L462">
        <v>6136</v>
      </c>
      <c r="M462">
        <v>58.669809293341238</v>
      </c>
    </row>
    <row r="463" spans="1:13" hidden="1" x14ac:dyDescent="0.3">
      <c r="A463" t="s">
        <v>1515</v>
      </c>
      <c r="B463" t="s">
        <v>51</v>
      </c>
      <c r="C463" t="s">
        <v>56</v>
      </c>
      <c r="D463">
        <v>2004</v>
      </c>
      <c r="E463" t="s">
        <v>31</v>
      </c>
      <c r="F463" t="s">
        <v>119</v>
      </c>
      <c r="G463" t="s">
        <v>31</v>
      </c>
      <c r="H463" t="s">
        <v>27</v>
      </c>
      <c r="I463" t="s">
        <v>27</v>
      </c>
      <c r="J463" t="s">
        <v>27</v>
      </c>
      <c r="K463">
        <v>3000</v>
      </c>
      <c r="L463" t="s">
        <v>31</v>
      </c>
      <c r="M463">
        <v>58.669809293341238</v>
      </c>
    </row>
    <row r="464" spans="1:13" hidden="1" x14ac:dyDescent="0.3">
      <c r="A464" t="s">
        <v>1516</v>
      </c>
      <c r="B464" t="s">
        <v>28</v>
      </c>
      <c r="C464" t="s">
        <v>68</v>
      </c>
      <c r="D464">
        <v>2004</v>
      </c>
      <c r="E464" t="s">
        <v>31</v>
      </c>
      <c r="F464" t="s">
        <v>53</v>
      </c>
      <c r="G464" t="s">
        <v>1517</v>
      </c>
      <c r="H464" t="s">
        <v>27</v>
      </c>
      <c r="I464" t="s">
        <v>27</v>
      </c>
      <c r="J464" t="s">
        <v>33</v>
      </c>
      <c r="K464">
        <v>2137467</v>
      </c>
      <c r="L464" t="s">
        <v>31</v>
      </c>
      <c r="M464">
        <v>58.669809293341238</v>
      </c>
    </row>
    <row r="465" spans="1:13" hidden="1" x14ac:dyDescent="0.3">
      <c r="A465" t="s">
        <v>1518</v>
      </c>
      <c r="B465" t="s">
        <v>51</v>
      </c>
      <c r="C465" t="s">
        <v>56</v>
      </c>
      <c r="D465">
        <v>2004</v>
      </c>
      <c r="E465">
        <v>200000</v>
      </c>
      <c r="F465" t="s">
        <v>77</v>
      </c>
      <c r="G465" t="s">
        <v>181</v>
      </c>
      <c r="H465" t="s">
        <v>27</v>
      </c>
      <c r="I465" t="s">
        <v>27</v>
      </c>
      <c r="J465" t="s">
        <v>33</v>
      </c>
      <c r="K465" t="s">
        <v>31</v>
      </c>
      <c r="L465">
        <v>340891</v>
      </c>
      <c r="M465">
        <v>58.669809293341238</v>
      </c>
    </row>
    <row r="466" spans="1:13" hidden="1" x14ac:dyDescent="0.3">
      <c r="A466" t="s">
        <v>1519</v>
      </c>
      <c r="B466" t="s">
        <v>28</v>
      </c>
      <c r="C466" t="s">
        <v>30</v>
      </c>
      <c r="D466">
        <v>2004</v>
      </c>
      <c r="E466" t="s">
        <v>31</v>
      </c>
      <c r="F466" t="s">
        <v>70</v>
      </c>
      <c r="G466" t="s">
        <v>31</v>
      </c>
      <c r="H466" t="s">
        <v>27</v>
      </c>
      <c r="I466" t="s">
        <v>27</v>
      </c>
      <c r="J466" t="s">
        <v>27</v>
      </c>
      <c r="K466">
        <v>1730</v>
      </c>
      <c r="L466" t="s">
        <v>31</v>
      </c>
      <c r="M466">
        <v>58.669809293341238</v>
      </c>
    </row>
    <row r="467" spans="1:13" hidden="1" x14ac:dyDescent="0.3">
      <c r="A467" t="s">
        <v>1520</v>
      </c>
      <c r="B467" t="s">
        <v>28</v>
      </c>
      <c r="C467" t="s">
        <v>30</v>
      </c>
      <c r="D467">
        <v>2004</v>
      </c>
      <c r="E467">
        <v>296000</v>
      </c>
      <c r="F467" t="s">
        <v>75</v>
      </c>
      <c r="G467" t="s">
        <v>85</v>
      </c>
      <c r="H467" t="s">
        <v>33</v>
      </c>
      <c r="I467" t="s">
        <v>27</v>
      </c>
      <c r="J467" t="s">
        <v>27</v>
      </c>
      <c r="K467">
        <v>14009</v>
      </c>
      <c r="L467">
        <v>504518</v>
      </c>
      <c r="M467">
        <v>58.669809293341238</v>
      </c>
    </row>
    <row r="468" spans="1:13" hidden="1" x14ac:dyDescent="0.3">
      <c r="A468" t="s">
        <v>1521</v>
      </c>
      <c r="B468" t="s">
        <v>28</v>
      </c>
      <c r="C468" t="s">
        <v>97</v>
      </c>
      <c r="D468">
        <v>2004</v>
      </c>
      <c r="E468">
        <v>2100</v>
      </c>
      <c r="F468" t="s">
        <v>34</v>
      </c>
      <c r="G468" t="s">
        <v>31</v>
      </c>
      <c r="H468" t="s">
        <v>27</v>
      </c>
      <c r="I468" t="s">
        <v>27</v>
      </c>
      <c r="J468" t="s">
        <v>27</v>
      </c>
      <c r="K468">
        <v>189</v>
      </c>
      <c r="L468">
        <v>3579</v>
      </c>
      <c r="M468">
        <v>58.669809293341238</v>
      </c>
    </row>
    <row r="469" spans="1:13" hidden="1" x14ac:dyDescent="0.3">
      <c r="A469" t="s">
        <v>1522</v>
      </c>
      <c r="B469" t="s">
        <v>51</v>
      </c>
      <c r="C469" t="s">
        <v>121</v>
      </c>
      <c r="D469">
        <v>2004</v>
      </c>
      <c r="E469" t="s">
        <v>31</v>
      </c>
      <c r="F469" t="s">
        <v>166</v>
      </c>
      <c r="G469" t="s">
        <v>31</v>
      </c>
      <c r="H469" t="s">
        <v>27</v>
      </c>
      <c r="I469" t="s">
        <v>33</v>
      </c>
      <c r="J469" t="s">
        <v>27</v>
      </c>
      <c r="K469">
        <v>7698</v>
      </c>
      <c r="L469" t="s">
        <v>31</v>
      </c>
      <c r="M469">
        <v>58.669809293341238</v>
      </c>
    </row>
    <row r="470" spans="1:13" hidden="1" x14ac:dyDescent="0.3">
      <c r="A470" t="s">
        <v>1523</v>
      </c>
      <c r="B470" t="s">
        <v>28</v>
      </c>
      <c r="C470" t="s">
        <v>65</v>
      </c>
      <c r="D470">
        <v>2004</v>
      </c>
      <c r="E470" t="s">
        <v>31</v>
      </c>
      <c r="F470" t="s">
        <v>34</v>
      </c>
      <c r="G470" t="s">
        <v>65</v>
      </c>
      <c r="H470" t="s">
        <v>27</v>
      </c>
      <c r="I470" t="s">
        <v>27</v>
      </c>
      <c r="J470" t="s">
        <v>27</v>
      </c>
      <c r="K470">
        <v>14</v>
      </c>
      <c r="L470" t="s">
        <v>31</v>
      </c>
      <c r="M470">
        <v>58.669809293341238</v>
      </c>
    </row>
    <row r="471" spans="1:13" hidden="1" x14ac:dyDescent="0.3">
      <c r="A471" t="s">
        <v>1524</v>
      </c>
      <c r="B471" t="s">
        <v>39</v>
      </c>
      <c r="C471" t="s">
        <v>157</v>
      </c>
      <c r="D471">
        <v>2004</v>
      </c>
      <c r="E471" t="s">
        <v>31</v>
      </c>
      <c r="F471" t="s">
        <v>49</v>
      </c>
      <c r="G471" t="s">
        <v>196</v>
      </c>
      <c r="H471" t="s">
        <v>27</v>
      </c>
      <c r="I471" t="s">
        <v>27</v>
      </c>
      <c r="J471" t="s">
        <v>33</v>
      </c>
      <c r="K471">
        <v>137500</v>
      </c>
      <c r="L471" t="s">
        <v>31</v>
      </c>
      <c r="M471">
        <v>58.669809293341238</v>
      </c>
    </row>
    <row r="472" spans="1:13" hidden="1" x14ac:dyDescent="0.3">
      <c r="A472" t="s">
        <v>2215</v>
      </c>
      <c r="B472" t="s">
        <v>51</v>
      </c>
      <c r="C472" t="s">
        <v>56</v>
      </c>
      <c r="D472">
        <v>2004</v>
      </c>
      <c r="E472" t="s">
        <v>31</v>
      </c>
      <c r="F472" t="s">
        <v>73</v>
      </c>
      <c r="G472" t="s">
        <v>402</v>
      </c>
      <c r="H472" t="s">
        <v>27</v>
      </c>
      <c r="I472" t="s">
        <v>27</v>
      </c>
      <c r="J472" t="s">
        <v>33</v>
      </c>
      <c r="K472">
        <v>3740</v>
      </c>
      <c r="L472" t="s">
        <v>31</v>
      </c>
      <c r="M472">
        <v>58.669809293341238</v>
      </c>
    </row>
    <row r="473" spans="1:13" hidden="1" x14ac:dyDescent="0.3">
      <c r="A473" t="s">
        <v>2216</v>
      </c>
      <c r="B473" t="s">
        <v>51</v>
      </c>
      <c r="C473" t="s">
        <v>121</v>
      </c>
      <c r="D473">
        <v>2004</v>
      </c>
      <c r="E473">
        <v>4500</v>
      </c>
      <c r="F473" t="s">
        <v>34</v>
      </c>
      <c r="G473" t="s">
        <v>31</v>
      </c>
      <c r="H473" t="s">
        <v>27</v>
      </c>
      <c r="I473" t="s">
        <v>27</v>
      </c>
      <c r="J473" t="s">
        <v>33</v>
      </c>
      <c r="K473">
        <v>306</v>
      </c>
      <c r="L473">
        <v>7670</v>
      </c>
      <c r="M473">
        <v>58.669809293341238</v>
      </c>
    </row>
    <row r="474" spans="1:13" hidden="1" x14ac:dyDescent="0.3">
      <c r="A474" t="s">
        <v>2217</v>
      </c>
      <c r="B474" t="s">
        <v>39</v>
      </c>
      <c r="C474" t="s">
        <v>41</v>
      </c>
      <c r="D474">
        <v>2004</v>
      </c>
      <c r="E474" t="s">
        <v>31</v>
      </c>
      <c r="F474" t="s">
        <v>34</v>
      </c>
      <c r="G474" t="s">
        <v>95</v>
      </c>
      <c r="H474" t="s">
        <v>27</v>
      </c>
      <c r="I474" t="s">
        <v>27</v>
      </c>
      <c r="J474" t="s">
        <v>27</v>
      </c>
      <c r="K474">
        <v>15000</v>
      </c>
      <c r="L474" t="s">
        <v>31</v>
      </c>
      <c r="M474">
        <v>58.669809293341238</v>
      </c>
    </row>
    <row r="475" spans="1:13" hidden="1" x14ac:dyDescent="0.3">
      <c r="A475" t="s">
        <v>2218</v>
      </c>
      <c r="B475" t="s">
        <v>28</v>
      </c>
      <c r="C475" t="s">
        <v>68</v>
      </c>
      <c r="D475">
        <v>2004</v>
      </c>
      <c r="E475" t="s">
        <v>31</v>
      </c>
      <c r="F475" t="s">
        <v>60</v>
      </c>
      <c r="G475" t="s">
        <v>31</v>
      </c>
      <c r="H475" t="s">
        <v>27</v>
      </c>
      <c r="I475" t="s">
        <v>27</v>
      </c>
      <c r="J475" t="s">
        <v>27</v>
      </c>
      <c r="K475" t="s">
        <v>31</v>
      </c>
      <c r="L475" t="s">
        <v>31</v>
      </c>
      <c r="M475">
        <v>58.669809293341238</v>
      </c>
    </row>
    <row r="476" spans="1:13" hidden="1" x14ac:dyDescent="0.3">
      <c r="A476" t="s">
        <v>2219</v>
      </c>
      <c r="B476" t="s">
        <v>28</v>
      </c>
      <c r="C476" t="s">
        <v>68</v>
      </c>
      <c r="D476">
        <v>2004</v>
      </c>
      <c r="E476" t="s">
        <v>31</v>
      </c>
      <c r="F476" t="s">
        <v>57</v>
      </c>
      <c r="G476" t="s">
        <v>31</v>
      </c>
      <c r="H476" t="s">
        <v>27</v>
      </c>
      <c r="I476" t="s">
        <v>27</v>
      </c>
      <c r="J476" t="s">
        <v>27</v>
      </c>
      <c r="K476">
        <v>2000</v>
      </c>
      <c r="L476" t="s">
        <v>31</v>
      </c>
      <c r="M476">
        <v>58.669809293341238</v>
      </c>
    </row>
    <row r="477" spans="1:13" hidden="1" x14ac:dyDescent="0.3">
      <c r="A477" t="s">
        <v>2220</v>
      </c>
      <c r="B477" t="s">
        <v>28</v>
      </c>
      <c r="C477" t="s">
        <v>30</v>
      </c>
      <c r="D477">
        <v>2004</v>
      </c>
      <c r="E477">
        <v>50000</v>
      </c>
      <c r="F477" t="s">
        <v>45</v>
      </c>
      <c r="G477" t="s">
        <v>82</v>
      </c>
      <c r="H477" t="s">
        <v>33</v>
      </c>
      <c r="I477" t="s">
        <v>27</v>
      </c>
      <c r="J477" t="s">
        <v>33</v>
      </c>
      <c r="K477">
        <v>315594</v>
      </c>
      <c r="L477">
        <v>85223</v>
      </c>
      <c r="M477">
        <v>58.669809293341238</v>
      </c>
    </row>
    <row r="478" spans="1:13" hidden="1" x14ac:dyDescent="0.3">
      <c r="A478" t="s">
        <v>2221</v>
      </c>
      <c r="B478" t="s">
        <v>28</v>
      </c>
      <c r="C478" t="s">
        <v>30</v>
      </c>
      <c r="D478">
        <v>2004</v>
      </c>
      <c r="E478">
        <v>62500</v>
      </c>
      <c r="F478" t="s">
        <v>34</v>
      </c>
      <c r="G478" t="s">
        <v>37</v>
      </c>
      <c r="H478" t="s">
        <v>27</v>
      </c>
      <c r="I478" t="s">
        <v>27</v>
      </c>
      <c r="J478" t="s">
        <v>33</v>
      </c>
      <c r="K478" t="s">
        <v>31</v>
      </c>
      <c r="L478">
        <v>106528</v>
      </c>
      <c r="M478">
        <v>58.669809293341238</v>
      </c>
    </row>
    <row r="479" spans="1:13" hidden="1" x14ac:dyDescent="0.3">
      <c r="A479" t="s">
        <v>2222</v>
      </c>
      <c r="B479" t="s">
        <v>28</v>
      </c>
      <c r="C479" t="s">
        <v>30</v>
      </c>
      <c r="D479">
        <v>2004</v>
      </c>
      <c r="E479">
        <v>11000000</v>
      </c>
      <c r="F479" t="s">
        <v>34</v>
      </c>
      <c r="G479" t="s">
        <v>181</v>
      </c>
      <c r="H479" t="s">
        <v>27</v>
      </c>
      <c r="I479" t="s">
        <v>27</v>
      </c>
      <c r="J479" t="s">
        <v>33</v>
      </c>
      <c r="K479">
        <v>5000000</v>
      </c>
      <c r="L479">
        <v>18748996</v>
      </c>
      <c r="M479">
        <v>58.669809293341238</v>
      </c>
    </row>
    <row r="480" spans="1:13" hidden="1" x14ac:dyDescent="0.3">
      <c r="A480" t="s">
        <v>2223</v>
      </c>
      <c r="B480" t="s">
        <v>28</v>
      </c>
      <c r="C480" t="s">
        <v>30</v>
      </c>
      <c r="D480">
        <v>2004</v>
      </c>
      <c r="E480">
        <v>5000</v>
      </c>
      <c r="F480" t="s">
        <v>144</v>
      </c>
      <c r="G480" t="s">
        <v>87</v>
      </c>
      <c r="H480" t="s">
        <v>27</v>
      </c>
      <c r="I480" t="s">
        <v>27</v>
      </c>
      <c r="J480" t="s">
        <v>27</v>
      </c>
      <c r="K480">
        <v>880</v>
      </c>
      <c r="L480">
        <v>8522</v>
      </c>
      <c r="M480">
        <v>58.669809293341238</v>
      </c>
    </row>
    <row r="481" spans="1:13" hidden="1" x14ac:dyDescent="0.3">
      <c r="A481" t="s">
        <v>2224</v>
      </c>
      <c r="B481" t="s">
        <v>28</v>
      </c>
      <c r="C481" t="s">
        <v>30</v>
      </c>
      <c r="D481">
        <v>2004</v>
      </c>
      <c r="E481">
        <v>1000</v>
      </c>
      <c r="F481" t="s">
        <v>45</v>
      </c>
      <c r="G481" t="s">
        <v>181</v>
      </c>
      <c r="H481" t="s">
        <v>27</v>
      </c>
      <c r="I481" t="s">
        <v>27</v>
      </c>
      <c r="J481" t="s">
        <v>27</v>
      </c>
      <c r="K481">
        <v>6500</v>
      </c>
      <c r="L481">
        <v>1704</v>
      </c>
      <c r="M481">
        <v>58.669809293341238</v>
      </c>
    </row>
    <row r="482" spans="1:13" hidden="1" x14ac:dyDescent="0.3">
      <c r="A482" t="s">
        <v>2225</v>
      </c>
      <c r="B482" t="s">
        <v>51</v>
      </c>
      <c r="C482" t="s">
        <v>56</v>
      </c>
      <c r="D482">
        <v>2004</v>
      </c>
      <c r="E482" t="s">
        <v>31</v>
      </c>
      <c r="F482" t="s">
        <v>166</v>
      </c>
      <c r="G482" t="s">
        <v>54</v>
      </c>
      <c r="H482" t="s">
        <v>33</v>
      </c>
      <c r="I482" t="s">
        <v>27</v>
      </c>
      <c r="J482" t="s">
        <v>33</v>
      </c>
      <c r="K482">
        <v>11650</v>
      </c>
      <c r="L482" t="s">
        <v>31</v>
      </c>
      <c r="M482">
        <v>58.669809293341238</v>
      </c>
    </row>
    <row r="483" spans="1:13" hidden="1" x14ac:dyDescent="0.3">
      <c r="A483" t="s">
        <v>2226</v>
      </c>
      <c r="B483" t="s">
        <v>51</v>
      </c>
      <c r="C483" t="s">
        <v>121</v>
      </c>
      <c r="D483">
        <v>2004</v>
      </c>
      <c r="E483" t="s">
        <v>31</v>
      </c>
      <c r="F483" t="s">
        <v>130</v>
      </c>
      <c r="G483" t="s">
        <v>31</v>
      </c>
      <c r="H483" t="s">
        <v>27</v>
      </c>
      <c r="I483" t="s">
        <v>27</v>
      </c>
      <c r="J483" t="s">
        <v>27</v>
      </c>
      <c r="K483">
        <v>5000</v>
      </c>
      <c r="L483" t="s">
        <v>31</v>
      </c>
      <c r="M483">
        <v>58.669809293341238</v>
      </c>
    </row>
    <row r="484" spans="1:13" hidden="1" x14ac:dyDescent="0.3">
      <c r="A484" t="s">
        <v>36</v>
      </c>
      <c r="B484" t="s">
        <v>28</v>
      </c>
      <c r="C484" t="s">
        <v>30</v>
      </c>
      <c r="D484">
        <v>2005</v>
      </c>
      <c r="E484">
        <v>16000000</v>
      </c>
      <c r="F484" t="s">
        <v>34</v>
      </c>
      <c r="G484" t="s">
        <v>37</v>
      </c>
      <c r="H484" t="s">
        <v>27</v>
      </c>
      <c r="I484" t="s">
        <v>27</v>
      </c>
      <c r="J484" t="s">
        <v>33</v>
      </c>
      <c r="K484">
        <v>300000</v>
      </c>
      <c r="L484">
        <v>26376381</v>
      </c>
      <c r="M484">
        <v>60.660331752739182</v>
      </c>
    </row>
    <row r="485" spans="1:13" hidden="1" x14ac:dyDescent="0.3">
      <c r="A485" t="s">
        <v>576</v>
      </c>
      <c r="B485" t="s">
        <v>51</v>
      </c>
      <c r="C485" t="s">
        <v>121</v>
      </c>
      <c r="D485">
        <v>2005</v>
      </c>
      <c r="E485">
        <v>7000</v>
      </c>
      <c r="F485" t="s">
        <v>166</v>
      </c>
      <c r="G485" t="s">
        <v>54</v>
      </c>
      <c r="H485" t="s">
        <v>27</v>
      </c>
      <c r="I485" t="s">
        <v>27</v>
      </c>
      <c r="J485" t="s">
        <v>27</v>
      </c>
      <c r="K485">
        <v>7000</v>
      </c>
      <c r="L485">
        <v>11540</v>
      </c>
      <c r="M485">
        <v>60.660331752739182</v>
      </c>
    </row>
    <row r="486" spans="1:13" hidden="1" x14ac:dyDescent="0.3">
      <c r="A486" t="s">
        <v>577</v>
      </c>
      <c r="B486" t="s">
        <v>51</v>
      </c>
      <c r="C486" t="s">
        <v>121</v>
      </c>
      <c r="D486">
        <v>2005</v>
      </c>
      <c r="E486">
        <v>1000</v>
      </c>
      <c r="F486" t="s">
        <v>70</v>
      </c>
      <c r="G486" t="s">
        <v>31</v>
      </c>
      <c r="H486" t="s">
        <v>27</v>
      </c>
      <c r="I486" t="s">
        <v>27</v>
      </c>
      <c r="J486" t="s">
        <v>27</v>
      </c>
      <c r="K486" t="s">
        <v>31</v>
      </c>
      <c r="L486">
        <v>1649</v>
      </c>
      <c r="M486">
        <v>60.660331752739182</v>
      </c>
    </row>
    <row r="487" spans="1:13" hidden="1" x14ac:dyDescent="0.3">
      <c r="A487" t="s">
        <v>579</v>
      </c>
      <c r="B487" t="s">
        <v>51</v>
      </c>
      <c r="C487" t="s">
        <v>121</v>
      </c>
      <c r="D487">
        <v>2005</v>
      </c>
      <c r="E487" t="s">
        <v>31</v>
      </c>
      <c r="F487" t="s">
        <v>119</v>
      </c>
      <c r="G487" t="s">
        <v>54</v>
      </c>
      <c r="H487" t="s">
        <v>27</v>
      </c>
      <c r="I487" t="s">
        <v>27</v>
      </c>
      <c r="J487" t="s">
        <v>27</v>
      </c>
      <c r="K487">
        <v>10000</v>
      </c>
      <c r="L487" t="s">
        <v>31</v>
      </c>
      <c r="M487">
        <v>60.660331752739182</v>
      </c>
    </row>
    <row r="488" spans="1:13" hidden="1" x14ac:dyDescent="0.3">
      <c r="A488" t="s">
        <v>580</v>
      </c>
      <c r="B488" t="s">
        <v>51</v>
      </c>
      <c r="C488" t="s">
        <v>121</v>
      </c>
      <c r="D488">
        <v>2005</v>
      </c>
      <c r="E488">
        <v>10000</v>
      </c>
      <c r="F488" t="s">
        <v>47</v>
      </c>
      <c r="G488" t="s">
        <v>581</v>
      </c>
      <c r="H488" t="s">
        <v>33</v>
      </c>
      <c r="I488" t="s">
        <v>27</v>
      </c>
      <c r="J488" t="s">
        <v>33</v>
      </c>
      <c r="K488">
        <v>85729</v>
      </c>
      <c r="L488">
        <v>16485</v>
      </c>
      <c r="M488">
        <v>60.660331752739182</v>
      </c>
    </row>
    <row r="489" spans="1:13" hidden="1" x14ac:dyDescent="0.3">
      <c r="A489" t="s">
        <v>582</v>
      </c>
      <c r="B489" t="s">
        <v>51</v>
      </c>
      <c r="C489" t="s">
        <v>121</v>
      </c>
      <c r="D489">
        <v>2005</v>
      </c>
      <c r="E489" t="s">
        <v>31</v>
      </c>
      <c r="F489" t="s">
        <v>47</v>
      </c>
      <c r="G489" t="s">
        <v>54</v>
      </c>
      <c r="H489" t="s">
        <v>27</v>
      </c>
      <c r="I489" t="s">
        <v>27</v>
      </c>
      <c r="J489" t="s">
        <v>27</v>
      </c>
      <c r="K489">
        <v>41530</v>
      </c>
      <c r="L489" t="s">
        <v>31</v>
      </c>
      <c r="M489">
        <v>60.660331752739182</v>
      </c>
    </row>
    <row r="490" spans="1:13" hidden="1" x14ac:dyDescent="0.3">
      <c r="A490" t="s">
        <v>583</v>
      </c>
      <c r="B490" t="s">
        <v>51</v>
      </c>
      <c r="C490" t="s">
        <v>52</v>
      </c>
      <c r="D490">
        <v>2005</v>
      </c>
      <c r="E490" t="s">
        <v>31</v>
      </c>
      <c r="F490" t="s">
        <v>75</v>
      </c>
      <c r="G490" t="s">
        <v>405</v>
      </c>
      <c r="H490" t="s">
        <v>27</v>
      </c>
      <c r="I490" t="s">
        <v>27</v>
      </c>
      <c r="J490" t="s">
        <v>27</v>
      </c>
      <c r="K490">
        <v>1450</v>
      </c>
      <c r="L490" t="s">
        <v>31</v>
      </c>
      <c r="M490">
        <v>60.660331752739182</v>
      </c>
    </row>
    <row r="491" spans="1:13" hidden="1" x14ac:dyDescent="0.3">
      <c r="A491" t="s">
        <v>584</v>
      </c>
      <c r="B491" t="s">
        <v>51</v>
      </c>
      <c r="C491" t="s">
        <v>52</v>
      </c>
      <c r="D491">
        <v>2005</v>
      </c>
      <c r="E491" t="s">
        <v>31</v>
      </c>
      <c r="F491" t="s">
        <v>73</v>
      </c>
      <c r="G491" t="s">
        <v>181</v>
      </c>
      <c r="H491" t="s">
        <v>27</v>
      </c>
      <c r="I491" t="s">
        <v>27</v>
      </c>
      <c r="J491" t="s">
        <v>27</v>
      </c>
      <c r="K491">
        <v>1000</v>
      </c>
      <c r="L491" t="s">
        <v>31</v>
      </c>
      <c r="M491">
        <v>60.660331752739182</v>
      </c>
    </row>
    <row r="492" spans="1:13" hidden="1" x14ac:dyDescent="0.3">
      <c r="A492" t="s">
        <v>585</v>
      </c>
      <c r="B492" t="s">
        <v>51</v>
      </c>
      <c r="C492" t="s">
        <v>56</v>
      </c>
      <c r="D492">
        <v>2005</v>
      </c>
      <c r="E492">
        <v>5330</v>
      </c>
      <c r="F492" t="s">
        <v>34</v>
      </c>
      <c r="G492" t="s">
        <v>181</v>
      </c>
      <c r="H492" t="s">
        <v>27</v>
      </c>
      <c r="I492" t="s">
        <v>27</v>
      </c>
      <c r="J492" t="s">
        <v>33</v>
      </c>
      <c r="K492" t="s">
        <v>31</v>
      </c>
      <c r="L492">
        <v>8787</v>
      </c>
      <c r="M492">
        <v>60.660331752739182</v>
      </c>
    </row>
    <row r="493" spans="1:13" hidden="1" x14ac:dyDescent="0.3">
      <c r="A493" t="s">
        <v>586</v>
      </c>
      <c r="B493" t="s">
        <v>91</v>
      </c>
      <c r="C493" t="s">
        <v>93</v>
      </c>
      <c r="D493">
        <v>2005</v>
      </c>
      <c r="E493">
        <v>5000</v>
      </c>
      <c r="F493" t="s">
        <v>60</v>
      </c>
      <c r="G493" t="s">
        <v>54</v>
      </c>
      <c r="H493" t="s">
        <v>27</v>
      </c>
      <c r="I493" t="s">
        <v>27</v>
      </c>
      <c r="J493" t="s">
        <v>33</v>
      </c>
      <c r="K493">
        <v>27645</v>
      </c>
      <c r="L493">
        <v>8243</v>
      </c>
      <c r="M493">
        <v>60.660331752739182</v>
      </c>
    </row>
    <row r="494" spans="1:13" hidden="1" x14ac:dyDescent="0.3">
      <c r="A494" t="s">
        <v>587</v>
      </c>
      <c r="B494" t="s">
        <v>51</v>
      </c>
      <c r="C494" t="s">
        <v>134</v>
      </c>
      <c r="D494">
        <v>2005</v>
      </c>
      <c r="E494" t="s">
        <v>31</v>
      </c>
      <c r="F494" t="s">
        <v>90</v>
      </c>
      <c r="G494" t="s">
        <v>31</v>
      </c>
      <c r="H494" t="s">
        <v>27</v>
      </c>
      <c r="I494" t="s">
        <v>27</v>
      </c>
      <c r="J494" t="s">
        <v>27</v>
      </c>
      <c r="K494">
        <v>1000</v>
      </c>
      <c r="L494" t="s">
        <v>31</v>
      </c>
      <c r="M494">
        <v>60.660331752739182</v>
      </c>
    </row>
    <row r="495" spans="1:13" hidden="1" x14ac:dyDescent="0.3">
      <c r="A495" t="s">
        <v>588</v>
      </c>
      <c r="B495" t="s">
        <v>28</v>
      </c>
      <c r="C495" t="s">
        <v>30</v>
      </c>
      <c r="D495">
        <v>2005</v>
      </c>
      <c r="E495">
        <v>44900</v>
      </c>
      <c r="F495" t="s">
        <v>446</v>
      </c>
      <c r="G495" t="s">
        <v>82</v>
      </c>
      <c r="H495" t="s">
        <v>27</v>
      </c>
      <c r="I495" t="s">
        <v>27</v>
      </c>
      <c r="J495" t="s">
        <v>27</v>
      </c>
      <c r="K495" t="s">
        <v>31</v>
      </c>
      <c r="L495">
        <v>74019</v>
      </c>
      <c r="M495">
        <v>60.660331752739182</v>
      </c>
    </row>
    <row r="496" spans="1:13" hidden="1" x14ac:dyDescent="0.3">
      <c r="A496" t="s">
        <v>590</v>
      </c>
      <c r="B496" t="s">
        <v>51</v>
      </c>
      <c r="C496" t="s">
        <v>121</v>
      </c>
      <c r="D496">
        <v>2005</v>
      </c>
      <c r="E496" t="s">
        <v>31</v>
      </c>
      <c r="F496" t="s">
        <v>60</v>
      </c>
      <c r="G496" t="s">
        <v>31</v>
      </c>
      <c r="H496" t="s">
        <v>27</v>
      </c>
      <c r="I496" t="s">
        <v>27</v>
      </c>
      <c r="J496" t="s">
        <v>27</v>
      </c>
      <c r="K496">
        <v>548</v>
      </c>
      <c r="L496" t="s">
        <v>31</v>
      </c>
      <c r="M496">
        <v>60.660331752739182</v>
      </c>
    </row>
    <row r="497" spans="1:13" hidden="1" x14ac:dyDescent="0.3">
      <c r="A497" t="s">
        <v>591</v>
      </c>
      <c r="B497" t="s">
        <v>39</v>
      </c>
      <c r="C497" t="s">
        <v>41</v>
      </c>
      <c r="D497">
        <v>2005</v>
      </c>
      <c r="E497" t="s">
        <v>31</v>
      </c>
      <c r="F497" t="s">
        <v>111</v>
      </c>
      <c r="G497" t="s">
        <v>31</v>
      </c>
      <c r="H497" t="s">
        <v>27</v>
      </c>
      <c r="I497" t="s">
        <v>27</v>
      </c>
      <c r="J497" t="s">
        <v>33</v>
      </c>
      <c r="K497">
        <v>3000</v>
      </c>
      <c r="L497" t="s">
        <v>31</v>
      </c>
      <c r="M497">
        <v>60.660331752739182</v>
      </c>
    </row>
    <row r="498" spans="1:13" hidden="1" x14ac:dyDescent="0.3">
      <c r="A498" t="s">
        <v>592</v>
      </c>
      <c r="B498" t="s">
        <v>28</v>
      </c>
      <c r="C498" t="s">
        <v>30</v>
      </c>
      <c r="D498">
        <v>2005</v>
      </c>
      <c r="E498">
        <v>988300</v>
      </c>
      <c r="F498" t="s">
        <v>90</v>
      </c>
      <c r="G498" t="s">
        <v>82</v>
      </c>
      <c r="H498" t="s">
        <v>33</v>
      </c>
      <c r="I498" t="s">
        <v>27</v>
      </c>
      <c r="J498" t="s">
        <v>33</v>
      </c>
      <c r="K498">
        <v>475314</v>
      </c>
      <c r="L498">
        <v>1629236</v>
      </c>
      <c r="M498">
        <v>60.660331752739182</v>
      </c>
    </row>
    <row r="499" spans="1:13" hidden="1" x14ac:dyDescent="0.3">
      <c r="A499" t="s">
        <v>593</v>
      </c>
      <c r="B499" t="s">
        <v>51</v>
      </c>
      <c r="C499" t="s">
        <v>121</v>
      </c>
      <c r="D499">
        <v>2005</v>
      </c>
      <c r="E499" t="s">
        <v>31</v>
      </c>
      <c r="F499" t="s">
        <v>34</v>
      </c>
      <c r="G499" t="s">
        <v>181</v>
      </c>
      <c r="H499" t="s">
        <v>27</v>
      </c>
      <c r="I499" t="s">
        <v>27</v>
      </c>
      <c r="J499" t="s">
        <v>27</v>
      </c>
      <c r="K499">
        <v>3000</v>
      </c>
      <c r="L499" t="s">
        <v>31</v>
      </c>
      <c r="M499">
        <v>60.660331752739182</v>
      </c>
    </row>
    <row r="500" spans="1:13" hidden="1" x14ac:dyDescent="0.3">
      <c r="A500" t="s">
        <v>594</v>
      </c>
      <c r="B500" t="s">
        <v>51</v>
      </c>
      <c r="C500" t="s">
        <v>121</v>
      </c>
      <c r="D500">
        <v>2005</v>
      </c>
      <c r="E500" t="s">
        <v>31</v>
      </c>
      <c r="F500" t="s">
        <v>115</v>
      </c>
      <c r="G500" t="s">
        <v>54</v>
      </c>
      <c r="H500" t="s">
        <v>27</v>
      </c>
      <c r="I500" t="s">
        <v>27</v>
      </c>
      <c r="J500" t="s">
        <v>27</v>
      </c>
      <c r="K500" t="s">
        <v>31</v>
      </c>
      <c r="L500" t="s">
        <v>31</v>
      </c>
      <c r="M500">
        <v>60.660331752739182</v>
      </c>
    </row>
    <row r="501" spans="1:13" hidden="1" x14ac:dyDescent="0.3">
      <c r="A501" t="s">
        <v>595</v>
      </c>
      <c r="B501" t="s">
        <v>28</v>
      </c>
      <c r="C501" t="s">
        <v>30</v>
      </c>
      <c r="D501">
        <v>2005</v>
      </c>
      <c r="E501" t="s">
        <v>31</v>
      </c>
      <c r="F501" t="s">
        <v>45</v>
      </c>
      <c r="G501" t="s">
        <v>82</v>
      </c>
      <c r="H501" t="s">
        <v>27</v>
      </c>
      <c r="I501" t="s">
        <v>27</v>
      </c>
      <c r="J501" t="s">
        <v>27</v>
      </c>
      <c r="K501">
        <v>2192</v>
      </c>
      <c r="L501" t="s">
        <v>31</v>
      </c>
      <c r="M501">
        <v>60.660331752739182</v>
      </c>
    </row>
    <row r="502" spans="1:13" hidden="1" x14ac:dyDescent="0.3">
      <c r="A502" t="s">
        <v>596</v>
      </c>
      <c r="B502" t="s">
        <v>51</v>
      </c>
      <c r="C502" t="s">
        <v>121</v>
      </c>
      <c r="D502">
        <v>2005</v>
      </c>
      <c r="E502" t="s">
        <v>31</v>
      </c>
      <c r="F502" t="s">
        <v>73</v>
      </c>
      <c r="G502" t="s">
        <v>31</v>
      </c>
      <c r="H502" t="s">
        <v>27</v>
      </c>
      <c r="I502" t="s">
        <v>27</v>
      </c>
      <c r="J502" t="s">
        <v>27</v>
      </c>
      <c r="K502">
        <v>3000</v>
      </c>
      <c r="L502" t="s">
        <v>31</v>
      </c>
      <c r="M502">
        <v>60.660331752739182</v>
      </c>
    </row>
    <row r="503" spans="1:13" hidden="1" x14ac:dyDescent="0.3">
      <c r="A503" t="s">
        <v>597</v>
      </c>
      <c r="B503" t="s">
        <v>28</v>
      </c>
      <c r="C503" t="s">
        <v>67</v>
      </c>
      <c r="D503">
        <v>2005</v>
      </c>
      <c r="E503" t="s">
        <v>31</v>
      </c>
      <c r="F503" t="s">
        <v>34</v>
      </c>
      <c r="G503" t="s">
        <v>31</v>
      </c>
      <c r="H503" t="s">
        <v>27</v>
      </c>
      <c r="I503" t="s">
        <v>27</v>
      </c>
      <c r="J503" t="s">
        <v>27</v>
      </c>
      <c r="K503" t="s">
        <v>31</v>
      </c>
      <c r="L503" t="s">
        <v>31</v>
      </c>
      <c r="M503">
        <v>60.660331752739182</v>
      </c>
    </row>
    <row r="504" spans="1:13" hidden="1" x14ac:dyDescent="0.3">
      <c r="A504" t="s">
        <v>599</v>
      </c>
      <c r="B504" t="s">
        <v>51</v>
      </c>
      <c r="C504" t="s">
        <v>121</v>
      </c>
      <c r="D504">
        <v>2005</v>
      </c>
      <c r="E504">
        <v>245000</v>
      </c>
      <c r="F504" t="s">
        <v>34</v>
      </c>
      <c r="G504" t="s">
        <v>405</v>
      </c>
      <c r="H504" t="s">
        <v>27</v>
      </c>
      <c r="I504" t="s">
        <v>27</v>
      </c>
      <c r="J504" t="s">
        <v>33</v>
      </c>
      <c r="K504">
        <v>3600</v>
      </c>
      <c r="L504">
        <v>403888</v>
      </c>
      <c r="M504">
        <v>60.660331752739182</v>
      </c>
    </row>
    <row r="505" spans="1:13" hidden="1" x14ac:dyDescent="0.3">
      <c r="A505" t="s">
        <v>600</v>
      </c>
      <c r="B505" t="s">
        <v>91</v>
      </c>
      <c r="C505" t="s">
        <v>105</v>
      </c>
      <c r="D505">
        <v>2005</v>
      </c>
      <c r="E505" t="s">
        <v>31</v>
      </c>
      <c r="F505" t="s">
        <v>47</v>
      </c>
      <c r="G505" t="s">
        <v>31</v>
      </c>
      <c r="H505" t="s">
        <v>27</v>
      </c>
      <c r="I505" t="s">
        <v>27</v>
      </c>
      <c r="J505" t="s">
        <v>33</v>
      </c>
      <c r="K505" t="s">
        <v>31</v>
      </c>
      <c r="L505" t="s">
        <v>31</v>
      </c>
      <c r="M505">
        <v>60.660331752739182</v>
      </c>
    </row>
    <row r="506" spans="1:13" hidden="1" x14ac:dyDescent="0.3">
      <c r="A506" t="s">
        <v>601</v>
      </c>
      <c r="B506" t="s">
        <v>51</v>
      </c>
      <c r="C506" t="s">
        <v>52</v>
      </c>
      <c r="D506">
        <v>2005</v>
      </c>
      <c r="E506" t="s">
        <v>31</v>
      </c>
      <c r="F506" t="s">
        <v>45</v>
      </c>
      <c r="G506" t="s">
        <v>54</v>
      </c>
      <c r="H506" t="s">
        <v>27</v>
      </c>
      <c r="I506" t="s">
        <v>27</v>
      </c>
      <c r="J506" t="s">
        <v>27</v>
      </c>
      <c r="K506">
        <v>83</v>
      </c>
      <c r="L506" t="s">
        <v>31</v>
      </c>
      <c r="M506">
        <v>60.660331752739182</v>
      </c>
    </row>
    <row r="507" spans="1:13" hidden="1" x14ac:dyDescent="0.3">
      <c r="A507" t="s">
        <v>602</v>
      </c>
      <c r="B507" t="s">
        <v>39</v>
      </c>
      <c r="C507" t="s">
        <v>157</v>
      </c>
      <c r="D507">
        <v>2005</v>
      </c>
      <c r="E507" t="s">
        <v>31</v>
      </c>
      <c r="F507" t="s">
        <v>119</v>
      </c>
      <c r="G507" t="s">
        <v>31</v>
      </c>
      <c r="H507" t="s">
        <v>27</v>
      </c>
      <c r="I507" t="s">
        <v>27</v>
      </c>
      <c r="J507" t="s">
        <v>27</v>
      </c>
      <c r="K507" t="s">
        <v>31</v>
      </c>
      <c r="L507" t="s">
        <v>31</v>
      </c>
      <c r="M507">
        <v>60.660331752739182</v>
      </c>
    </row>
    <row r="508" spans="1:13" hidden="1" x14ac:dyDescent="0.3">
      <c r="A508" t="s">
        <v>926</v>
      </c>
      <c r="B508" t="s">
        <v>28</v>
      </c>
      <c r="C508" t="s">
        <v>97</v>
      </c>
      <c r="D508">
        <v>2005</v>
      </c>
      <c r="E508" t="s">
        <v>31</v>
      </c>
      <c r="F508" t="s">
        <v>119</v>
      </c>
      <c r="G508" t="s">
        <v>31</v>
      </c>
      <c r="H508" t="s">
        <v>27</v>
      </c>
      <c r="I508" t="s">
        <v>27</v>
      </c>
      <c r="J508" t="s">
        <v>27</v>
      </c>
      <c r="K508">
        <v>344</v>
      </c>
      <c r="L508" t="s">
        <v>31</v>
      </c>
      <c r="M508">
        <v>60.660331752739182</v>
      </c>
    </row>
    <row r="509" spans="1:13" hidden="1" x14ac:dyDescent="0.3">
      <c r="A509" t="s">
        <v>944</v>
      </c>
      <c r="B509" t="s">
        <v>51</v>
      </c>
      <c r="C509" t="s">
        <v>121</v>
      </c>
      <c r="D509">
        <v>2005</v>
      </c>
      <c r="E509">
        <v>465100</v>
      </c>
      <c r="F509" t="s">
        <v>604</v>
      </c>
      <c r="G509" t="s">
        <v>31</v>
      </c>
      <c r="H509" t="s">
        <v>33</v>
      </c>
      <c r="I509" t="s">
        <v>33</v>
      </c>
      <c r="J509" t="s">
        <v>33</v>
      </c>
      <c r="K509">
        <v>274774</v>
      </c>
      <c r="L509">
        <v>766728</v>
      </c>
      <c r="M509">
        <v>60.660331752739182</v>
      </c>
    </row>
    <row r="510" spans="1:13" hidden="1" x14ac:dyDescent="0.3">
      <c r="A510" t="s">
        <v>945</v>
      </c>
      <c r="B510" t="s">
        <v>51</v>
      </c>
      <c r="C510" t="s">
        <v>121</v>
      </c>
      <c r="D510">
        <v>2005</v>
      </c>
      <c r="E510">
        <v>30000</v>
      </c>
      <c r="F510" t="s">
        <v>34</v>
      </c>
      <c r="G510" t="s">
        <v>31</v>
      </c>
      <c r="H510" t="s">
        <v>27</v>
      </c>
      <c r="I510" t="s">
        <v>27</v>
      </c>
      <c r="J510" t="s">
        <v>33</v>
      </c>
      <c r="K510">
        <v>11000</v>
      </c>
      <c r="L510">
        <v>49456</v>
      </c>
      <c r="M510">
        <v>60.660331752739182</v>
      </c>
    </row>
    <row r="511" spans="1:13" hidden="1" x14ac:dyDescent="0.3">
      <c r="A511" t="s">
        <v>946</v>
      </c>
      <c r="B511" t="s">
        <v>28</v>
      </c>
      <c r="C511" t="s">
        <v>67</v>
      </c>
      <c r="D511">
        <v>2005</v>
      </c>
      <c r="E511" t="s">
        <v>31</v>
      </c>
      <c r="F511" t="s">
        <v>60</v>
      </c>
      <c r="G511" t="s">
        <v>31</v>
      </c>
      <c r="H511" t="s">
        <v>27</v>
      </c>
      <c r="I511" t="s">
        <v>27</v>
      </c>
      <c r="J511" t="s">
        <v>27</v>
      </c>
      <c r="K511">
        <v>112</v>
      </c>
      <c r="L511" t="s">
        <v>31</v>
      </c>
      <c r="M511">
        <v>60.660331752739182</v>
      </c>
    </row>
    <row r="512" spans="1:13" hidden="1" x14ac:dyDescent="0.3">
      <c r="A512" t="s">
        <v>947</v>
      </c>
      <c r="B512" t="s">
        <v>51</v>
      </c>
      <c r="C512" t="s">
        <v>121</v>
      </c>
      <c r="D512">
        <v>2005</v>
      </c>
      <c r="E512" t="s">
        <v>31</v>
      </c>
      <c r="F512" t="s">
        <v>119</v>
      </c>
      <c r="G512" t="s">
        <v>54</v>
      </c>
      <c r="H512" t="s">
        <v>27</v>
      </c>
      <c r="I512" t="s">
        <v>27</v>
      </c>
      <c r="J512" t="s">
        <v>33</v>
      </c>
      <c r="K512">
        <v>31000</v>
      </c>
      <c r="L512" t="s">
        <v>31</v>
      </c>
      <c r="M512">
        <v>60.660331752739182</v>
      </c>
    </row>
    <row r="513" spans="1:13" hidden="1" x14ac:dyDescent="0.3">
      <c r="A513" t="s">
        <v>948</v>
      </c>
      <c r="B513" t="s">
        <v>51</v>
      </c>
      <c r="C513" t="s">
        <v>121</v>
      </c>
      <c r="D513">
        <v>2005</v>
      </c>
      <c r="E513" t="s">
        <v>31</v>
      </c>
      <c r="F513" t="s">
        <v>115</v>
      </c>
      <c r="G513" t="s">
        <v>54</v>
      </c>
      <c r="H513" t="s">
        <v>27</v>
      </c>
      <c r="I513" t="s">
        <v>27</v>
      </c>
      <c r="J513" t="s">
        <v>27</v>
      </c>
      <c r="K513">
        <v>2332</v>
      </c>
      <c r="L513" t="s">
        <v>31</v>
      </c>
      <c r="M513">
        <v>60.660331752739182</v>
      </c>
    </row>
    <row r="514" spans="1:13" hidden="1" x14ac:dyDescent="0.3">
      <c r="A514" t="s">
        <v>949</v>
      </c>
      <c r="B514" t="s">
        <v>28</v>
      </c>
      <c r="C514" t="s">
        <v>30</v>
      </c>
      <c r="D514">
        <v>2005</v>
      </c>
      <c r="E514">
        <v>1400000</v>
      </c>
      <c r="F514" t="s">
        <v>242</v>
      </c>
      <c r="G514" t="s">
        <v>82</v>
      </c>
      <c r="H514" t="s">
        <v>33</v>
      </c>
      <c r="I514" t="s">
        <v>27</v>
      </c>
      <c r="J514" t="s">
        <v>27</v>
      </c>
      <c r="K514">
        <v>2500000</v>
      </c>
      <c r="L514">
        <v>2307933</v>
      </c>
      <c r="M514">
        <v>60.660331752739182</v>
      </c>
    </row>
    <row r="515" spans="1:13" hidden="1" x14ac:dyDescent="0.3">
      <c r="A515" t="s">
        <v>950</v>
      </c>
      <c r="B515" t="s">
        <v>28</v>
      </c>
      <c r="C515" t="s">
        <v>30</v>
      </c>
      <c r="D515">
        <v>2005</v>
      </c>
      <c r="E515">
        <v>30000</v>
      </c>
      <c r="F515" t="s">
        <v>234</v>
      </c>
      <c r="G515" t="s">
        <v>405</v>
      </c>
      <c r="H515" t="s">
        <v>27</v>
      </c>
      <c r="I515" t="s">
        <v>27</v>
      </c>
      <c r="J515" t="s">
        <v>27</v>
      </c>
      <c r="K515">
        <v>8000</v>
      </c>
      <c r="L515">
        <v>49456</v>
      </c>
      <c r="M515">
        <v>60.660331752739182</v>
      </c>
    </row>
    <row r="516" spans="1:13" hidden="1" x14ac:dyDescent="0.3">
      <c r="A516" t="s">
        <v>951</v>
      </c>
      <c r="B516" t="s">
        <v>51</v>
      </c>
      <c r="C516" t="s">
        <v>52</v>
      </c>
      <c r="D516">
        <v>2005</v>
      </c>
      <c r="E516" t="s">
        <v>31</v>
      </c>
      <c r="F516" t="s">
        <v>45</v>
      </c>
      <c r="G516" t="s">
        <v>31</v>
      </c>
      <c r="H516" t="s">
        <v>27</v>
      </c>
      <c r="I516" t="s">
        <v>27</v>
      </c>
      <c r="J516" t="s">
        <v>27</v>
      </c>
      <c r="K516">
        <v>2500</v>
      </c>
      <c r="L516" t="s">
        <v>31</v>
      </c>
      <c r="M516">
        <v>60.660331752739182</v>
      </c>
    </row>
    <row r="517" spans="1:13" hidden="1" x14ac:dyDescent="0.3">
      <c r="A517" t="s">
        <v>952</v>
      </c>
      <c r="B517" t="s">
        <v>39</v>
      </c>
      <c r="C517" t="s">
        <v>41</v>
      </c>
      <c r="D517">
        <v>2005</v>
      </c>
      <c r="E517" t="s">
        <v>31</v>
      </c>
      <c r="F517" t="s">
        <v>77</v>
      </c>
      <c r="G517" t="s">
        <v>31</v>
      </c>
      <c r="H517" t="s">
        <v>27</v>
      </c>
      <c r="I517" t="s">
        <v>27</v>
      </c>
      <c r="J517" t="s">
        <v>27</v>
      </c>
      <c r="K517" t="s">
        <v>31</v>
      </c>
      <c r="L517" t="s">
        <v>31</v>
      </c>
      <c r="M517">
        <v>60.660331752739182</v>
      </c>
    </row>
    <row r="518" spans="1:13" hidden="1" x14ac:dyDescent="0.3">
      <c r="A518" t="s">
        <v>953</v>
      </c>
      <c r="B518" t="s">
        <v>28</v>
      </c>
      <c r="C518" t="s">
        <v>189</v>
      </c>
      <c r="D518">
        <v>2005</v>
      </c>
      <c r="E518" t="s">
        <v>31</v>
      </c>
      <c r="F518" t="s">
        <v>77</v>
      </c>
      <c r="G518" t="s">
        <v>31</v>
      </c>
      <c r="H518" t="s">
        <v>27</v>
      </c>
      <c r="I518" t="s">
        <v>27</v>
      </c>
      <c r="J518" t="s">
        <v>27</v>
      </c>
      <c r="K518">
        <v>300</v>
      </c>
      <c r="L518" t="s">
        <v>31</v>
      </c>
      <c r="M518">
        <v>60.660331752739182</v>
      </c>
    </row>
    <row r="519" spans="1:13" hidden="1" x14ac:dyDescent="0.3">
      <c r="A519" t="s">
        <v>954</v>
      </c>
      <c r="B519" t="s">
        <v>91</v>
      </c>
      <c r="C519" t="s">
        <v>93</v>
      </c>
      <c r="D519">
        <v>2005</v>
      </c>
      <c r="E519" t="s">
        <v>31</v>
      </c>
      <c r="F519" t="s">
        <v>53</v>
      </c>
      <c r="G519" t="s">
        <v>31</v>
      </c>
      <c r="H519" t="s">
        <v>27</v>
      </c>
      <c r="I519" t="s">
        <v>27</v>
      </c>
      <c r="J519" t="s">
        <v>27</v>
      </c>
      <c r="K519">
        <v>2505</v>
      </c>
      <c r="L519" t="s">
        <v>31</v>
      </c>
      <c r="M519">
        <v>60.660331752739182</v>
      </c>
    </row>
    <row r="520" spans="1:13" hidden="1" x14ac:dyDescent="0.3">
      <c r="A520" t="s">
        <v>955</v>
      </c>
      <c r="B520" t="s">
        <v>28</v>
      </c>
      <c r="C520" t="s">
        <v>30</v>
      </c>
      <c r="D520">
        <v>2005</v>
      </c>
      <c r="E520">
        <v>2500000</v>
      </c>
      <c r="F520" t="s">
        <v>73</v>
      </c>
      <c r="G520" t="s">
        <v>181</v>
      </c>
      <c r="H520" t="s">
        <v>27</v>
      </c>
      <c r="I520" t="s">
        <v>27</v>
      </c>
      <c r="J520" t="s">
        <v>33</v>
      </c>
      <c r="K520">
        <v>1954571</v>
      </c>
      <c r="L520">
        <v>4121309</v>
      </c>
      <c r="M520">
        <v>60.660331752739182</v>
      </c>
    </row>
    <row r="521" spans="1:13" hidden="1" x14ac:dyDescent="0.3">
      <c r="A521" t="s">
        <v>956</v>
      </c>
      <c r="B521" t="s">
        <v>28</v>
      </c>
      <c r="C521" t="s">
        <v>30</v>
      </c>
      <c r="D521">
        <v>2005</v>
      </c>
      <c r="E521" t="s">
        <v>31</v>
      </c>
      <c r="F521" t="s">
        <v>81</v>
      </c>
      <c r="G521" t="s">
        <v>37</v>
      </c>
      <c r="H521" t="s">
        <v>27</v>
      </c>
      <c r="I521" t="s">
        <v>27</v>
      </c>
      <c r="J521" t="s">
        <v>33</v>
      </c>
      <c r="K521">
        <v>7880</v>
      </c>
      <c r="L521" t="s">
        <v>31</v>
      </c>
      <c r="M521">
        <v>60.660331752739182</v>
      </c>
    </row>
    <row r="522" spans="1:13" hidden="1" x14ac:dyDescent="0.3">
      <c r="A522" t="s">
        <v>957</v>
      </c>
      <c r="B522" t="s">
        <v>91</v>
      </c>
      <c r="C522" t="s">
        <v>105</v>
      </c>
      <c r="D522">
        <v>2005</v>
      </c>
      <c r="E522" t="s">
        <v>31</v>
      </c>
      <c r="F522" t="s">
        <v>115</v>
      </c>
      <c r="G522" t="s">
        <v>31</v>
      </c>
      <c r="H522" t="s">
        <v>27</v>
      </c>
      <c r="I522" t="s">
        <v>27</v>
      </c>
      <c r="J522" t="s">
        <v>27</v>
      </c>
      <c r="K522">
        <v>2000</v>
      </c>
      <c r="L522" t="s">
        <v>31</v>
      </c>
      <c r="M522">
        <v>60.660331752739182</v>
      </c>
    </row>
    <row r="523" spans="1:13" hidden="1" x14ac:dyDescent="0.3">
      <c r="A523" t="s">
        <v>958</v>
      </c>
      <c r="B523" t="s">
        <v>51</v>
      </c>
      <c r="C523" t="s">
        <v>121</v>
      </c>
      <c r="D523">
        <v>2005</v>
      </c>
      <c r="E523" t="s">
        <v>31</v>
      </c>
      <c r="F523" t="s">
        <v>47</v>
      </c>
      <c r="G523" t="s">
        <v>31</v>
      </c>
      <c r="H523" t="s">
        <v>27</v>
      </c>
      <c r="I523" t="s">
        <v>27</v>
      </c>
      <c r="J523" t="s">
        <v>27</v>
      </c>
      <c r="K523">
        <v>474607</v>
      </c>
      <c r="L523" t="s">
        <v>31</v>
      </c>
      <c r="M523">
        <v>60.660331752739182</v>
      </c>
    </row>
    <row r="524" spans="1:13" hidden="1" x14ac:dyDescent="0.3">
      <c r="A524" t="s">
        <v>959</v>
      </c>
      <c r="B524" t="s">
        <v>28</v>
      </c>
      <c r="C524" t="s">
        <v>30</v>
      </c>
      <c r="D524">
        <v>2005</v>
      </c>
      <c r="E524" t="s">
        <v>31</v>
      </c>
      <c r="F524" t="s">
        <v>32</v>
      </c>
      <c r="G524" t="s">
        <v>31</v>
      </c>
      <c r="H524" t="s">
        <v>27</v>
      </c>
      <c r="I524" t="s">
        <v>27</v>
      </c>
      <c r="J524" t="s">
        <v>27</v>
      </c>
      <c r="K524" t="s">
        <v>31</v>
      </c>
      <c r="L524" t="s">
        <v>31</v>
      </c>
      <c r="M524">
        <v>60.660331752739182</v>
      </c>
    </row>
    <row r="525" spans="1:13" hidden="1" x14ac:dyDescent="0.3">
      <c r="A525" t="s">
        <v>960</v>
      </c>
      <c r="B525" t="s">
        <v>28</v>
      </c>
      <c r="C525" t="s">
        <v>30</v>
      </c>
      <c r="D525">
        <v>2005</v>
      </c>
      <c r="E525" t="s">
        <v>31</v>
      </c>
      <c r="F525" t="s">
        <v>75</v>
      </c>
      <c r="G525" t="s">
        <v>82</v>
      </c>
      <c r="H525" t="s">
        <v>27</v>
      </c>
      <c r="I525" t="s">
        <v>27</v>
      </c>
      <c r="J525" t="s">
        <v>27</v>
      </c>
      <c r="K525">
        <v>1000</v>
      </c>
      <c r="L525" t="s">
        <v>31</v>
      </c>
      <c r="M525">
        <v>60.660331752739182</v>
      </c>
    </row>
    <row r="526" spans="1:13" hidden="1" x14ac:dyDescent="0.3">
      <c r="A526" t="s">
        <v>961</v>
      </c>
      <c r="B526" t="s">
        <v>28</v>
      </c>
      <c r="C526" t="s">
        <v>95</v>
      </c>
      <c r="D526">
        <v>2005</v>
      </c>
      <c r="E526" t="s">
        <v>31</v>
      </c>
      <c r="F526" t="s">
        <v>34</v>
      </c>
      <c r="G526" t="s">
        <v>31</v>
      </c>
      <c r="H526" t="s">
        <v>27</v>
      </c>
      <c r="I526" t="s">
        <v>27</v>
      </c>
      <c r="J526" t="s">
        <v>27</v>
      </c>
      <c r="K526">
        <v>31</v>
      </c>
      <c r="L526" t="s">
        <v>31</v>
      </c>
      <c r="M526">
        <v>60.660331752739182</v>
      </c>
    </row>
    <row r="527" spans="1:13" hidden="1" x14ac:dyDescent="0.3">
      <c r="A527" t="s">
        <v>1525</v>
      </c>
      <c r="B527" t="s">
        <v>51</v>
      </c>
      <c r="C527" t="s">
        <v>121</v>
      </c>
      <c r="D527">
        <v>2005</v>
      </c>
      <c r="E527">
        <v>25000</v>
      </c>
      <c r="F527" t="s">
        <v>161</v>
      </c>
      <c r="G527" t="s">
        <v>54</v>
      </c>
      <c r="H527" t="s">
        <v>33</v>
      </c>
      <c r="I527" t="s">
        <v>27</v>
      </c>
      <c r="J527" t="s">
        <v>33</v>
      </c>
      <c r="K527">
        <v>2143</v>
      </c>
      <c r="L527">
        <v>41213</v>
      </c>
      <c r="M527">
        <v>60.660331752739182</v>
      </c>
    </row>
    <row r="528" spans="1:13" hidden="1" x14ac:dyDescent="0.3">
      <c r="A528" t="s">
        <v>1526</v>
      </c>
      <c r="B528" t="s">
        <v>28</v>
      </c>
      <c r="C528" t="s">
        <v>67</v>
      </c>
      <c r="D528">
        <v>2005</v>
      </c>
      <c r="E528">
        <v>350000</v>
      </c>
      <c r="F528" t="s">
        <v>34</v>
      </c>
      <c r="G528" t="s">
        <v>68</v>
      </c>
      <c r="H528" t="s">
        <v>27</v>
      </c>
      <c r="I528" t="s">
        <v>27</v>
      </c>
      <c r="J528" t="s">
        <v>27</v>
      </c>
      <c r="K528" t="s">
        <v>31</v>
      </c>
      <c r="L528">
        <v>576983</v>
      </c>
      <c r="M528">
        <v>60.660331752739182</v>
      </c>
    </row>
    <row r="529" spans="1:13" hidden="1" x14ac:dyDescent="0.3">
      <c r="A529" t="s">
        <v>1527</v>
      </c>
      <c r="B529" t="s">
        <v>28</v>
      </c>
      <c r="C529" t="s">
        <v>99</v>
      </c>
      <c r="D529">
        <v>2005</v>
      </c>
      <c r="E529">
        <v>350000</v>
      </c>
      <c r="F529" t="s">
        <v>34</v>
      </c>
      <c r="G529" t="s">
        <v>37</v>
      </c>
      <c r="H529" t="s">
        <v>27</v>
      </c>
      <c r="I529" t="s">
        <v>27</v>
      </c>
      <c r="J529" t="s">
        <v>33</v>
      </c>
      <c r="K529">
        <v>104</v>
      </c>
      <c r="L529">
        <v>576983</v>
      </c>
      <c r="M529">
        <v>60.660331752739182</v>
      </c>
    </row>
    <row r="530" spans="1:13" hidden="1" x14ac:dyDescent="0.3">
      <c r="A530" t="s">
        <v>1528</v>
      </c>
      <c r="B530" t="s">
        <v>51</v>
      </c>
      <c r="C530" t="s">
        <v>121</v>
      </c>
      <c r="D530">
        <v>2005</v>
      </c>
      <c r="E530">
        <v>50000</v>
      </c>
      <c r="F530" t="s">
        <v>70</v>
      </c>
      <c r="G530" t="s">
        <v>54</v>
      </c>
      <c r="H530" t="s">
        <v>33</v>
      </c>
      <c r="I530" t="s">
        <v>27</v>
      </c>
      <c r="J530" t="s">
        <v>33</v>
      </c>
      <c r="K530">
        <v>25042</v>
      </c>
      <c r="L530">
        <v>82426</v>
      </c>
      <c r="M530">
        <v>60.660331752739182</v>
      </c>
    </row>
    <row r="531" spans="1:13" hidden="1" x14ac:dyDescent="0.3">
      <c r="A531" t="s">
        <v>1529</v>
      </c>
      <c r="B531" t="s">
        <v>51</v>
      </c>
      <c r="C531" t="s">
        <v>121</v>
      </c>
      <c r="D531">
        <v>2005</v>
      </c>
      <c r="E531">
        <v>250000</v>
      </c>
      <c r="F531" t="s">
        <v>34</v>
      </c>
      <c r="G531" t="s">
        <v>405</v>
      </c>
      <c r="H531" t="s">
        <v>27</v>
      </c>
      <c r="I531" t="s">
        <v>27</v>
      </c>
      <c r="J531" t="s">
        <v>27</v>
      </c>
      <c r="K531">
        <v>150</v>
      </c>
      <c r="L531">
        <v>412131</v>
      </c>
      <c r="M531">
        <v>60.660331752739182</v>
      </c>
    </row>
    <row r="532" spans="1:13" hidden="1" x14ac:dyDescent="0.3">
      <c r="A532" t="s">
        <v>1530</v>
      </c>
      <c r="B532" t="s">
        <v>91</v>
      </c>
      <c r="C532" t="s">
        <v>93</v>
      </c>
      <c r="D532">
        <v>2005</v>
      </c>
      <c r="E532" t="s">
        <v>31</v>
      </c>
      <c r="F532" t="s">
        <v>115</v>
      </c>
      <c r="G532" t="s">
        <v>54</v>
      </c>
      <c r="H532" t="s">
        <v>27</v>
      </c>
      <c r="I532" t="s">
        <v>27</v>
      </c>
      <c r="J532" t="s">
        <v>27</v>
      </c>
      <c r="K532">
        <v>751</v>
      </c>
      <c r="L532" t="s">
        <v>31</v>
      </c>
      <c r="M532">
        <v>60.660331752739182</v>
      </c>
    </row>
    <row r="533" spans="1:13" hidden="1" x14ac:dyDescent="0.3">
      <c r="A533" t="s">
        <v>1531</v>
      </c>
      <c r="B533" t="s">
        <v>28</v>
      </c>
      <c r="C533" t="s">
        <v>30</v>
      </c>
      <c r="D533">
        <v>2005</v>
      </c>
      <c r="E533">
        <v>50000</v>
      </c>
      <c r="F533" t="s">
        <v>45</v>
      </c>
      <c r="G533" t="s">
        <v>382</v>
      </c>
      <c r="H533" t="s">
        <v>33</v>
      </c>
      <c r="I533" t="s">
        <v>27</v>
      </c>
      <c r="J533" t="s">
        <v>27</v>
      </c>
      <c r="K533">
        <v>15036</v>
      </c>
      <c r="L533">
        <v>82426</v>
      </c>
      <c r="M533">
        <v>60.660331752739182</v>
      </c>
    </row>
    <row r="534" spans="1:13" hidden="1" x14ac:dyDescent="0.3">
      <c r="A534" t="s">
        <v>1532</v>
      </c>
      <c r="B534" t="s">
        <v>28</v>
      </c>
      <c r="C534" t="s">
        <v>30</v>
      </c>
      <c r="D534">
        <v>2005</v>
      </c>
      <c r="E534">
        <v>2230000</v>
      </c>
      <c r="F534" t="s">
        <v>34</v>
      </c>
      <c r="G534" t="s">
        <v>31</v>
      </c>
      <c r="H534" t="s">
        <v>27</v>
      </c>
      <c r="I534" t="s">
        <v>27</v>
      </c>
      <c r="J534" t="s">
        <v>33</v>
      </c>
      <c r="K534" t="s">
        <v>31</v>
      </c>
      <c r="L534">
        <v>3676208</v>
      </c>
      <c r="M534">
        <v>60.660331752739182</v>
      </c>
    </row>
    <row r="535" spans="1:13" hidden="1" x14ac:dyDescent="0.3">
      <c r="A535" t="s">
        <v>1533</v>
      </c>
      <c r="B535" t="s">
        <v>28</v>
      </c>
      <c r="C535" t="s">
        <v>30</v>
      </c>
      <c r="D535">
        <v>2005</v>
      </c>
      <c r="E535" t="s">
        <v>31</v>
      </c>
      <c r="F535" t="s">
        <v>45</v>
      </c>
      <c r="G535" t="s">
        <v>37</v>
      </c>
      <c r="H535" t="s">
        <v>27</v>
      </c>
      <c r="I535" t="s">
        <v>27</v>
      </c>
      <c r="J535" t="s">
        <v>27</v>
      </c>
      <c r="K535">
        <v>750</v>
      </c>
      <c r="L535" t="s">
        <v>31</v>
      </c>
      <c r="M535">
        <v>60.660331752739182</v>
      </c>
    </row>
    <row r="536" spans="1:13" hidden="1" x14ac:dyDescent="0.3">
      <c r="A536" t="s">
        <v>1534</v>
      </c>
      <c r="B536" t="s">
        <v>28</v>
      </c>
      <c r="C536" t="s">
        <v>30</v>
      </c>
      <c r="D536">
        <v>2005</v>
      </c>
      <c r="E536">
        <v>1000</v>
      </c>
      <c r="F536" t="s">
        <v>234</v>
      </c>
      <c r="G536" t="s">
        <v>31</v>
      </c>
      <c r="H536" t="s">
        <v>27</v>
      </c>
      <c r="I536" t="s">
        <v>27</v>
      </c>
      <c r="J536" t="s">
        <v>27</v>
      </c>
      <c r="K536">
        <v>2296</v>
      </c>
      <c r="L536">
        <v>1649</v>
      </c>
      <c r="M536">
        <v>60.660331752739182</v>
      </c>
    </row>
    <row r="537" spans="1:13" hidden="1" x14ac:dyDescent="0.3">
      <c r="A537" t="s">
        <v>1535</v>
      </c>
      <c r="B537" t="s">
        <v>28</v>
      </c>
      <c r="C537" t="s">
        <v>30</v>
      </c>
      <c r="D537">
        <v>2005</v>
      </c>
      <c r="E537">
        <v>400000</v>
      </c>
      <c r="F537" t="s">
        <v>73</v>
      </c>
      <c r="G537" t="s">
        <v>31</v>
      </c>
      <c r="H537" t="s">
        <v>27</v>
      </c>
      <c r="I537" t="s">
        <v>27</v>
      </c>
      <c r="J537" t="s">
        <v>27</v>
      </c>
      <c r="K537" t="s">
        <v>31</v>
      </c>
      <c r="L537">
        <v>659410</v>
      </c>
      <c r="M537">
        <v>60.660331752739182</v>
      </c>
    </row>
    <row r="538" spans="1:13" hidden="1" x14ac:dyDescent="0.3">
      <c r="A538" t="s">
        <v>1536</v>
      </c>
      <c r="B538" t="s">
        <v>28</v>
      </c>
      <c r="C538" t="s">
        <v>30</v>
      </c>
      <c r="D538">
        <v>2005</v>
      </c>
      <c r="E538" t="s">
        <v>31</v>
      </c>
      <c r="F538" t="s">
        <v>148</v>
      </c>
      <c r="G538" t="s">
        <v>31</v>
      </c>
      <c r="H538" t="s">
        <v>27</v>
      </c>
      <c r="I538" t="s">
        <v>27</v>
      </c>
      <c r="J538" t="s">
        <v>27</v>
      </c>
      <c r="K538">
        <v>530</v>
      </c>
      <c r="L538" t="s">
        <v>31</v>
      </c>
      <c r="M538">
        <v>60.660331752739182</v>
      </c>
    </row>
    <row r="539" spans="1:13" hidden="1" x14ac:dyDescent="0.3">
      <c r="A539" t="s">
        <v>1537</v>
      </c>
      <c r="B539" t="s">
        <v>51</v>
      </c>
      <c r="C539" t="s">
        <v>121</v>
      </c>
      <c r="D539">
        <v>2005</v>
      </c>
      <c r="E539" t="s">
        <v>31</v>
      </c>
      <c r="F539" t="s">
        <v>60</v>
      </c>
      <c r="G539" t="s">
        <v>54</v>
      </c>
      <c r="H539" t="s">
        <v>27</v>
      </c>
      <c r="I539" t="s">
        <v>27</v>
      </c>
      <c r="J539" t="s">
        <v>33</v>
      </c>
      <c r="K539">
        <v>800</v>
      </c>
      <c r="L539" t="s">
        <v>31</v>
      </c>
      <c r="M539">
        <v>60.660331752739182</v>
      </c>
    </row>
    <row r="540" spans="1:13" hidden="1" x14ac:dyDescent="0.3">
      <c r="A540" t="s">
        <v>1538</v>
      </c>
      <c r="B540" t="s">
        <v>51</v>
      </c>
      <c r="C540" t="s">
        <v>121</v>
      </c>
      <c r="D540">
        <v>2005</v>
      </c>
      <c r="E540" t="s">
        <v>31</v>
      </c>
      <c r="F540" t="s">
        <v>70</v>
      </c>
      <c r="G540" t="s">
        <v>31</v>
      </c>
      <c r="H540" t="s">
        <v>27</v>
      </c>
      <c r="I540" t="s">
        <v>27</v>
      </c>
      <c r="J540" t="s">
        <v>27</v>
      </c>
      <c r="K540">
        <v>19105</v>
      </c>
      <c r="L540" t="s">
        <v>31</v>
      </c>
      <c r="M540">
        <v>60.660331752739182</v>
      </c>
    </row>
    <row r="541" spans="1:13" hidden="1" x14ac:dyDescent="0.3">
      <c r="A541" t="s">
        <v>1539</v>
      </c>
      <c r="B541" t="s">
        <v>39</v>
      </c>
      <c r="C541" t="s">
        <v>41</v>
      </c>
      <c r="D541">
        <v>2005</v>
      </c>
      <c r="E541" t="s">
        <v>31</v>
      </c>
      <c r="F541" t="s">
        <v>77</v>
      </c>
      <c r="G541" t="s">
        <v>31</v>
      </c>
      <c r="H541" t="s">
        <v>27</v>
      </c>
      <c r="I541" t="s">
        <v>27</v>
      </c>
      <c r="J541" t="s">
        <v>27</v>
      </c>
      <c r="K541" t="s">
        <v>31</v>
      </c>
      <c r="L541" t="s">
        <v>31</v>
      </c>
      <c r="M541">
        <v>60.660331752739182</v>
      </c>
    </row>
    <row r="542" spans="1:13" hidden="1" x14ac:dyDescent="0.3">
      <c r="A542" t="s">
        <v>1540</v>
      </c>
      <c r="B542" t="s">
        <v>28</v>
      </c>
      <c r="C542" t="s">
        <v>97</v>
      </c>
      <c r="D542">
        <v>2005</v>
      </c>
      <c r="E542" t="s">
        <v>31</v>
      </c>
      <c r="F542" t="s">
        <v>34</v>
      </c>
      <c r="G542" t="s">
        <v>31</v>
      </c>
      <c r="H542" t="s">
        <v>27</v>
      </c>
      <c r="I542" t="s">
        <v>27</v>
      </c>
      <c r="J542" t="s">
        <v>27</v>
      </c>
      <c r="K542">
        <v>201</v>
      </c>
      <c r="L542" t="s">
        <v>31</v>
      </c>
      <c r="M542">
        <v>60.660331752739182</v>
      </c>
    </row>
    <row r="543" spans="1:13" hidden="1" x14ac:dyDescent="0.3">
      <c r="A543" t="s">
        <v>1541</v>
      </c>
      <c r="B543" t="s">
        <v>51</v>
      </c>
      <c r="C543" t="s">
        <v>121</v>
      </c>
      <c r="D543">
        <v>2005</v>
      </c>
      <c r="E543" t="s">
        <v>31</v>
      </c>
      <c r="F543" t="s">
        <v>161</v>
      </c>
      <c r="G543" t="s">
        <v>54</v>
      </c>
      <c r="H543" t="s">
        <v>27</v>
      </c>
      <c r="I543" t="s">
        <v>27</v>
      </c>
      <c r="J543" t="s">
        <v>33</v>
      </c>
      <c r="K543">
        <v>855</v>
      </c>
      <c r="L543" t="s">
        <v>31</v>
      </c>
      <c r="M543">
        <v>60.660331752739182</v>
      </c>
    </row>
    <row r="544" spans="1:13" hidden="1" x14ac:dyDescent="0.3">
      <c r="A544" t="s">
        <v>1542</v>
      </c>
      <c r="B544" t="s">
        <v>28</v>
      </c>
      <c r="C544" t="s">
        <v>30</v>
      </c>
      <c r="D544">
        <v>2005</v>
      </c>
      <c r="E544" t="s">
        <v>31</v>
      </c>
      <c r="F544" t="s">
        <v>45</v>
      </c>
      <c r="G544" t="s">
        <v>37</v>
      </c>
      <c r="H544" t="s">
        <v>27</v>
      </c>
      <c r="I544" t="s">
        <v>27</v>
      </c>
      <c r="J544" t="s">
        <v>27</v>
      </c>
      <c r="K544">
        <v>10000</v>
      </c>
      <c r="L544" t="s">
        <v>31</v>
      </c>
      <c r="M544">
        <v>60.660331752739182</v>
      </c>
    </row>
    <row r="545" spans="1:13" hidden="1" x14ac:dyDescent="0.3">
      <c r="A545" t="s">
        <v>1543</v>
      </c>
      <c r="B545" t="s">
        <v>28</v>
      </c>
      <c r="C545" t="s">
        <v>30</v>
      </c>
      <c r="D545">
        <v>2005</v>
      </c>
      <c r="E545" t="s">
        <v>31</v>
      </c>
      <c r="F545" t="s">
        <v>49</v>
      </c>
      <c r="G545" t="s">
        <v>31</v>
      </c>
      <c r="H545" t="s">
        <v>27</v>
      </c>
      <c r="I545" t="s">
        <v>27</v>
      </c>
      <c r="J545" t="s">
        <v>27</v>
      </c>
      <c r="K545" t="s">
        <v>31</v>
      </c>
      <c r="L545" t="s">
        <v>31</v>
      </c>
      <c r="M545">
        <v>60.660331752739182</v>
      </c>
    </row>
    <row r="546" spans="1:13" hidden="1" x14ac:dyDescent="0.3">
      <c r="A546" t="s">
        <v>1544</v>
      </c>
      <c r="B546" t="s">
        <v>28</v>
      </c>
      <c r="C546" t="s">
        <v>30</v>
      </c>
      <c r="D546">
        <v>2005</v>
      </c>
      <c r="E546">
        <v>500</v>
      </c>
      <c r="F546" t="s">
        <v>45</v>
      </c>
      <c r="G546" t="s">
        <v>37</v>
      </c>
      <c r="H546" t="s">
        <v>27</v>
      </c>
      <c r="I546" t="s">
        <v>27</v>
      </c>
      <c r="J546" t="s">
        <v>27</v>
      </c>
      <c r="K546" t="s">
        <v>31</v>
      </c>
      <c r="L546">
        <v>824</v>
      </c>
      <c r="M546">
        <v>60.660331752739182</v>
      </c>
    </row>
    <row r="547" spans="1:13" hidden="1" x14ac:dyDescent="0.3">
      <c r="A547" t="s">
        <v>1545</v>
      </c>
      <c r="B547" t="s">
        <v>28</v>
      </c>
      <c r="C547" t="s">
        <v>30</v>
      </c>
      <c r="D547">
        <v>2005</v>
      </c>
      <c r="E547">
        <v>3500</v>
      </c>
      <c r="F547" t="s">
        <v>234</v>
      </c>
      <c r="G547" t="s">
        <v>82</v>
      </c>
      <c r="H547" t="s">
        <v>27</v>
      </c>
      <c r="I547" t="s">
        <v>27</v>
      </c>
      <c r="J547" t="s">
        <v>27</v>
      </c>
      <c r="K547">
        <v>100</v>
      </c>
      <c r="L547">
        <v>5770</v>
      </c>
      <c r="M547">
        <v>60.660331752739182</v>
      </c>
    </row>
    <row r="548" spans="1:13" hidden="1" x14ac:dyDescent="0.3">
      <c r="A548" t="s">
        <v>1546</v>
      </c>
      <c r="B548" t="s">
        <v>28</v>
      </c>
      <c r="C548" t="s">
        <v>30</v>
      </c>
      <c r="D548">
        <v>2005</v>
      </c>
      <c r="E548">
        <v>5000000</v>
      </c>
      <c r="F548" t="s">
        <v>73</v>
      </c>
      <c r="G548" t="s">
        <v>181</v>
      </c>
      <c r="H548" t="s">
        <v>33</v>
      </c>
      <c r="I548" t="s">
        <v>27</v>
      </c>
      <c r="J548" t="s">
        <v>33</v>
      </c>
      <c r="K548">
        <v>1000000</v>
      </c>
      <c r="L548">
        <v>8242619</v>
      </c>
      <c r="M548">
        <v>60.660331752739182</v>
      </c>
    </row>
    <row r="549" spans="1:13" hidden="1" x14ac:dyDescent="0.3">
      <c r="A549" t="s">
        <v>1547</v>
      </c>
      <c r="B549" t="s">
        <v>51</v>
      </c>
      <c r="C549" t="s">
        <v>121</v>
      </c>
      <c r="D549">
        <v>2005</v>
      </c>
      <c r="E549" t="s">
        <v>31</v>
      </c>
      <c r="F549" t="s">
        <v>77</v>
      </c>
      <c r="G549" t="s">
        <v>31</v>
      </c>
      <c r="H549" t="s">
        <v>27</v>
      </c>
      <c r="I549" t="s">
        <v>27</v>
      </c>
      <c r="J549" t="s">
        <v>33</v>
      </c>
      <c r="K549">
        <v>600</v>
      </c>
      <c r="L549" t="s">
        <v>31</v>
      </c>
      <c r="M549">
        <v>60.660331752739182</v>
      </c>
    </row>
    <row r="550" spans="1:13" hidden="1" x14ac:dyDescent="0.3">
      <c r="A550" t="s">
        <v>1548</v>
      </c>
      <c r="B550" t="s">
        <v>51</v>
      </c>
      <c r="C550" t="s">
        <v>121</v>
      </c>
      <c r="D550">
        <v>2005</v>
      </c>
      <c r="E550" t="s">
        <v>31</v>
      </c>
      <c r="F550" t="s">
        <v>90</v>
      </c>
      <c r="G550" t="s">
        <v>31</v>
      </c>
      <c r="H550" t="s">
        <v>27</v>
      </c>
      <c r="I550" t="s">
        <v>27</v>
      </c>
      <c r="J550" t="s">
        <v>27</v>
      </c>
      <c r="K550" t="s">
        <v>31</v>
      </c>
      <c r="L550" t="s">
        <v>31</v>
      </c>
      <c r="M550">
        <v>60.660331752739182</v>
      </c>
    </row>
    <row r="551" spans="1:13" hidden="1" x14ac:dyDescent="0.3">
      <c r="A551" t="s">
        <v>1549</v>
      </c>
      <c r="B551" t="s">
        <v>28</v>
      </c>
      <c r="C551" t="s">
        <v>30</v>
      </c>
      <c r="D551">
        <v>2005</v>
      </c>
      <c r="E551" t="s">
        <v>31</v>
      </c>
      <c r="F551" t="s">
        <v>81</v>
      </c>
      <c r="G551" t="s">
        <v>181</v>
      </c>
      <c r="H551" t="s">
        <v>27</v>
      </c>
      <c r="I551" t="s">
        <v>27</v>
      </c>
      <c r="J551" t="s">
        <v>33</v>
      </c>
      <c r="K551">
        <v>5763</v>
      </c>
      <c r="L551" t="s">
        <v>31</v>
      </c>
      <c r="M551">
        <v>60.660331752739182</v>
      </c>
    </row>
    <row r="552" spans="1:13" hidden="1" x14ac:dyDescent="0.3">
      <c r="A552" t="s">
        <v>1550</v>
      </c>
      <c r="B552" t="s">
        <v>39</v>
      </c>
      <c r="C552" t="s">
        <v>41</v>
      </c>
      <c r="D552">
        <v>2005</v>
      </c>
      <c r="E552">
        <v>100000</v>
      </c>
      <c r="F552" t="s">
        <v>34</v>
      </c>
      <c r="G552" t="s">
        <v>31</v>
      </c>
      <c r="H552" t="s">
        <v>27</v>
      </c>
      <c r="I552" t="s">
        <v>27</v>
      </c>
      <c r="J552" t="s">
        <v>33</v>
      </c>
      <c r="K552">
        <v>1410</v>
      </c>
      <c r="L552">
        <v>164852</v>
      </c>
      <c r="M552">
        <v>60.660331752739182</v>
      </c>
    </row>
    <row r="553" spans="1:13" hidden="1" x14ac:dyDescent="0.3">
      <c r="A553" t="s">
        <v>1551</v>
      </c>
      <c r="B553" t="s">
        <v>39</v>
      </c>
      <c r="C553" t="s">
        <v>157</v>
      </c>
      <c r="D553">
        <v>2005</v>
      </c>
      <c r="E553" t="s">
        <v>31</v>
      </c>
      <c r="F553" t="s">
        <v>117</v>
      </c>
      <c r="G553" t="s">
        <v>31</v>
      </c>
      <c r="H553" t="s">
        <v>27</v>
      </c>
      <c r="I553" t="s">
        <v>27</v>
      </c>
      <c r="J553" t="s">
        <v>27</v>
      </c>
      <c r="K553">
        <v>52990</v>
      </c>
      <c r="L553" t="s">
        <v>31</v>
      </c>
      <c r="M553">
        <v>60.660331752739182</v>
      </c>
    </row>
    <row r="554" spans="1:13" hidden="1" x14ac:dyDescent="0.3">
      <c r="A554" t="s">
        <v>2227</v>
      </c>
      <c r="B554" t="s">
        <v>51</v>
      </c>
      <c r="C554" t="s">
        <v>121</v>
      </c>
      <c r="D554">
        <v>2005</v>
      </c>
      <c r="E554">
        <v>200000</v>
      </c>
      <c r="F554" t="s">
        <v>34</v>
      </c>
      <c r="G554" t="s">
        <v>54</v>
      </c>
      <c r="H554" t="s">
        <v>27</v>
      </c>
      <c r="I554" t="s">
        <v>27</v>
      </c>
      <c r="J554" t="s">
        <v>33</v>
      </c>
      <c r="K554">
        <v>508</v>
      </c>
      <c r="L554">
        <v>329705</v>
      </c>
      <c r="M554">
        <v>60.660331752739182</v>
      </c>
    </row>
    <row r="555" spans="1:13" hidden="1" x14ac:dyDescent="0.3">
      <c r="A555" t="s">
        <v>2228</v>
      </c>
      <c r="B555" t="s">
        <v>28</v>
      </c>
      <c r="C555" t="s">
        <v>189</v>
      </c>
      <c r="D555">
        <v>2005</v>
      </c>
      <c r="E555" t="s">
        <v>31</v>
      </c>
      <c r="F555" t="s">
        <v>130</v>
      </c>
      <c r="G555" t="s">
        <v>31</v>
      </c>
      <c r="H555" t="s">
        <v>27</v>
      </c>
      <c r="I555" t="s">
        <v>27</v>
      </c>
      <c r="J555" t="s">
        <v>27</v>
      </c>
      <c r="K555">
        <v>252</v>
      </c>
      <c r="L555" t="s">
        <v>31</v>
      </c>
      <c r="M555">
        <v>60.660331752739182</v>
      </c>
    </row>
    <row r="556" spans="1:13" hidden="1" x14ac:dyDescent="0.3">
      <c r="A556" t="s">
        <v>2229</v>
      </c>
      <c r="B556" t="s">
        <v>51</v>
      </c>
      <c r="C556" t="s">
        <v>121</v>
      </c>
      <c r="D556">
        <v>2005</v>
      </c>
      <c r="E556" t="s">
        <v>31</v>
      </c>
      <c r="F556" t="s">
        <v>70</v>
      </c>
      <c r="G556" t="s">
        <v>31</v>
      </c>
      <c r="H556" t="s">
        <v>27</v>
      </c>
      <c r="I556" t="s">
        <v>27</v>
      </c>
      <c r="J556" t="s">
        <v>27</v>
      </c>
      <c r="K556">
        <v>1650</v>
      </c>
      <c r="L556" t="s">
        <v>31</v>
      </c>
      <c r="M556">
        <v>60.660331752739182</v>
      </c>
    </row>
    <row r="557" spans="1:13" hidden="1" x14ac:dyDescent="0.3">
      <c r="A557" t="s">
        <v>2230</v>
      </c>
      <c r="B557" t="s">
        <v>51</v>
      </c>
      <c r="C557" t="s">
        <v>134</v>
      </c>
      <c r="D557">
        <v>2005</v>
      </c>
      <c r="E557" t="s">
        <v>31</v>
      </c>
      <c r="F557" t="s">
        <v>90</v>
      </c>
      <c r="G557" t="s">
        <v>31</v>
      </c>
      <c r="H557" t="s">
        <v>27</v>
      </c>
      <c r="I557" t="s">
        <v>27</v>
      </c>
      <c r="J557" t="s">
        <v>33</v>
      </c>
      <c r="K557">
        <v>1535</v>
      </c>
      <c r="L557" t="s">
        <v>31</v>
      </c>
      <c r="M557">
        <v>60.660331752739182</v>
      </c>
    </row>
    <row r="558" spans="1:13" hidden="1" x14ac:dyDescent="0.3">
      <c r="A558" t="s">
        <v>2231</v>
      </c>
      <c r="B558" t="s">
        <v>91</v>
      </c>
      <c r="C558" t="s">
        <v>93</v>
      </c>
      <c r="D558">
        <v>2005</v>
      </c>
      <c r="E558">
        <v>50</v>
      </c>
      <c r="F558" t="s">
        <v>53</v>
      </c>
      <c r="G558" t="s">
        <v>31</v>
      </c>
      <c r="H558" t="s">
        <v>27</v>
      </c>
      <c r="I558" t="s">
        <v>27</v>
      </c>
      <c r="J558" t="s">
        <v>27</v>
      </c>
      <c r="K558" t="s">
        <v>31</v>
      </c>
      <c r="L558">
        <v>82</v>
      </c>
      <c r="M558">
        <v>60.660331752739182</v>
      </c>
    </row>
    <row r="559" spans="1:13" hidden="1" x14ac:dyDescent="0.3">
      <c r="A559" t="s">
        <v>2232</v>
      </c>
      <c r="B559" t="s">
        <v>51</v>
      </c>
      <c r="C559" t="s">
        <v>121</v>
      </c>
      <c r="D559">
        <v>2005</v>
      </c>
      <c r="E559" t="s">
        <v>31</v>
      </c>
      <c r="F559" t="s">
        <v>49</v>
      </c>
      <c r="G559" t="s">
        <v>54</v>
      </c>
      <c r="H559" t="s">
        <v>27</v>
      </c>
      <c r="I559" t="s">
        <v>27</v>
      </c>
      <c r="J559" t="s">
        <v>27</v>
      </c>
      <c r="K559">
        <v>800</v>
      </c>
      <c r="L559" t="s">
        <v>31</v>
      </c>
      <c r="M559">
        <v>60.660331752739182</v>
      </c>
    </row>
    <row r="560" spans="1:13" hidden="1" x14ac:dyDescent="0.3">
      <c r="A560" t="s">
        <v>2233</v>
      </c>
      <c r="B560" t="s">
        <v>51</v>
      </c>
      <c r="C560" t="s">
        <v>121</v>
      </c>
      <c r="D560">
        <v>2005</v>
      </c>
      <c r="E560" t="s">
        <v>31</v>
      </c>
      <c r="F560" t="s">
        <v>73</v>
      </c>
      <c r="G560" t="s">
        <v>54</v>
      </c>
      <c r="H560" t="s">
        <v>27</v>
      </c>
      <c r="I560" t="s">
        <v>27</v>
      </c>
      <c r="J560" t="s">
        <v>33</v>
      </c>
      <c r="K560">
        <v>10000</v>
      </c>
      <c r="L560" t="s">
        <v>31</v>
      </c>
      <c r="M560">
        <v>60.660331752739182</v>
      </c>
    </row>
    <row r="561" spans="1:13" hidden="1" x14ac:dyDescent="0.3">
      <c r="A561" t="s">
        <v>2234</v>
      </c>
      <c r="B561" t="s">
        <v>28</v>
      </c>
      <c r="C561" t="s">
        <v>30</v>
      </c>
      <c r="D561">
        <v>2005</v>
      </c>
      <c r="E561" t="s">
        <v>31</v>
      </c>
      <c r="F561" t="s">
        <v>561</v>
      </c>
      <c r="G561" t="s">
        <v>54</v>
      </c>
      <c r="H561" t="s">
        <v>27</v>
      </c>
      <c r="I561" t="s">
        <v>27</v>
      </c>
      <c r="J561" t="s">
        <v>27</v>
      </c>
      <c r="K561" t="s">
        <v>31</v>
      </c>
      <c r="L561" t="s">
        <v>31</v>
      </c>
      <c r="M561">
        <v>60.660331752739182</v>
      </c>
    </row>
    <row r="562" spans="1:13" hidden="1" x14ac:dyDescent="0.3">
      <c r="A562" t="s">
        <v>2235</v>
      </c>
      <c r="B562" t="s">
        <v>28</v>
      </c>
      <c r="C562" t="s">
        <v>189</v>
      </c>
      <c r="D562">
        <v>2005</v>
      </c>
      <c r="E562" t="s">
        <v>31</v>
      </c>
      <c r="F562" t="s">
        <v>57</v>
      </c>
      <c r="G562" t="s">
        <v>31</v>
      </c>
      <c r="H562" t="s">
        <v>33</v>
      </c>
      <c r="I562" t="s">
        <v>27</v>
      </c>
      <c r="J562" t="s">
        <v>27</v>
      </c>
      <c r="K562">
        <v>12</v>
      </c>
      <c r="L562" t="s">
        <v>31</v>
      </c>
      <c r="M562">
        <v>60.660331752739182</v>
      </c>
    </row>
    <row r="563" spans="1:13" hidden="1" x14ac:dyDescent="0.3">
      <c r="A563" t="s">
        <v>2236</v>
      </c>
      <c r="B563" t="s">
        <v>28</v>
      </c>
      <c r="C563" t="s">
        <v>30</v>
      </c>
      <c r="D563">
        <v>2005</v>
      </c>
      <c r="E563">
        <v>125000000</v>
      </c>
      <c r="F563" t="s">
        <v>34</v>
      </c>
      <c r="G563" t="s">
        <v>209</v>
      </c>
      <c r="H563" t="s">
        <v>27</v>
      </c>
      <c r="I563" t="s">
        <v>27</v>
      </c>
      <c r="J563" t="s">
        <v>33</v>
      </c>
      <c r="K563">
        <v>500000</v>
      </c>
      <c r="L563">
        <v>206065474</v>
      </c>
      <c r="M563">
        <v>60.660331752739182</v>
      </c>
    </row>
    <row r="564" spans="1:13" hidden="1" x14ac:dyDescent="0.3">
      <c r="A564" t="s">
        <v>2237</v>
      </c>
      <c r="B564" t="s">
        <v>28</v>
      </c>
      <c r="C564" t="s">
        <v>30</v>
      </c>
      <c r="D564">
        <v>2005</v>
      </c>
      <c r="E564">
        <v>10000</v>
      </c>
      <c r="F564" t="s">
        <v>73</v>
      </c>
      <c r="G564" t="s">
        <v>37</v>
      </c>
      <c r="H564" t="s">
        <v>27</v>
      </c>
      <c r="I564" t="s">
        <v>27</v>
      </c>
      <c r="J564" t="s">
        <v>27</v>
      </c>
      <c r="K564">
        <v>15000</v>
      </c>
      <c r="L564">
        <v>16485</v>
      </c>
      <c r="M564">
        <v>60.660331752739182</v>
      </c>
    </row>
    <row r="565" spans="1:13" hidden="1" x14ac:dyDescent="0.3">
      <c r="A565" t="s">
        <v>2238</v>
      </c>
      <c r="B565" t="s">
        <v>28</v>
      </c>
      <c r="C565" t="s">
        <v>30</v>
      </c>
      <c r="D565">
        <v>2005</v>
      </c>
      <c r="E565">
        <v>20000</v>
      </c>
      <c r="F565" t="s">
        <v>161</v>
      </c>
      <c r="G565" t="s">
        <v>31</v>
      </c>
      <c r="H565" t="s">
        <v>27</v>
      </c>
      <c r="I565" t="s">
        <v>27</v>
      </c>
      <c r="J565" t="s">
        <v>27</v>
      </c>
      <c r="K565">
        <v>1074</v>
      </c>
      <c r="L565">
        <v>32970</v>
      </c>
      <c r="M565">
        <v>60.660331752739182</v>
      </c>
    </row>
    <row r="566" spans="1:13" hidden="1" x14ac:dyDescent="0.3">
      <c r="A566" t="s">
        <v>2239</v>
      </c>
      <c r="B566" t="s">
        <v>28</v>
      </c>
      <c r="C566" t="s">
        <v>30</v>
      </c>
      <c r="D566">
        <v>2005</v>
      </c>
      <c r="E566">
        <v>100000</v>
      </c>
      <c r="F566" t="s">
        <v>49</v>
      </c>
      <c r="G566" t="s">
        <v>54</v>
      </c>
      <c r="H566" t="s">
        <v>27</v>
      </c>
      <c r="I566" t="s">
        <v>27</v>
      </c>
      <c r="J566" t="s">
        <v>27</v>
      </c>
      <c r="K566">
        <v>2869</v>
      </c>
      <c r="L566">
        <v>164852</v>
      </c>
      <c r="M566">
        <v>60.660331752739182</v>
      </c>
    </row>
    <row r="567" spans="1:13" hidden="1" x14ac:dyDescent="0.3">
      <c r="A567" t="s">
        <v>2240</v>
      </c>
      <c r="B567" t="s">
        <v>28</v>
      </c>
      <c r="C567" t="s">
        <v>30</v>
      </c>
      <c r="D567">
        <v>2005</v>
      </c>
      <c r="E567">
        <v>355700</v>
      </c>
      <c r="F567" t="s">
        <v>115</v>
      </c>
      <c r="G567" t="s">
        <v>54</v>
      </c>
      <c r="H567" t="s">
        <v>27</v>
      </c>
      <c r="I567" t="s">
        <v>27</v>
      </c>
      <c r="J567" t="s">
        <v>27</v>
      </c>
      <c r="K567">
        <v>72141</v>
      </c>
      <c r="L567">
        <v>586380</v>
      </c>
      <c r="M567">
        <v>60.660331752739182</v>
      </c>
    </row>
    <row r="568" spans="1:13" hidden="1" x14ac:dyDescent="0.3">
      <c r="A568" t="s">
        <v>2241</v>
      </c>
      <c r="B568" t="s">
        <v>28</v>
      </c>
      <c r="C568" t="s">
        <v>30</v>
      </c>
      <c r="D568">
        <v>2005</v>
      </c>
      <c r="E568" t="s">
        <v>31</v>
      </c>
      <c r="F568" t="s">
        <v>102</v>
      </c>
      <c r="G568" t="s">
        <v>31</v>
      </c>
      <c r="H568" t="s">
        <v>33</v>
      </c>
      <c r="I568" t="s">
        <v>27</v>
      </c>
      <c r="J568" t="s">
        <v>27</v>
      </c>
      <c r="K568">
        <v>1500</v>
      </c>
      <c r="L568" t="s">
        <v>31</v>
      </c>
      <c r="M568">
        <v>60.660331752739182</v>
      </c>
    </row>
    <row r="569" spans="1:13" hidden="1" x14ac:dyDescent="0.3">
      <c r="A569" t="s">
        <v>2242</v>
      </c>
      <c r="B569" t="s">
        <v>28</v>
      </c>
      <c r="C569" t="s">
        <v>30</v>
      </c>
      <c r="D569">
        <v>2005</v>
      </c>
      <c r="E569">
        <v>700000</v>
      </c>
      <c r="F569" t="s">
        <v>242</v>
      </c>
      <c r="G569" t="s">
        <v>82</v>
      </c>
      <c r="H569" t="s">
        <v>33</v>
      </c>
      <c r="I569" t="s">
        <v>27</v>
      </c>
      <c r="J569" t="s">
        <v>27</v>
      </c>
      <c r="K569">
        <v>100000</v>
      </c>
      <c r="L569">
        <v>1153967</v>
      </c>
      <c r="M569">
        <v>60.660331752739182</v>
      </c>
    </row>
    <row r="570" spans="1:13" hidden="1" x14ac:dyDescent="0.3">
      <c r="A570" t="s">
        <v>2243</v>
      </c>
      <c r="B570" t="s">
        <v>28</v>
      </c>
      <c r="C570" t="s">
        <v>30</v>
      </c>
      <c r="D570">
        <v>2005</v>
      </c>
      <c r="E570">
        <v>14300000</v>
      </c>
      <c r="F570" t="s">
        <v>34</v>
      </c>
      <c r="G570" t="s">
        <v>382</v>
      </c>
      <c r="H570" t="s">
        <v>27</v>
      </c>
      <c r="I570" t="s">
        <v>27</v>
      </c>
      <c r="J570" t="s">
        <v>33</v>
      </c>
      <c r="K570">
        <v>30000</v>
      </c>
      <c r="L570">
        <v>23573890</v>
      </c>
      <c r="M570">
        <v>60.660331752739182</v>
      </c>
    </row>
    <row r="571" spans="1:13" hidden="1" x14ac:dyDescent="0.3">
      <c r="A571" t="s">
        <v>2244</v>
      </c>
      <c r="B571" t="s">
        <v>51</v>
      </c>
      <c r="C571" t="s">
        <v>121</v>
      </c>
      <c r="D571">
        <v>2005</v>
      </c>
      <c r="E571" t="s">
        <v>31</v>
      </c>
      <c r="F571" t="s">
        <v>45</v>
      </c>
      <c r="G571" t="s">
        <v>54</v>
      </c>
      <c r="H571" t="s">
        <v>27</v>
      </c>
      <c r="I571" t="s">
        <v>27</v>
      </c>
      <c r="J571" t="s">
        <v>27</v>
      </c>
      <c r="K571">
        <v>11500</v>
      </c>
      <c r="L571" t="s">
        <v>31</v>
      </c>
      <c r="M571">
        <v>60.660331752739182</v>
      </c>
    </row>
    <row r="572" spans="1:13" hidden="1" x14ac:dyDescent="0.3">
      <c r="A572" t="s">
        <v>2245</v>
      </c>
      <c r="B572" t="s">
        <v>28</v>
      </c>
      <c r="C572" t="s">
        <v>30</v>
      </c>
      <c r="D572">
        <v>2005</v>
      </c>
      <c r="E572" t="s">
        <v>31</v>
      </c>
      <c r="F572" t="s">
        <v>47</v>
      </c>
      <c r="G572" t="s">
        <v>31</v>
      </c>
      <c r="H572" t="s">
        <v>27</v>
      </c>
      <c r="I572" t="s">
        <v>27</v>
      </c>
      <c r="J572" t="s">
        <v>27</v>
      </c>
      <c r="K572">
        <v>3074</v>
      </c>
      <c r="L572" t="s">
        <v>31</v>
      </c>
      <c r="M572">
        <v>60.660331752739182</v>
      </c>
    </row>
    <row r="573" spans="1:13" hidden="1" x14ac:dyDescent="0.3">
      <c r="A573" t="s">
        <v>2246</v>
      </c>
      <c r="B573" t="s">
        <v>28</v>
      </c>
      <c r="C573" t="s">
        <v>30</v>
      </c>
      <c r="D573">
        <v>2005</v>
      </c>
      <c r="E573" t="s">
        <v>31</v>
      </c>
      <c r="F573" t="s">
        <v>49</v>
      </c>
      <c r="G573" t="s">
        <v>181</v>
      </c>
      <c r="H573" t="s">
        <v>27</v>
      </c>
      <c r="I573" t="s">
        <v>27</v>
      </c>
      <c r="J573" t="s">
        <v>27</v>
      </c>
      <c r="K573">
        <v>11000</v>
      </c>
      <c r="L573" t="s">
        <v>31</v>
      </c>
      <c r="M573">
        <v>60.660331752739182</v>
      </c>
    </row>
    <row r="574" spans="1:13" hidden="1" x14ac:dyDescent="0.3">
      <c r="A574" t="s">
        <v>2247</v>
      </c>
      <c r="B574" t="s">
        <v>28</v>
      </c>
      <c r="C574" t="s">
        <v>30</v>
      </c>
      <c r="D574">
        <v>2005</v>
      </c>
      <c r="E574" t="s">
        <v>31</v>
      </c>
      <c r="F574" t="s">
        <v>32</v>
      </c>
      <c r="G574" t="s">
        <v>31</v>
      </c>
      <c r="H574" t="s">
        <v>27</v>
      </c>
      <c r="I574" t="s">
        <v>27</v>
      </c>
      <c r="J574" t="s">
        <v>27</v>
      </c>
      <c r="K574" t="s">
        <v>31</v>
      </c>
      <c r="L574" t="s">
        <v>31</v>
      </c>
      <c r="M574">
        <v>60.660331752739182</v>
      </c>
    </row>
    <row r="575" spans="1:13" hidden="1" x14ac:dyDescent="0.3">
      <c r="A575" t="s">
        <v>2248</v>
      </c>
      <c r="B575" t="s">
        <v>28</v>
      </c>
      <c r="C575" t="s">
        <v>30</v>
      </c>
      <c r="D575">
        <v>2005</v>
      </c>
      <c r="E575">
        <v>15500</v>
      </c>
      <c r="F575" t="s">
        <v>49</v>
      </c>
      <c r="G575" t="s">
        <v>82</v>
      </c>
      <c r="H575" t="s">
        <v>33</v>
      </c>
      <c r="I575" t="s">
        <v>27</v>
      </c>
      <c r="J575" t="s">
        <v>33</v>
      </c>
      <c r="K575">
        <v>90000</v>
      </c>
      <c r="L575">
        <v>25552</v>
      </c>
      <c r="M575">
        <v>60.660331752739182</v>
      </c>
    </row>
    <row r="576" spans="1:13" hidden="1" x14ac:dyDescent="0.3">
      <c r="A576" t="s">
        <v>2249</v>
      </c>
      <c r="B576" t="s">
        <v>51</v>
      </c>
      <c r="C576" t="s">
        <v>121</v>
      </c>
      <c r="D576">
        <v>2005</v>
      </c>
      <c r="E576">
        <v>357000</v>
      </c>
      <c r="F576" t="s">
        <v>77</v>
      </c>
      <c r="G576" t="s">
        <v>31</v>
      </c>
      <c r="H576" t="s">
        <v>27</v>
      </c>
      <c r="I576" t="s">
        <v>27</v>
      </c>
      <c r="J576" t="s">
        <v>27</v>
      </c>
      <c r="K576">
        <v>5000</v>
      </c>
      <c r="L576">
        <v>588523</v>
      </c>
      <c r="M576">
        <v>60.660331752739182</v>
      </c>
    </row>
    <row r="577" spans="1:13" hidden="1" x14ac:dyDescent="0.3">
      <c r="A577" t="s">
        <v>2250</v>
      </c>
      <c r="B577" t="s">
        <v>28</v>
      </c>
      <c r="C577" t="s">
        <v>30</v>
      </c>
      <c r="D577">
        <v>2005</v>
      </c>
      <c r="E577" t="s">
        <v>31</v>
      </c>
      <c r="F577" t="s">
        <v>115</v>
      </c>
      <c r="G577" t="s">
        <v>31</v>
      </c>
      <c r="H577" t="s">
        <v>27</v>
      </c>
      <c r="I577" t="s">
        <v>27</v>
      </c>
      <c r="J577" t="s">
        <v>27</v>
      </c>
      <c r="K577" t="s">
        <v>31</v>
      </c>
      <c r="L577" t="s">
        <v>31</v>
      </c>
      <c r="M577">
        <v>60.660331752739182</v>
      </c>
    </row>
    <row r="578" spans="1:13" hidden="1" x14ac:dyDescent="0.3">
      <c r="A578" t="s">
        <v>2251</v>
      </c>
      <c r="B578" t="s">
        <v>39</v>
      </c>
      <c r="C578" t="s">
        <v>41</v>
      </c>
      <c r="D578">
        <v>2005</v>
      </c>
      <c r="E578" t="s">
        <v>31</v>
      </c>
      <c r="F578" t="s">
        <v>75</v>
      </c>
      <c r="G578" t="s">
        <v>31</v>
      </c>
      <c r="H578" t="s">
        <v>33</v>
      </c>
      <c r="I578" t="s">
        <v>27</v>
      </c>
      <c r="J578" t="s">
        <v>27</v>
      </c>
      <c r="K578" t="s">
        <v>31</v>
      </c>
      <c r="L578" t="s">
        <v>31</v>
      </c>
      <c r="M578">
        <v>60.660331752739182</v>
      </c>
    </row>
    <row r="579" spans="1:13" hidden="1" x14ac:dyDescent="0.3">
      <c r="A579" t="s">
        <v>603</v>
      </c>
      <c r="B579" t="s">
        <v>51</v>
      </c>
      <c r="C579" t="s">
        <v>121</v>
      </c>
      <c r="D579">
        <v>2006</v>
      </c>
      <c r="E579">
        <v>169000</v>
      </c>
      <c r="F579" t="s">
        <v>604</v>
      </c>
      <c r="G579" t="s">
        <v>31</v>
      </c>
      <c r="H579" t="s">
        <v>27</v>
      </c>
      <c r="I579" t="s">
        <v>33</v>
      </c>
      <c r="J579" t="s">
        <v>33</v>
      </c>
      <c r="K579">
        <v>35000</v>
      </c>
      <c r="L579">
        <v>269894</v>
      </c>
      <c r="M579">
        <v>62.617194781034534</v>
      </c>
    </row>
    <row r="580" spans="1:13" hidden="1" x14ac:dyDescent="0.3">
      <c r="A580" t="s">
        <v>605</v>
      </c>
      <c r="B580" t="s">
        <v>51</v>
      </c>
      <c r="C580" t="s">
        <v>121</v>
      </c>
      <c r="D580">
        <v>2006</v>
      </c>
      <c r="E580" t="s">
        <v>31</v>
      </c>
      <c r="F580" t="s">
        <v>53</v>
      </c>
      <c r="G580" t="s">
        <v>181</v>
      </c>
      <c r="H580" t="s">
        <v>27</v>
      </c>
      <c r="I580" t="s">
        <v>27</v>
      </c>
      <c r="J580" t="s">
        <v>27</v>
      </c>
      <c r="K580">
        <v>15325</v>
      </c>
      <c r="L580" t="s">
        <v>31</v>
      </c>
      <c r="M580">
        <v>62.617194781034534</v>
      </c>
    </row>
    <row r="581" spans="1:13" hidden="1" x14ac:dyDescent="0.3">
      <c r="A581" t="s">
        <v>606</v>
      </c>
      <c r="B581" t="s">
        <v>91</v>
      </c>
      <c r="C581" t="s">
        <v>105</v>
      </c>
      <c r="D581">
        <v>2006</v>
      </c>
      <c r="E581" t="s">
        <v>31</v>
      </c>
      <c r="F581" t="s">
        <v>47</v>
      </c>
      <c r="G581" t="s">
        <v>31</v>
      </c>
      <c r="H581" t="s">
        <v>27</v>
      </c>
      <c r="I581" t="s">
        <v>27</v>
      </c>
      <c r="J581" t="s">
        <v>27</v>
      </c>
      <c r="K581">
        <v>8500</v>
      </c>
      <c r="L581" t="s">
        <v>31</v>
      </c>
      <c r="M581">
        <v>62.617194781034534</v>
      </c>
    </row>
    <row r="582" spans="1:13" hidden="1" x14ac:dyDescent="0.3">
      <c r="A582" t="s">
        <v>607</v>
      </c>
      <c r="B582" t="s">
        <v>28</v>
      </c>
      <c r="C582" t="s">
        <v>65</v>
      </c>
      <c r="D582">
        <v>2006</v>
      </c>
      <c r="E582">
        <v>600000</v>
      </c>
      <c r="F582" t="s">
        <v>34</v>
      </c>
      <c r="G582" t="s">
        <v>65</v>
      </c>
      <c r="H582" t="s">
        <v>27</v>
      </c>
      <c r="I582" t="s">
        <v>27</v>
      </c>
      <c r="J582" t="s">
        <v>27</v>
      </c>
      <c r="K582">
        <v>3636</v>
      </c>
      <c r="L582">
        <v>958203</v>
      </c>
      <c r="M582">
        <v>62.617194781034534</v>
      </c>
    </row>
    <row r="583" spans="1:13" hidden="1" x14ac:dyDescent="0.3">
      <c r="A583" t="s">
        <v>608</v>
      </c>
      <c r="B583" t="s">
        <v>51</v>
      </c>
      <c r="C583" t="s">
        <v>52</v>
      </c>
      <c r="D583">
        <v>2006</v>
      </c>
      <c r="E583" t="s">
        <v>31</v>
      </c>
      <c r="F583" t="s">
        <v>130</v>
      </c>
      <c r="G583" t="s">
        <v>54</v>
      </c>
      <c r="H583" t="s">
        <v>27</v>
      </c>
      <c r="I583" t="s">
        <v>27</v>
      </c>
      <c r="J583" t="s">
        <v>27</v>
      </c>
      <c r="K583">
        <v>4500</v>
      </c>
      <c r="L583" t="s">
        <v>31</v>
      </c>
      <c r="M583">
        <v>62.617194781034534</v>
      </c>
    </row>
    <row r="584" spans="1:13" hidden="1" x14ac:dyDescent="0.3">
      <c r="A584" t="s">
        <v>609</v>
      </c>
      <c r="B584" t="s">
        <v>51</v>
      </c>
      <c r="C584" t="s">
        <v>121</v>
      </c>
      <c r="D584">
        <v>2006</v>
      </c>
      <c r="E584" t="s">
        <v>31</v>
      </c>
      <c r="F584" t="s">
        <v>77</v>
      </c>
      <c r="G584" t="s">
        <v>31</v>
      </c>
      <c r="H584" t="s">
        <v>27</v>
      </c>
      <c r="I584" t="s">
        <v>27</v>
      </c>
      <c r="J584" t="s">
        <v>27</v>
      </c>
      <c r="K584">
        <v>300</v>
      </c>
      <c r="L584" t="s">
        <v>31</v>
      </c>
      <c r="M584">
        <v>62.617194781034534</v>
      </c>
    </row>
    <row r="585" spans="1:13" hidden="1" x14ac:dyDescent="0.3">
      <c r="A585" t="s">
        <v>610</v>
      </c>
      <c r="B585" t="s">
        <v>28</v>
      </c>
      <c r="C585" t="s">
        <v>30</v>
      </c>
      <c r="D585">
        <v>2006</v>
      </c>
      <c r="E585" t="s">
        <v>31</v>
      </c>
      <c r="F585" t="s">
        <v>242</v>
      </c>
      <c r="G585" t="s">
        <v>37</v>
      </c>
      <c r="H585" t="s">
        <v>27</v>
      </c>
      <c r="I585" t="s">
        <v>27</v>
      </c>
      <c r="J585" t="s">
        <v>27</v>
      </c>
      <c r="K585">
        <v>268</v>
      </c>
      <c r="L585" t="s">
        <v>31</v>
      </c>
      <c r="M585">
        <v>62.617194781034534</v>
      </c>
    </row>
    <row r="586" spans="1:13" hidden="1" x14ac:dyDescent="0.3">
      <c r="A586" t="s">
        <v>612</v>
      </c>
      <c r="B586" t="s">
        <v>91</v>
      </c>
      <c r="C586" t="s">
        <v>105</v>
      </c>
      <c r="D586">
        <v>2006</v>
      </c>
      <c r="E586">
        <v>150000</v>
      </c>
      <c r="F586" t="s">
        <v>109</v>
      </c>
      <c r="G586" t="s">
        <v>31</v>
      </c>
      <c r="H586" t="s">
        <v>33</v>
      </c>
      <c r="I586" t="s">
        <v>33</v>
      </c>
      <c r="J586" t="s">
        <v>33</v>
      </c>
      <c r="K586">
        <v>300013</v>
      </c>
      <c r="L586">
        <v>239551</v>
      </c>
      <c r="M586">
        <v>62.617194781034534</v>
      </c>
    </row>
    <row r="587" spans="1:13" hidden="1" x14ac:dyDescent="0.3">
      <c r="A587" t="s">
        <v>613</v>
      </c>
      <c r="B587" t="s">
        <v>51</v>
      </c>
      <c r="C587" t="s">
        <v>121</v>
      </c>
      <c r="D587">
        <v>2006</v>
      </c>
      <c r="E587" t="s">
        <v>31</v>
      </c>
      <c r="F587" t="s">
        <v>73</v>
      </c>
      <c r="G587" t="s">
        <v>31</v>
      </c>
      <c r="H587" t="s">
        <v>27</v>
      </c>
      <c r="I587" t="s">
        <v>27</v>
      </c>
      <c r="J587" t="s">
        <v>27</v>
      </c>
      <c r="K587" t="s">
        <v>31</v>
      </c>
      <c r="L587" t="s">
        <v>31</v>
      </c>
      <c r="M587">
        <v>62.617194781034534</v>
      </c>
    </row>
    <row r="588" spans="1:13" hidden="1" x14ac:dyDescent="0.3">
      <c r="A588" t="s">
        <v>614</v>
      </c>
      <c r="B588" t="s">
        <v>51</v>
      </c>
      <c r="C588" t="s">
        <v>121</v>
      </c>
      <c r="D588">
        <v>2006</v>
      </c>
      <c r="E588">
        <v>100000</v>
      </c>
      <c r="F588" t="s">
        <v>34</v>
      </c>
      <c r="G588" t="s">
        <v>31</v>
      </c>
      <c r="H588" t="s">
        <v>27</v>
      </c>
      <c r="I588" t="s">
        <v>27</v>
      </c>
      <c r="J588" t="s">
        <v>27</v>
      </c>
      <c r="K588" t="s">
        <v>31</v>
      </c>
      <c r="L588">
        <v>159701</v>
      </c>
      <c r="M588">
        <v>62.617194781034534</v>
      </c>
    </row>
    <row r="589" spans="1:13" hidden="1" x14ac:dyDescent="0.3">
      <c r="A589" t="s">
        <v>615</v>
      </c>
      <c r="B589" t="s">
        <v>28</v>
      </c>
      <c r="C589" t="s">
        <v>30</v>
      </c>
      <c r="D589">
        <v>2006</v>
      </c>
      <c r="E589" t="s">
        <v>31</v>
      </c>
      <c r="F589" t="s">
        <v>45</v>
      </c>
      <c r="G589" t="s">
        <v>37</v>
      </c>
      <c r="H589" t="s">
        <v>27</v>
      </c>
      <c r="I589" t="s">
        <v>27</v>
      </c>
      <c r="J589" t="s">
        <v>27</v>
      </c>
      <c r="K589">
        <v>15000</v>
      </c>
      <c r="L589" t="s">
        <v>31</v>
      </c>
      <c r="M589">
        <v>62.617194781034534</v>
      </c>
    </row>
    <row r="590" spans="1:13" hidden="1" x14ac:dyDescent="0.3">
      <c r="A590" t="s">
        <v>616</v>
      </c>
      <c r="B590" t="s">
        <v>28</v>
      </c>
      <c r="C590" t="s">
        <v>30</v>
      </c>
      <c r="D590">
        <v>2006</v>
      </c>
      <c r="E590">
        <v>2700</v>
      </c>
      <c r="F590" t="s">
        <v>73</v>
      </c>
      <c r="G590" t="s">
        <v>82</v>
      </c>
      <c r="H590" t="s">
        <v>27</v>
      </c>
      <c r="I590" t="s">
        <v>27</v>
      </c>
      <c r="J590" t="s">
        <v>27</v>
      </c>
      <c r="K590">
        <v>240700</v>
      </c>
      <c r="L590">
        <v>4312</v>
      </c>
      <c r="M590">
        <v>62.617194781034534</v>
      </c>
    </row>
    <row r="591" spans="1:13" hidden="1" x14ac:dyDescent="0.3">
      <c r="A591" t="s">
        <v>617</v>
      </c>
      <c r="B591" t="s">
        <v>39</v>
      </c>
      <c r="C591" t="s">
        <v>59</v>
      </c>
      <c r="D591">
        <v>2006</v>
      </c>
      <c r="E591">
        <v>25000</v>
      </c>
      <c r="F591" t="s">
        <v>34</v>
      </c>
      <c r="G591" t="s">
        <v>31</v>
      </c>
      <c r="H591" t="s">
        <v>27</v>
      </c>
      <c r="I591" t="s">
        <v>27</v>
      </c>
      <c r="J591" t="s">
        <v>33</v>
      </c>
      <c r="K591">
        <v>15</v>
      </c>
      <c r="L591">
        <v>39925</v>
      </c>
      <c r="M591">
        <v>62.617194781034534</v>
      </c>
    </row>
    <row r="592" spans="1:13" hidden="1" x14ac:dyDescent="0.3">
      <c r="A592" t="s">
        <v>619</v>
      </c>
      <c r="B592" t="s">
        <v>28</v>
      </c>
      <c r="C592" t="s">
        <v>97</v>
      </c>
      <c r="D592">
        <v>2006</v>
      </c>
      <c r="E592">
        <v>95000</v>
      </c>
      <c r="F592" t="s">
        <v>34</v>
      </c>
      <c r="G592" t="s">
        <v>37</v>
      </c>
      <c r="H592" t="s">
        <v>27</v>
      </c>
      <c r="I592" t="s">
        <v>27</v>
      </c>
      <c r="J592" t="s">
        <v>27</v>
      </c>
      <c r="K592">
        <v>20</v>
      </c>
      <c r="L592">
        <v>151716</v>
      </c>
      <c r="M592">
        <v>62.617194781034534</v>
      </c>
    </row>
    <row r="593" spans="1:13" hidden="1" x14ac:dyDescent="0.3">
      <c r="A593" t="s">
        <v>620</v>
      </c>
      <c r="B593" t="s">
        <v>28</v>
      </c>
      <c r="C593" t="s">
        <v>30</v>
      </c>
      <c r="D593">
        <v>2006</v>
      </c>
      <c r="E593" t="s">
        <v>31</v>
      </c>
      <c r="F593" t="s">
        <v>73</v>
      </c>
      <c r="G593" t="s">
        <v>37</v>
      </c>
      <c r="H593" t="s">
        <v>27</v>
      </c>
      <c r="I593" t="s">
        <v>27</v>
      </c>
      <c r="J593" t="s">
        <v>27</v>
      </c>
      <c r="K593">
        <v>20000</v>
      </c>
      <c r="L593" t="s">
        <v>31</v>
      </c>
      <c r="M593">
        <v>62.617194781034534</v>
      </c>
    </row>
    <row r="594" spans="1:13" hidden="1" x14ac:dyDescent="0.3">
      <c r="A594" t="s">
        <v>621</v>
      </c>
      <c r="B594" t="s">
        <v>51</v>
      </c>
      <c r="C594" t="s">
        <v>121</v>
      </c>
      <c r="D594">
        <v>2006</v>
      </c>
      <c r="E594" t="s">
        <v>31</v>
      </c>
      <c r="F594" t="s">
        <v>234</v>
      </c>
      <c r="G594" t="s">
        <v>54</v>
      </c>
      <c r="H594" t="s">
        <v>27</v>
      </c>
      <c r="I594" t="s">
        <v>27</v>
      </c>
      <c r="J594" t="s">
        <v>27</v>
      </c>
      <c r="K594">
        <v>5000</v>
      </c>
      <c r="L594" t="s">
        <v>31</v>
      </c>
      <c r="M594">
        <v>62.617194781034534</v>
      </c>
    </row>
    <row r="595" spans="1:13" hidden="1" x14ac:dyDescent="0.3">
      <c r="A595" t="s">
        <v>622</v>
      </c>
      <c r="B595" t="s">
        <v>91</v>
      </c>
      <c r="C595" t="s">
        <v>93</v>
      </c>
      <c r="D595">
        <v>2006</v>
      </c>
      <c r="E595">
        <v>150000</v>
      </c>
      <c r="F595" t="s">
        <v>34</v>
      </c>
      <c r="G595" t="s">
        <v>214</v>
      </c>
      <c r="H595" t="s">
        <v>27</v>
      </c>
      <c r="I595" t="s">
        <v>27</v>
      </c>
      <c r="J595" t="s">
        <v>27</v>
      </c>
      <c r="K595">
        <v>3529</v>
      </c>
      <c r="L595">
        <v>239551</v>
      </c>
      <c r="M595">
        <v>62.617194781034534</v>
      </c>
    </row>
    <row r="596" spans="1:13" hidden="1" x14ac:dyDescent="0.3">
      <c r="A596" t="s">
        <v>623</v>
      </c>
      <c r="B596" t="s">
        <v>28</v>
      </c>
      <c r="C596" t="s">
        <v>68</v>
      </c>
      <c r="D596">
        <v>2006</v>
      </c>
      <c r="E596" t="s">
        <v>31</v>
      </c>
      <c r="F596" t="s">
        <v>115</v>
      </c>
      <c r="G596" t="s">
        <v>31</v>
      </c>
      <c r="H596" t="s">
        <v>27</v>
      </c>
      <c r="I596" t="s">
        <v>27</v>
      </c>
      <c r="J596" t="s">
        <v>27</v>
      </c>
      <c r="K596" t="s">
        <v>31</v>
      </c>
      <c r="L596" t="s">
        <v>31</v>
      </c>
      <c r="M596">
        <v>62.617194781034534</v>
      </c>
    </row>
    <row r="597" spans="1:13" hidden="1" x14ac:dyDescent="0.3">
      <c r="A597" t="s">
        <v>624</v>
      </c>
      <c r="B597" t="s">
        <v>51</v>
      </c>
      <c r="C597" t="s">
        <v>194</v>
      </c>
      <c r="D597">
        <v>2006</v>
      </c>
      <c r="E597" t="s">
        <v>31</v>
      </c>
      <c r="F597" t="s">
        <v>45</v>
      </c>
      <c r="G597" t="s">
        <v>31</v>
      </c>
      <c r="H597" t="s">
        <v>27</v>
      </c>
      <c r="I597" t="s">
        <v>27</v>
      </c>
      <c r="J597" t="s">
        <v>27</v>
      </c>
      <c r="K597">
        <v>4690</v>
      </c>
      <c r="L597" t="s">
        <v>31</v>
      </c>
      <c r="M597">
        <v>62.617194781034534</v>
      </c>
    </row>
    <row r="598" spans="1:13" hidden="1" x14ac:dyDescent="0.3">
      <c r="A598" t="s">
        <v>625</v>
      </c>
      <c r="B598" t="s">
        <v>28</v>
      </c>
      <c r="C598" t="s">
        <v>67</v>
      </c>
      <c r="D598">
        <v>2006</v>
      </c>
      <c r="E598">
        <v>360000</v>
      </c>
      <c r="F598" t="s">
        <v>34</v>
      </c>
      <c r="G598" t="s">
        <v>31</v>
      </c>
      <c r="H598" t="s">
        <v>27</v>
      </c>
      <c r="I598" t="s">
        <v>27</v>
      </c>
      <c r="J598" t="s">
        <v>33</v>
      </c>
      <c r="K598" t="s">
        <v>31</v>
      </c>
      <c r="L598">
        <v>574922</v>
      </c>
      <c r="M598">
        <v>62.617194781034534</v>
      </c>
    </row>
    <row r="599" spans="1:13" hidden="1" x14ac:dyDescent="0.3">
      <c r="A599" t="s">
        <v>626</v>
      </c>
      <c r="B599" t="s">
        <v>43</v>
      </c>
      <c r="C599" t="s">
        <v>627</v>
      </c>
      <c r="D599">
        <v>2006</v>
      </c>
      <c r="E599" t="s">
        <v>31</v>
      </c>
      <c r="F599" t="s">
        <v>234</v>
      </c>
      <c r="G599" t="s">
        <v>31</v>
      </c>
      <c r="H599" t="s">
        <v>27</v>
      </c>
      <c r="I599" t="s">
        <v>27</v>
      </c>
      <c r="J599" t="s">
        <v>27</v>
      </c>
      <c r="K599">
        <v>280</v>
      </c>
      <c r="L599" t="s">
        <v>31</v>
      </c>
      <c r="M599">
        <v>62.617194781034534</v>
      </c>
    </row>
    <row r="600" spans="1:13" hidden="1" x14ac:dyDescent="0.3">
      <c r="A600" t="s">
        <v>629</v>
      </c>
      <c r="B600" t="s">
        <v>39</v>
      </c>
      <c r="C600" t="s">
        <v>157</v>
      </c>
      <c r="D600">
        <v>2006</v>
      </c>
      <c r="E600" t="s">
        <v>31</v>
      </c>
      <c r="F600" t="s">
        <v>53</v>
      </c>
      <c r="G600" t="s">
        <v>31</v>
      </c>
      <c r="H600" t="s">
        <v>27</v>
      </c>
      <c r="I600" t="s">
        <v>27</v>
      </c>
      <c r="J600" t="s">
        <v>33</v>
      </c>
      <c r="K600" t="s">
        <v>31</v>
      </c>
      <c r="L600" t="s">
        <v>31</v>
      </c>
      <c r="M600">
        <v>62.617194781034534</v>
      </c>
    </row>
    <row r="601" spans="1:13" hidden="1" x14ac:dyDescent="0.3">
      <c r="A601" t="s">
        <v>962</v>
      </c>
      <c r="B601" t="s">
        <v>51</v>
      </c>
      <c r="C601" t="s">
        <v>121</v>
      </c>
      <c r="D601">
        <v>2006</v>
      </c>
      <c r="E601" t="s">
        <v>31</v>
      </c>
      <c r="F601" t="s">
        <v>111</v>
      </c>
      <c r="G601" t="s">
        <v>530</v>
      </c>
      <c r="H601" t="s">
        <v>27</v>
      </c>
      <c r="I601" t="s">
        <v>27</v>
      </c>
      <c r="J601" t="s">
        <v>27</v>
      </c>
      <c r="K601">
        <v>504</v>
      </c>
      <c r="L601" t="s">
        <v>31</v>
      </c>
      <c r="M601">
        <v>62.617194781034534</v>
      </c>
    </row>
    <row r="602" spans="1:13" hidden="1" x14ac:dyDescent="0.3">
      <c r="A602" t="s">
        <v>963</v>
      </c>
      <c r="B602" t="s">
        <v>51</v>
      </c>
      <c r="C602" t="s">
        <v>56</v>
      </c>
      <c r="D602">
        <v>2006</v>
      </c>
      <c r="E602" t="s">
        <v>31</v>
      </c>
      <c r="F602" t="s">
        <v>119</v>
      </c>
      <c r="G602" t="s">
        <v>31</v>
      </c>
      <c r="H602" t="s">
        <v>27</v>
      </c>
      <c r="I602" t="s">
        <v>27</v>
      </c>
      <c r="J602" t="s">
        <v>27</v>
      </c>
      <c r="K602" t="s">
        <v>31</v>
      </c>
      <c r="L602" t="s">
        <v>31</v>
      </c>
      <c r="M602">
        <v>62.617194781034534</v>
      </c>
    </row>
    <row r="603" spans="1:13" hidden="1" x14ac:dyDescent="0.3">
      <c r="A603" t="s">
        <v>964</v>
      </c>
      <c r="B603" t="s">
        <v>51</v>
      </c>
      <c r="C603" t="s">
        <v>121</v>
      </c>
      <c r="D603">
        <v>2006</v>
      </c>
      <c r="E603">
        <v>35000</v>
      </c>
      <c r="F603" t="s">
        <v>111</v>
      </c>
      <c r="G603" t="s">
        <v>54</v>
      </c>
      <c r="H603" t="s">
        <v>33</v>
      </c>
      <c r="I603" t="s">
        <v>33</v>
      </c>
      <c r="J603" t="s">
        <v>33</v>
      </c>
      <c r="K603">
        <v>126096</v>
      </c>
      <c r="L603">
        <v>55895</v>
      </c>
      <c r="M603">
        <v>62.617194781034534</v>
      </c>
    </row>
    <row r="604" spans="1:13" hidden="1" x14ac:dyDescent="0.3">
      <c r="A604" t="s">
        <v>965</v>
      </c>
      <c r="B604" t="s">
        <v>51</v>
      </c>
      <c r="C604" t="s">
        <v>121</v>
      </c>
      <c r="D604">
        <v>2006</v>
      </c>
      <c r="E604">
        <v>2800</v>
      </c>
      <c r="F604" t="s">
        <v>109</v>
      </c>
      <c r="G604" t="s">
        <v>54</v>
      </c>
      <c r="H604" t="s">
        <v>33</v>
      </c>
      <c r="I604" t="s">
        <v>27</v>
      </c>
      <c r="J604" t="s">
        <v>27</v>
      </c>
      <c r="K604">
        <v>57670</v>
      </c>
      <c r="L604">
        <v>4472</v>
      </c>
      <c r="M604">
        <v>62.617194781034534</v>
      </c>
    </row>
    <row r="605" spans="1:13" hidden="1" x14ac:dyDescent="0.3">
      <c r="A605" t="s">
        <v>966</v>
      </c>
      <c r="B605" t="s">
        <v>28</v>
      </c>
      <c r="C605" t="s">
        <v>97</v>
      </c>
      <c r="D605">
        <v>2006</v>
      </c>
      <c r="E605">
        <v>1200000</v>
      </c>
      <c r="F605" t="s">
        <v>34</v>
      </c>
      <c r="G605" t="s">
        <v>37</v>
      </c>
      <c r="H605" t="s">
        <v>27</v>
      </c>
      <c r="I605" t="s">
        <v>27</v>
      </c>
      <c r="J605" t="s">
        <v>27</v>
      </c>
      <c r="K605">
        <v>42</v>
      </c>
      <c r="L605">
        <v>1916407</v>
      </c>
      <c r="M605">
        <v>62.617194781034534</v>
      </c>
    </row>
    <row r="606" spans="1:13" hidden="1" x14ac:dyDescent="0.3">
      <c r="A606" t="s">
        <v>967</v>
      </c>
      <c r="B606" t="s">
        <v>51</v>
      </c>
      <c r="C606" t="s">
        <v>121</v>
      </c>
      <c r="D606">
        <v>2006</v>
      </c>
      <c r="E606" t="s">
        <v>31</v>
      </c>
      <c r="F606" t="s">
        <v>47</v>
      </c>
      <c r="G606" t="s">
        <v>405</v>
      </c>
      <c r="H606" t="s">
        <v>33</v>
      </c>
      <c r="I606" t="s">
        <v>27</v>
      </c>
      <c r="J606" t="s">
        <v>27</v>
      </c>
      <c r="K606">
        <v>221465</v>
      </c>
      <c r="L606" t="s">
        <v>31</v>
      </c>
      <c r="M606">
        <v>62.617194781034534</v>
      </c>
    </row>
    <row r="607" spans="1:13" hidden="1" x14ac:dyDescent="0.3">
      <c r="A607" t="s">
        <v>968</v>
      </c>
      <c r="B607" t="s">
        <v>51</v>
      </c>
      <c r="C607" t="s">
        <v>121</v>
      </c>
      <c r="D607">
        <v>2006</v>
      </c>
      <c r="E607" t="s">
        <v>31</v>
      </c>
      <c r="F607" t="s">
        <v>119</v>
      </c>
      <c r="G607" t="s">
        <v>31</v>
      </c>
      <c r="H607" t="s">
        <v>27</v>
      </c>
      <c r="I607" t="s">
        <v>27</v>
      </c>
      <c r="J607" t="s">
        <v>33</v>
      </c>
      <c r="K607">
        <v>116000</v>
      </c>
      <c r="L607" t="s">
        <v>31</v>
      </c>
      <c r="M607">
        <v>62.617194781034534</v>
      </c>
    </row>
    <row r="608" spans="1:13" hidden="1" x14ac:dyDescent="0.3">
      <c r="A608" t="s">
        <v>969</v>
      </c>
      <c r="B608" t="s">
        <v>28</v>
      </c>
      <c r="C608" t="s">
        <v>99</v>
      </c>
      <c r="D608">
        <v>2006</v>
      </c>
      <c r="E608">
        <v>450000</v>
      </c>
      <c r="F608" t="s">
        <v>34</v>
      </c>
      <c r="G608" t="s">
        <v>65</v>
      </c>
      <c r="H608" t="s">
        <v>27</v>
      </c>
      <c r="I608" t="s">
        <v>27</v>
      </c>
      <c r="J608" t="s">
        <v>27</v>
      </c>
      <c r="K608">
        <v>600</v>
      </c>
      <c r="L608">
        <v>718652</v>
      </c>
      <c r="M608">
        <v>62.617194781034534</v>
      </c>
    </row>
    <row r="609" spans="1:13" hidden="1" x14ac:dyDescent="0.3">
      <c r="A609" t="s">
        <v>970</v>
      </c>
      <c r="B609" t="s">
        <v>51</v>
      </c>
      <c r="C609" t="s">
        <v>121</v>
      </c>
      <c r="D609">
        <v>2006</v>
      </c>
      <c r="E609" t="s">
        <v>31</v>
      </c>
      <c r="F609" t="s">
        <v>77</v>
      </c>
      <c r="G609" t="s">
        <v>31</v>
      </c>
      <c r="H609" t="s">
        <v>27</v>
      </c>
      <c r="I609" t="s">
        <v>27</v>
      </c>
      <c r="J609" t="s">
        <v>27</v>
      </c>
      <c r="K609">
        <v>400</v>
      </c>
      <c r="L609" t="s">
        <v>31</v>
      </c>
      <c r="M609">
        <v>62.617194781034534</v>
      </c>
    </row>
    <row r="610" spans="1:13" hidden="1" x14ac:dyDescent="0.3">
      <c r="A610" t="s">
        <v>971</v>
      </c>
      <c r="B610" t="s">
        <v>51</v>
      </c>
      <c r="C610" t="s">
        <v>121</v>
      </c>
      <c r="D610">
        <v>2006</v>
      </c>
      <c r="E610">
        <v>1000000</v>
      </c>
      <c r="F610" t="s">
        <v>34</v>
      </c>
      <c r="G610" t="s">
        <v>54</v>
      </c>
      <c r="H610" t="s">
        <v>27</v>
      </c>
      <c r="I610" t="s">
        <v>27</v>
      </c>
      <c r="J610" t="s">
        <v>27</v>
      </c>
      <c r="K610">
        <v>65000</v>
      </c>
      <c r="L610">
        <v>1597005</v>
      </c>
      <c r="M610">
        <v>62.617194781034534</v>
      </c>
    </row>
    <row r="611" spans="1:13" hidden="1" x14ac:dyDescent="0.3">
      <c r="A611" t="s">
        <v>972</v>
      </c>
      <c r="B611" t="s">
        <v>28</v>
      </c>
      <c r="C611" t="s">
        <v>95</v>
      </c>
      <c r="D611">
        <v>2006</v>
      </c>
      <c r="E611" t="s">
        <v>31</v>
      </c>
      <c r="F611" t="s">
        <v>34</v>
      </c>
      <c r="G611" t="s">
        <v>31</v>
      </c>
      <c r="H611" t="s">
        <v>27</v>
      </c>
      <c r="I611" t="s">
        <v>27</v>
      </c>
      <c r="J611" t="s">
        <v>33</v>
      </c>
      <c r="K611" t="s">
        <v>31</v>
      </c>
      <c r="L611" t="s">
        <v>31</v>
      </c>
      <c r="M611">
        <v>62.617194781034534</v>
      </c>
    </row>
    <row r="612" spans="1:13" hidden="1" x14ac:dyDescent="0.3">
      <c r="A612" t="s">
        <v>973</v>
      </c>
      <c r="B612" t="s">
        <v>39</v>
      </c>
      <c r="C612" t="s">
        <v>59</v>
      </c>
      <c r="D612">
        <v>2006</v>
      </c>
      <c r="E612">
        <v>25000</v>
      </c>
      <c r="F612" t="s">
        <v>34</v>
      </c>
      <c r="G612" t="s">
        <v>31</v>
      </c>
      <c r="H612" t="s">
        <v>27</v>
      </c>
      <c r="I612" t="s">
        <v>27</v>
      </c>
      <c r="J612" t="s">
        <v>33</v>
      </c>
      <c r="K612">
        <v>103</v>
      </c>
      <c r="L612">
        <v>39925</v>
      </c>
      <c r="M612">
        <v>62.617194781034534</v>
      </c>
    </row>
    <row r="613" spans="1:13" hidden="1" x14ac:dyDescent="0.3">
      <c r="A613" t="s">
        <v>974</v>
      </c>
      <c r="B613" t="s">
        <v>51</v>
      </c>
      <c r="C613" t="s">
        <v>121</v>
      </c>
      <c r="D613">
        <v>2006</v>
      </c>
      <c r="E613" t="s">
        <v>31</v>
      </c>
      <c r="F613" t="s">
        <v>34</v>
      </c>
      <c r="G613" t="s">
        <v>31</v>
      </c>
      <c r="H613" t="s">
        <v>27</v>
      </c>
      <c r="I613" t="s">
        <v>27</v>
      </c>
      <c r="J613" t="s">
        <v>27</v>
      </c>
      <c r="K613">
        <v>1500</v>
      </c>
      <c r="L613" t="s">
        <v>31</v>
      </c>
      <c r="M613">
        <v>62.617194781034534</v>
      </c>
    </row>
    <row r="614" spans="1:13" hidden="1" x14ac:dyDescent="0.3">
      <c r="A614" t="s">
        <v>975</v>
      </c>
      <c r="B614" t="s">
        <v>51</v>
      </c>
      <c r="C614" t="s">
        <v>121</v>
      </c>
      <c r="D614">
        <v>2006</v>
      </c>
      <c r="E614" t="s">
        <v>31</v>
      </c>
      <c r="F614" t="s">
        <v>166</v>
      </c>
      <c r="G614" t="s">
        <v>54</v>
      </c>
      <c r="H614" t="s">
        <v>27</v>
      </c>
      <c r="I614" t="s">
        <v>27</v>
      </c>
      <c r="J614" t="s">
        <v>27</v>
      </c>
      <c r="K614">
        <v>1900</v>
      </c>
      <c r="L614" t="s">
        <v>31</v>
      </c>
      <c r="M614">
        <v>62.617194781034534</v>
      </c>
    </row>
    <row r="615" spans="1:13" hidden="1" x14ac:dyDescent="0.3">
      <c r="A615" t="s">
        <v>976</v>
      </c>
      <c r="B615" t="s">
        <v>51</v>
      </c>
      <c r="C615" t="s">
        <v>121</v>
      </c>
      <c r="D615">
        <v>2006</v>
      </c>
      <c r="E615" t="s">
        <v>31</v>
      </c>
      <c r="F615" t="s">
        <v>70</v>
      </c>
      <c r="G615" t="s">
        <v>31</v>
      </c>
      <c r="H615" t="s">
        <v>27</v>
      </c>
      <c r="I615" t="s">
        <v>27</v>
      </c>
      <c r="J615" t="s">
        <v>27</v>
      </c>
      <c r="K615">
        <v>135</v>
      </c>
      <c r="L615" t="s">
        <v>31</v>
      </c>
      <c r="M615">
        <v>62.617194781034534</v>
      </c>
    </row>
    <row r="616" spans="1:13" hidden="1" x14ac:dyDescent="0.3">
      <c r="A616" t="s">
        <v>978</v>
      </c>
      <c r="B616" t="s">
        <v>28</v>
      </c>
      <c r="C616" t="s">
        <v>68</v>
      </c>
      <c r="D616">
        <v>2006</v>
      </c>
      <c r="E616" t="s">
        <v>31</v>
      </c>
      <c r="F616" t="s">
        <v>90</v>
      </c>
      <c r="G616" t="s">
        <v>31</v>
      </c>
      <c r="H616" t="s">
        <v>27</v>
      </c>
      <c r="I616" t="s">
        <v>27</v>
      </c>
      <c r="J616" t="s">
        <v>27</v>
      </c>
      <c r="K616" t="s">
        <v>31</v>
      </c>
      <c r="L616" t="s">
        <v>31</v>
      </c>
      <c r="M616">
        <v>62.617194781034534</v>
      </c>
    </row>
    <row r="617" spans="1:13" hidden="1" x14ac:dyDescent="0.3">
      <c r="A617" t="s">
        <v>1552</v>
      </c>
      <c r="B617" t="s">
        <v>51</v>
      </c>
      <c r="C617" t="s">
        <v>121</v>
      </c>
      <c r="D617">
        <v>2006</v>
      </c>
      <c r="E617" t="s">
        <v>31</v>
      </c>
      <c r="F617" t="s">
        <v>77</v>
      </c>
      <c r="G617" t="s">
        <v>31</v>
      </c>
      <c r="H617" t="s">
        <v>27</v>
      </c>
      <c r="I617" t="s">
        <v>27</v>
      </c>
      <c r="J617" t="s">
        <v>33</v>
      </c>
      <c r="K617">
        <v>200</v>
      </c>
      <c r="L617" t="s">
        <v>31</v>
      </c>
      <c r="M617">
        <v>62.617194781034534</v>
      </c>
    </row>
    <row r="618" spans="1:13" hidden="1" x14ac:dyDescent="0.3">
      <c r="A618" t="s">
        <v>1553</v>
      </c>
      <c r="B618" t="s">
        <v>91</v>
      </c>
      <c r="C618" t="s">
        <v>105</v>
      </c>
      <c r="D618">
        <v>2006</v>
      </c>
      <c r="E618" t="s">
        <v>31</v>
      </c>
      <c r="F618" t="s">
        <v>109</v>
      </c>
      <c r="G618" t="s">
        <v>31</v>
      </c>
      <c r="H618" t="s">
        <v>27</v>
      </c>
      <c r="I618" t="s">
        <v>27</v>
      </c>
      <c r="J618" t="s">
        <v>33</v>
      </c>
      <c r="K618">
        <v>250</v>
      </c>
      <c r="L618" t="s">
        <v>31</v>
      </c>
      <c r="M618">
        <v>62.617194781034534</v>
      </c>
    </row>
    <row r="619" spans="1:13" hidden="1" x14ac:dyDescent="0.3">
      <c r="A619" t="s">
        <v>1554</v>
      </c>
      <c r="B619" t="s">
        <v>51</v>
      </c>
      <c r="C619" t="s">
        <v>121</v>
      </c>
      <c r="D619">
        <v>2006</v>
      </c>
      <c r="E619">
        <v>8000</v>
      </c>
      <c r="F619" t="s">
        <v>49</v>
      </c>
      <c r="G619" t="s">
        <v>31</v>
      </c>
      <c r="H619" t="s">
        <v>27</v>
      </c>
      <c r="I619" t="s">
        <v>27</v>
      </c>
      <c r="J619" t="s">
        <v>27</v>
      </c>
      <c r="K619">
        <v>1500</v>
      </c>
      <c r="L619">
        <v>12776</v>
      </c>
      <c r="M619">
        <v>62.617194781034534</v>
      </c>
    </row>
    <row r="620" spans="1:13" hidden="1" x14ac:dyDescent="0.3">
      <c r="A620" t="s">
        <v>1555</v>
      </c>
      <c r="B620" t="s">
        <v>39</v>
      </c>
      <c r="C620" t="s">
        <v>142</v>
      </c>
      <c r="D620">
        <v>2006</v>
      </c>
      <c r="E620">
        <v>16000</v>
      </c>
      <c r="F620" t="s">
        <v>34</v>
      </c>
      <c r="G620" t="s">
        <v>31</v>
      </c>
      <c r="H620" t="s">
        <v>27</v>
      </c>
      <c r="I620" t="s">
        <v>27</v>
      </c>
      <c r="J620" t="s">
        <v>33</v>
      </c>
      <c r="K620">
        <v>167</v>
      </c>
      <c r="L620">
        <v>25552</v>
      </c>
      <c r="M620">
        <v>62.617194781034534</v>
      </c>
    </row>
    <row r="621" spans="1:13" hidden="1" x14ac:dyDescent="0.3">
      <c r="A621" t="s">
        <v>1556</v>
      </c>
      <c r="B621" t="s">
        <v>91</v>
      </c>
      <c r="C621" t="s">
        <v>105</v>
      </c>
      <c r="D621">
        <v>2006</v>
      </c>
      <c r="E621" t="s">
        <v>31</v>
      </c>
      <c r="F621" t="s">
        <v>47</v>
      </c>
      <c r="G621" t="s">
        <v>31</v>
      </c>
      <c r="H621" t="s">
        <v>27</v>
      </c>
      <c r="I621" t="s">
        <v>27</v>
      </c>
      <c r="J621" t="s">
        <v>33</v>
      </c>
      <c r="K621">
        <v>8500</v>
      </c>
      <c r="L621" t="s">
        <v>31</v>
      </c>
      <c r="M621">
        <v>62.617194781034534</v>
      </c>
    </row>
    <row r="622" spans="1:13" hidden="1" x14ac:dyDescent="0.3">
      <c r="A622" t="s">
        <v>1557</v>
      </c>
      <c r="B622" t="s">
        <v>28</v>
      </c>
      <c r="C622" t="s">
        <v>30</v>
      </c>
      <c r="D622">
        <v>2006</v>
      </c>
      <c r="E622">
        <v>32860</v>
      </c>
      <c r="F622" t="s">
        <v>34</v>
      </c>
      <c r="G622" t="s">
        <v>37</v>
      </c>
      <c r="H622" t="s">
        <v>27</v>
      </c>
      <c r="I622" t="s">
        <v>27</v>
      </c>
      <c r="J622" t="s">
        <v>27</v>
      </c>
      <c r="K622">
        <v>140</v>
      </c>
      <c r="L622">
        <v>52478</v>
      </c>
      <c r="M622">
        <v>62.617194781034534</v>
      </c>
    </row>
    <row r="623" spans="1:13" hidden="1" x14ac:dyDescent="0.3">
      <c r="A623" t="s">
        <v>1558</v>
      </c>
      <c r="B623" t="s">
        <v>28</v>
      </c>
      <c r="C623" t="s">
        <v>30</v>
      </c>
      <c r="D623">
        <v>2006</v>
      </c>
      <c r="E623" t="s">
        <v>31</v>
      </c>
      <c r="F623" t="s">
        <v>73</v>
      </c>
      <c r="G623" t="s">
        <v>82</v>
      </c>
      <c r="H623" t="s">
        <v>27</v>
      </c>
      <c r="I623" t="s">
        <v>27</v>
      </c>
      <c r="J623" t="s">
        <v>27</v>
      </c>
      <c r="K623">
        <v>10000</v>
      </c>
      <c r="L623" t="s">
        <v>31</v>
      </c>
      <c r="M623">
        <v>62.617194781034534</v>
      </c>
    </row>
    <row r="624" spans="1:13" hidden="1" x14ac:dyDescent="0.3">
      <c r="A624" t="s">
        <v>1559</v>
      </c>
      <c r="B624" t="s">
        <v>51</v>
      </c>
      <c r="C624" t="s">
        <v>121</v>
      </c>
      <c r="D624">
        <v>2006</v>
      </c>
      <c r="E624" t="s">
        <v>31</v>
      </c>
      <c r="F624" t="s">
        <v>34</v>
      </c>
      <c r="G624" t="s">
        <v>181</v>
      </c>
      <c r="H624" t="s">
        <v>27</v>
      </c>
      <c r="I624" t="s">
        <v>27</v>
      </c>
      <c r="J624" t="s">
        <v>33</v>
      </c>
      <c r="K624">
        <v>1210</v>
      </c>
      <c r="L624" t="s">
        <v>31</v>
      </c>
      <c r="M624">
        <v>62.617194781034534</v>
      </c>
    </row>
    <row r="625" spans="1:13" hidden="1" x14ac:dyDescent="0.3">
      <c r="A625" t="s">
        <v>1560</v>
      </c>
      <c r="B625" t="s">
        <v>28</v>
      </c>
      <c r="C625" t="s">
        <v>67</v>
      </c>
      <c r="D625">
        <v>2006</v>
      </c>
      <c r="E625">
        <v>300000</v>
      </c>
      <c r="F625" t="s">
        <v>34</v>
      </c>
      <c r="G625" t="s">
        <v>37</v>
      </c>
      <c r="H625" t="s">
        <v>27</v>
      </c>
      <c r="I625" t="s">
        <v>27</v>
      </c>
      <c r="J625" t="s">
        <v>33</v>
      </c>
      <c r="K625" t="s">
        <v>31</v>
      </c>
      <c r="L625">
        <v>479102</v>
      </c>
      <c r="M625">
        <v>62.617194781034534</v>
      </c>
    </row>
    <row r="626" spans="1:13" hidden="1" x14ac:dyDescent="0.3">
      <c r="A626" t="s">
        <v>1561</v>
      </c>
      <c r="B626" t="s">
        <v>51</v>
      </c>
      <c r="C626" t="s">
        <v>121</v>
      </c>
      <c r="D626">
        <v>2006</v>
      </c>
      <c r="E626" t="s">
        <v>31</v>
      </c>
      <c r="F626" t="s">
        <v>166</v>
      </c>
      <c r="G626" t="s">
        <v>405</v>
      </c>
      <c r="H626" t="s">
        <v>27</v>
      </c>
      <c r="I626" t="s">
        <v>27</v>
      </c>
      <c r="J626" t="s">
        <v>33</v>
      </c>
      <c r="K626">
        <v>4530</v>
      </c>
      <c r="L626" t="s">
        <v>31</v>
      </c>
      <c r="M626">
        <v>62.617194781034534</v>
      </c>
    </row>
    <row r="627" spans="1:13" hidden="1" x14ac:dyDescent="0.3">
      <c r="A627" t="s">
        <v>1562</v>
      </c>
      <c r="B627" t="s">
        <v>51</v>
      </c>
      <c r="C627" t="s">
        <v>56</v>
      </c>
      <c r="D627">
        <v>2006</v>
      </c>
      <c r="E627" t="s">
        <v>31</v>
      </c>
      <c r="F627" t="s">
        <v>45</v>
      </c>
      <c r="G627" t="s">
        <v>31</v>
      </c>
      <c r="H627" t="s">
        <v>27</v>
      </c>
      <c r="I627" t="s">
        <v>27</v>
      </c>
      <c r="J627" t="s">
        <v>27</v>
      </c>
      <c r="K627">
        <v>20010</v>
      </c>
      <c r="L627" t="s">
        <v>31</v>
      </c>
      <c r="M627">
        <v>62.617194781034534</v>
      </c>
    </row>
    <row r="628" spans="1:13" hidden="1" x14ac:dyDescent="0.3">
      <c r="A628" t="s">
        <v>1563</v>
      </c>
      <c r="B628" t="s">
        <v>28</v>
      </c>
      <c r="C628" t="s">
        <v>67</v>
      </c>
      <c r="D628">
        <v>2006</v>
      </c>
      <c r="E628" t="s">
        <v>31</v>
      </c>
      <c r="F628" t="s">
        <v>34</v>
      </c>
      <c r="G628" t="s">
        <v>31</v>
      </c>
      <c r="H628" t="s">
        <v>27</v>
      </c>
      <c r="I628" t="s">
        <v>27</v>
      </c>
      <c r="J628" t="s">
        <v>33</v>
      </c>
      <c r="K628" t="s">
        <v>31</v>
      </c>
      <c r="L628" t="s">
        <v>31</v>
      </c>
      <c r="M628">
        <v>62.617194781034534</v>
      </c>
    </row>
    <row r="629" spans="1:13" hidden="1" x14ac:dyDescent="0.3">
      <c r="A629" t="s">
        <v>1564</v>
      </c>
      <c r="B629" t="s">
        <v>28</v>
      </c>
      <c r="C629" t="s">
        <v>68</v>
      </c>
      <c r="D629">
        <v>2006</v>
      </c>
      <c r="E629" t="s">
        <v>31</v>
      </c>
      <c r="F629" t="s">
        <v>73</v>
      </c>
      <c r="G629" t="s">
        <v>31</v>
      </c>
      <c r="H629" t="s">
        <v>27</v>
      </c>
      <c r="I629" t="s">
        <v>27</v>
      </c>
      <c r="J629" t="s">
        <v>27</v>
      </c>
      <c r="K629" t="s">
        <v>31</v>
      </c>
      <c r="L629" t="s">
        <v>31</v>
      </c>
      <c r="M629">
        <v>62.617194781034534</v>
      </c>
    </row>
    <row r="630" spans="1:13" hidden="1" x14ac:dyDescent="0.3">
      <c r="A630" t="s">
        <v>1565</v>
      </c>
      <c r="B630" t="s">
        <v>43</v>
      </c>
      <c r="C630" t="s">
        <v>114</v>
      </c>
      <c r="D630">
        <v>2006</v>
      </c>
      <c r="E630" t="s">
        <v>31</v>
      </c>
      <c r="F630" t="s">
        <v>117</v>
      </c>
      <c r="G630" t="s">
        <v>31</v>
      </c>
      <c r="H630" t="s">
        <v>27</v>
      </c>
      <c r="I630" t="s">
        <v>27</v>
      </c>
      <c r="J630" t="s">
        <v>33</v>
      </c>
      <c r="K630">
        <v>100000</v>
      </c>
      <c r="L630" t="s">
        <v>31</v>
      </c>
      <c r="M630">
        <v>62.617194781034534</v>
      </c>
    </row>
    <row r="631" spans="1:13" hidden="1" x14ac:dyDescent="0.3">
      <c r="A631" t="s">
        <v>1566</v>
      </c>
      <c r="B631" t="s">
        <v>28</v>
      </c>
      <c r="C631" t="s">
        <v>189</v>
      </c>
      <c r="D631">
        <v>2006</v>
      </c>
      <c r="E631" t="s">
        <v>31</v>
      </c>
      <c r="F631" t="s">
        <v>34</v>
      </c>
      <c r="G631" t="s">
        <v>181</v>
      </c>
      <c r="H631" t="s">
        <v>27</v>
      </c>
      <c r="I631" t="s">
        <v>27</v>
      </c>
      <c r="J631" t="s">
        <v>27</v>
      </c>
      <c r="K631" t="s">
        <v>31</v>
      </c>
      <c r="L631" t="s">
        <v>31</v>
      </c>
      <c r="M631">
        <v>62.617194781034534</v>
      </c>
    </row>
    <row r="632" spans="1:13" hidden="1" x14ac:dyDescent="0.3">
      <c r="A632" t="s">
        <v>1567</v>
      </c>
      <c r="B632" t="s">
        <v>28</v>
      </c>
      <c r="C632" t="s">
        <v>189</v>
      </c>
      <c r="D632">
        <v>2006</v>
      </c>
      <c r="E632" t="s">
        <v>31</v>
      </c>
      <c r="F632" t="s">
        <v>34</v>
      </c>
      <c r="G632" t="s">
        <v>31</v>
      </c>
      <c r="H632" t="s">
        <v>27</v>
      </c>
      <c r="I632" t="s">
        <v>27</v>
      </c>
      <c r="J632" t="s">
        <v>27</v>
      </c>
      <c r="K632" t="s">
        <v>31</v>
      </c>
      <c r="L632" t="s">
        <v>31</v>
      </c>
      <c r="M632">
        <v>62.617194781034534</v>
      </c>
    </row>
    <row r="633" spans="1:13" hidden="1" x14ac:dyDescent="0.3">
      <c r="A633" t="s">
        <v>1568</v>
      </c>
      <c r="B633" t="s">
        <v>39</v>
      </c>
      <c r="C633" t="s">
        <v>142</v>
      </c>
      <c r="D633">
        <v>2006</v>
      </c>
      <c r="E633">
        <v>150000</v>
      </c>
      <c r="F633" t="s">
        <v>34</v>
      </c>
      <c r="G633" t="s">
        <v>31</v>
      </c>
      <c r="H633" t="s">
        <v>27</v>
      </c>
      <c r="I633" t="s">
        <v>27</v>
      </c>
      <c r="J633" t="s">
        <v>27</v>
      </c>
      <c r="K633">
        <v>300</v>
      </c>
      <c r="L633">
        <v>239551</v>
      </c>
      <c r="M633">
        <v>62.617194781034534</v>
      </c>
    </row>
    <row r="634" spans="1:13" hidden="1" x14ac:dyDescent="0.3">
      <c r="A634" t="s">
        <v>2252</v>
      </c>
      <c r="B634" t="s">
        <v>28</v>
      </c>
      <c r="C634" t="s">
        <v>65</v>
      </c>
      <c r="D634">
        <v>2006</v>
      </c>
      <c r="E634">
        <v>1600000</v>
      </c>
      <c r="F634" t="s">
        <v>34</v>
      </c>
      <c r="G634" t="s">
        <v>65</v>
      </c>
      <c r="H634" t="s">
        <v>27</v>
      </c>
      <c r="I634" t="s">
        <v>27</v>
      </c>
      <c r="J634" t="s">
        <v>27</v>
      </c>
      <c r="K634">
        <v>625</v>
      </c>
      <c r="L634">
        <v>2555209</v>
      </c>
      <c r="M634">
        <v>62.617194781034534</v>
      </c>
    </row>
    <row r="635" spans="1:13" hidden="1" x14ac:dyDescent="0.3">
      <c r="A635" t="s">
        <v>2253</v>
      </c>
      <c r="B635" t="s">
        <v>51</v>
      </c>
      <c r="C635" t="s">
        <v>121</v>
      </c>
      <c r="D635">
        <v>2006</v>
      </c>
      <c r="E635">
        <v>259000</v>
      </c>
      <c r="F635" t="s">
        <v>34</v>
      </c>
      <c r="G635" t="s">
        <v>473</v>
      </c>
      <c r="H635" t="s">
        <v>27</v>
      </c>
      <c r="I635" t="s">
        <v>27</v>
      </c>
      <c r="J635" t="s">
        <v>33</v>
      </c>
      <c r="K635">
        <v>600</v>
      </c>
      <c r="L635">
        <v>413624</v>
      </c>
      <c r="M635">
        <v>62.617194781034534</v>
      </c>
    </row>
    <row r="636" spans="1:13" hidden="1" x14ac:dyDescent="0.3">
      <c r="A636" t="s">
        <v>2254</v>
      </c>
      <c r="B636" t="s">
        <v>51</v>
      </c>
      <c r="C636" t="s">
        <v>121</v>
      </c>
      <c r="D636">
        <v>2006</v>
      </c>
      <c r="E636">
        <v>12000</v>
      </c>
      <c r="F636" t="s">
        <v>34</v>
      </c>
      <c r="G636" t="s">
        <v>473</v>
      </c>
      <c r="H636" t="s">
        <v>27</v>
      </c>
      <c r="I636" t="s">
        <v>27</v>
      </c>
      <c r="J636" t="s">
        <v>27</v>
      </c>
      <c r="K636" t="s">
        <v>31</v>
      </c>
      <c r="L636">
        <v>19164</v>
      </c>
      <c r="M636">
        <v>62.617194781034534</v>
      </c>
    </row>
    <row r="637" spans="1:13" hidden="1" x14ac:dyDescent="0.3">
      <c r="A637" t="s">
        <v>2255</v>
      </c>
      <c r="B637" t="s">
        <v>51</v>
      </c>
      <c r="C637" t="s">
        <v>121</v>
      </c>
      <c r="D637">
        <v>2006</v>
      </c>
      <c r="E637" t="s">
        <v>31</v>
      </c>
      <c r="F637" t="s">
        <v>77</v>
      </c>
      <c r="G637" t="s">
        <v>31</v>
      </c>
      <c r="H637" t="s">
        <v>27</v>
      </c>
      <c r="I637" t="s">
        <v>27</v>
      </c>
      <c r="J637" t="s">
        <v>27</v>
      </c>
      <c r="K637">
        <v>1000</v>
      </c>
      <c r="L637" t="s">
        <v>31</v>
      </c>
      <c r="M637">
        <v>62.617194781034534</v>
      </c>
    </row>
    <row r="638" spans="1:13" hidden="1" x14ac:dyDescent="0.3">
      <c r="A638" t="s">
        <v>2256</v>
      </c>
      <c r="B638" t="s">
        <v>91</v>
      </c>
      <c r="C638" t="s">
        <v>105</v>
      </c>
      <c r="D638">
        <v>2006</v>
      </c>
      <c r="E638" t="s">
        <v>31</v>
      </c>
      <c r="F638" t="s">
        <v>53</v>
      </c>
      <c r="G638" t="s">
        <v>31</v>
      </c>
      <c r="H638" t="s">
        <v>27</v>
      </c>
      <c r="I638" t="s">
        <v>27</v>
      </c>
      <c r="J638" t="s">
        <v>33</v>
      </c>
      <c r="K638">
        <v>3000</v>
      </c>
      <c r="L638" t="s">
        <v>31</v>
      </c>
      <c r="M638">
        <v>62.617194781034534</v>
      </c>
    </row>
    <row r="639" spans="1:13" hidden="1" x14ac:dyDescent="0.3">
      <c r="A639" t="s">
        <v>2257</v>
      </c>
      <c r="B639" t="s">
        <v>51</v>
      </c>
      <c r="C639" t="s">
        <v>134</v>
      </c>
      <c r="D639">
        <v>2006</v>
      </c>
      <c r="E639" t="s">
        <v>31</v>
      </c>
      <c r="F639" t="s">
        <v>73</v>
      </c>
      <c r="G639" t="s">
        <v>31</v>
      </c>
      <c r="H639" t="s">
        <v>27</v>
      </c>
      <c r="I639" t="s">
        <v>27</v>
      </c>
      <c r="J639" t="s">
        <v>27</v>
      </c>
      <c r="K639" t="s">
        <v>31</v>
      </c>
      <c r="L639" t="s">
        <v>31</v>
      </c>
      <c r="M639">
        <v>62.617194781034534</v>
      </c>
    </row>
    <row r="640" spans="1:13" hidden="1" x14ac:dyDescent="0.3">
      <c r="A640" t="s">
        <v>2258</v>
      </c>
      <c r="B640" t="s">
        <v>51</v>
      </c>
      <c r="C640" t="s">
        <v>121</v>
      </c>
      <c r="D640">
        <v>2006</v>
      </c>
      <c r="E640" t="s">
        <v>31</v>
      </c>
      <c r="F640" t="s">
        <v>77</v>
      </c>
      <c r="G640" t="s">
        <v>402</v>
      </c>
      <c r="H640" t="s">
        <v>27</v>
      </c>
      <c r="I640" t="s">
        <v>27</v>
      </c>
      <c r="J640" t="s">
        <v>27</v>
      </c>
      <c r="K640">
        <v>2000</v>
      </c>
      <c r="L640" t="s">
        <v>31</v>
      </c>
      <c r="M640">
        <v>62.617194781034534</v>
      </c>
    </row>
    <row r="641" spans="1:13" hidden="1" x14ac:dyDescent="0.3">
      <c r="A641" t="s">
        <v>2259</v>
      </c>
      <c r="B641" t="s">
        <v>51</v>
      </c>
      <c r="C641" t="s">
        <v>121</v>
      </c>
      <c r="D641">
        <v>2006</v>
      </c>
      <c r="E641" t="s">
        <v>31</v>
      </c>
      <c r="F641" t="s">
        <v>1925</v>
      </c>
      <c r="G641" t="s">
        <v>31</v>
      </c>
      <c r="H641" t="s">
        <v>33</v>
      </c>
      <c r="I641" t="s">
        <v>27</v>
      </c>
      <c r="J641" t="s">
        <v>33</v>
      </c>
      <c r="K641">
        <v>25000</v>
      </c>
      <c r="L641" t="s">
        <v>31</v>
      </c>
      <c r="M641">
        <v>62.617194781034534</v>
      </c>
    </row>
    <row r="642" spans="1:13" hidden="1" x14ac:dyDescent="0.3">
      <c r="A642" t="s">
        <v>2260</v>
      </c>
      <c r="B642" t="s">
        <v>51</v>
      </c>
      <c r="C642" t="s">
        <v>121</v>
      </c>
      <c r="D642">
        <v>2006</v>
      </c>
      <c r="E642">
        <v>85000</v>
      </c>
      <c r="F642" t="s">
        <v>34</v>
      </c>
      <c r="G642" t="s">
        <v>181</v>
      </c>
      <c r="H642" t="s">
        <v>27</v>
      </c>
      <c r="I642" t="s">
        <v>27</v>
      </c>
      <c r="J642" t="s">
        <v>33</v>
      </c>
      <c r="K642">
        <v>2500</v>
      </c>
      <c r="L642">
        <v>135745</v>
      </c>
      <c r="M642">
        <v>62.617194781034534</v>
      </c>
    </row>
    <row r="643" spans="1:13" hidden="1" x14ac:dyDescent="0.3">
      <c r="A643" t="s">
        <v>2261</v>
      </c>
      <c r="B643" t="s">
        <v>51</v>
      </c>
      <c r="C643" t="s">
        <v>121</v>
      </c>
      <c r="D643">
        <v>2006</v>
      </c>
      <c r="E643" t="s">
        <v>31</v>
      </c>
      <c r="F643" t="s">
        <v>242</v>
      </c>
      <c r="G643" t="s">
        <v>31</v>
      </c>
      <c r="H643" t="s">
        <v>27</v>
      </c>
      <c r="I643" t="s">
        <v>27</v>
      </c>
      <c r="J643" t="s">
        <v>27</v>
      </c>
      <c r="K643">
        <v>1500</v>
      </c>
      <c r="L643" t="s">
        <v>31</v>
      </c>
      <c r="M643">
        <v>62.617194781034534</v>
      </c>
    </row>
    <row r="644" spans="1:13" hidden="1" x14ac:dyDescent="0.3">
      <c r="A644" t="s">
        <v>2262</v>
      </c>
      <c r="B644" t="s">
        <v>51</v>
      </c>
      <c r="C644" t="s">
        <v>121</v>
      </c>
      <c r="D644">
        <v>2006</v>
      </c>
      <c r="E644">
        <v>7000</v>
      </c>
      <c r="F644" t="s">
        <v>34</v>
      </c>
      <c r="G644" t="s">
        <v>31</v>
      </c>
      <c r="H644" t="s">
        <v>27</v>
      </c>
      <c r="I644" t="s">
        <v>27</v>
      </c>
      <c r="J644" t="s">
        <v>27</v>
      </c>
      <c r="K644">
        <v>2400</v>
      </c>
      <c r="L644">
        <v>11179</v>
      </c>
      <c r="M644">
        <v>62.617194781034534</v>
      </c>
    </row>
    <row r="645" spans="1:13" hidden="1" x14ac:dyDescent="0.3">
      <c r="A645" t="s">
        <v>2263</v>
      </c>
      <c r="B645" t="s">
        <v>51</v>
      </c>
      <c r="C645" t="s">
        <v>121</v>
      </c>
      <c r="D645">
        <v>2006</v>
      </c>
      <c r="E645" t="s">
        <v>31</v>
      </c>
      <c r="F645" t="s">
        <v>60</v>
      </c>
      <c r="G645" t="s">
        <v>405</v>
      </c>
      <c r="H645" t="s">
        <v>27</v>
      </c>
      <c r="I645" t="s">
        <v>27</v>
      </c>
      <c r="J645" t="s">
        <v>33</v>
      </c>
      <c r="K645">
        <v>95862</v>
      </c>
      <c r="L645" t="s">
        <v>31</v>
      </c>
      <c r="M645">
        <v>62.617194781034534</v>
      </c>
    </row>
    <row r="646" spans="1:13" hidden="1" x14ac:dyDescent="0.3">
      <c r="A646" t="s">
        <v>2264</v>
      </c>
      <c r="B646" t="s">
        <v>28</v>
      </c>
      <c r="C646" t="s">
        <v>95</v>
      </c>
      <c r="D646">
        <v>2006</v>
      </c>
      <c r="E646" t="s">
        <v>31</v>
      </c>
      <c r="F646" t="s">
        <v>34</v>
      </c>
      <c r="G646" t="s">
        <v>31</v>
      </c>
      <c r="H646" t="s">
        <v>27</v>
      </c>
      <c r="I646" t="s">
        <v>27</v>
      </c>
      <c r="J646" t="s">
        <v>27</v>
      </c>
      <c r="K646" t="s">
        <v>31</v>
      </c>
      <c r="L646" t="s">
        <v>31</v>
      </c>
      <c r="M646">
        <v>62.617194781034534</v>
      </c>
    </row>
    <row r="647" spans="1:13" hidden="1" x14ac:dyDescent="0.3">
      <c r="A647" t="s">
        <v>2265</v>
      </c>
      <c r="B647" t="s">
        <v>51</v>
      </c>
      <c r="C647" t="s">
        <v>121</v>
      </c>
      <c r="D647">
        <v>2006</v>
      </c>
      <c r="E647" t="s">
        <v>31</v>
      </c>
      <c r="F647" t="s">
        <v>34</v>
      </c>
      <c r="G647" t="s">
        <v>31</v>
      </c>
      <c r="H647" t="s">
        <v>27</v>
      </c>
      <c r="I647" t="s">
        <v>27</v>
      </c>
      <c r="J647" t="s">
        <v>27</v>
      </c>
      <c r="K647">
        <v>600</v>
      </c>
      <c r="L647" t="s">
        <v>31</v>
      </c>
      <c r="M647">
        <v>62.617194781034534</v>
      </c>
    </row>
    <row r="648" spans="1:13" hidden="1" x14ac:dyDescent="0.3">
      <c r="A648" t="s">
        <v>2266</v>
      </c>
      <c r="B648" t="s">
        <v>51</v>
      </c>
      <c r="C648" t="s">
        <v>134</v>
      </c>
      <c r="D648">
        <v>2006</v>
      </c>
      <c r="E648" t="s">
        <v>31</v>
      </c>
      <c r="F648" t="s">
        <v>73</v>
      </c>
      <c r="G648" t="s">
        <v>31</v>
      </c>
      <c r="H648" t="s">
        <v>27</v>
      </c>
      <c r="I648" t="s">
        <v>27</v>
      </c>
      <c r="J648" t="s">
        <v>27</v>
      </c>
      <c r="K648" t="s">
        <v>31</v>
      </c>
      <c r="L648" t="s">
        <v>31</v>
      </c>
      <c r="M648">
        <v>62.617194781034534</v>
      </c>
    </row>
    <row r="649" spans="1:13" hidden="1" x14ac:dyDescent="0.3">
      <c r="A649" t="s">
        <v>2267</v>
      </c>
      <c r="B649" t="s">
        <v>51</v>
      </c>
      <c r="C649" t="s">
        <v>121</v>
      </c>
      <c r="D649">
        <v>2006</v>
      </c>
      <c r="E649">
        <v>15500</v>
      </c>
      <c r="F649" t="s">
        <v>34</v>
      </c>
      <c r="G649" t="s">
        <v>31</v>
      </c>
      <c r="H649" t="s">
        <v>27</v>
      </c>
      <c r="I649" t="s">
        <v>27</v>
      </c>
      <c r="J649" t="s">
        <v>27</v>
      </c>
      <c r="K649">
        <v>150</v>
      </c>
      <c r="L649">
        <v>24754</v>
      </c>
      <c r="M649">
        <v>62.617194781034534</v>
      </c>
    </row>
    <row r="650" spans="1:13" hidden="1" x14ac:dyDescent="0.3">
      <c r="A650" t="s">
        <v>2268</v>
      </c>
      <c r="B650" t="s">
        <v>51</v>
      </c>
      <c r="C650" t="s">
        <v>121</v>
      </c>
      <c r="D650">
        <v>2006</v>
      </c>
      <c r="E650" t="s">
        <v>31</v>
      </c>
      <c r="F650" t="s">
        <v>34</v>
      </c>
      <c r="G650" t="s">
        <v>31</v>
      </c>
      <c r="H650" t="s">
        <v>27</v>
      </c>
      <c r="I650" t="s">
        <v>27</v>
      </c>
      <c r="J650" t="s">
        <v>27</v>
      </c>
      <c r="K650">
        <v>100</v>
      </c>
      <c r="L650" t="s">
        <v>31</v>
      </c>
      <c r="M650">
        <v>62.617194781034534</v>
      </c>
    </row>
    <row r="651" spans="1:13" hidden="1" x14ac:dyDescent="0.3">
      <c r="A651" t="s">
        <v>2270</v>
      </c>
      <c r="B651" t="s">
        <v>91</v>
      </c>
      <c r="C651" t="s">
        <v>93</v>
      </c>
      <c r="D651">
        <v>2006</v>
      </c>
      <c r="E651" t="s">
        <v>31</v>
      </c>
      <c r="F651" t="s">
        <v>115</v>
      </c>
      <c r="G651" t="s">
        <v>31</v>
      </c>
      <c r="H651" t="s">
        <v>27</v>
      </c>
      <c r="I651" t="s">
        <v>27</v>
      </c>
      <c r="J651" t="s">
        <v>33</v>
      </c>
      <c r="K651">
        <v>16470</v>
      </c>
      <c r="L651" t="s">
        <v>31</v>
      </c>
      <c r="M651">
        <v>62.617194781034534</v>
      </c>
    </row>
    <row r="652" spans="1:13" hidden="1" x14ac:dyDescent="0.3">
      <c r="A652" t="s">
        <v>2271</v>
      </c>
      <c r="B652" t="s">
        <v>28</v>
      </c>
      <c r="C652" t="s">
        <v>97</v>
      </c>
      <c r="D652">
        <v>2006</v>
      </c>
      <c r="E652">
        <v>90000</v>
      </c>
      <c r="F652" t="s">
        <v>34</v>
      </c>
      <c r="G652" t="s">
        <v>31</v>
      </c>
      <c r="H652" t="s">
        <v>27</v>
      </c>
      <c r="I652" t="s">
        <v>27</v>
      </c>
      <c r="J652" t="s">
        <v>27</v>
      </c>
      <c r="K652">
        <v>600</v>
      </c>
      <c r="L652">
        <v>143730</v>
      </c>
      <c r="M652">
        <v>62.617194781034534</v>
      </c>
    </row>
    <row r="653" spans="1:13" hidden="1" x14ac:dyDescent="0.3">
      <c r="A653" t="s">
        <v>2272</v>
      </c>
      <c r="B653" t="s">
        <v>39</v>
      </c>
      <c r="C653" t="s">
        <v>142</v>
      </c>
      <c r="D653">
        <v>2006</v>
      </c>
      <c r="E653" t="s">
        <v>31</v>
      </c>
      <c r="F653" t="s">
        <v>166</v>
      </c>
      <c r="G653" t="s">
        <v>31</v>
      </c>
      <c r="H653" t="s">
        <v>27</v>
      </c>
      <c r="I653" t="s">
        <v>27</v>
      </c>
      <c r="J653" t="s">
        <v>27</v>
      </c>
      <c r="K653">
        <v>1436</v>
      </c>
      <c r="L653" t="s">
        <v>31</v>
      </c>
      <c r="M653">
        <v>62.617194781034534</v>
      </c>
    </row>
    <row r="654" spans="1:13" hidden="1" x14ac:dyDescent="0.3">
      <c r="A654" t="s">
        <v>2273</v>
      </c>
      <c r="B654" t="s">
        <v>91</v>
      </c>
      <c r="C654" t="s">
        <v>105</v>
      </c>
      <c r="D654">
        <v>2006</v>
      </c>
      <c r="E654" t="s">
        <v>31</v>
      </c>
      <c r="F654" t="s">
        <v>2274</v>
      </c>
      <c r="G654" t="s">
        <v>31</v>
      </c>
      <c r="H654" t="s">
        <v>27</v>
      </c>
      <c r="I654" t="s">
        <v>27</v>
      </c>
      <c r="J654" t="s">
        <v>27</v>
      </c>
      <c r="K654">
        <v>200</v>
      </c>
      <c r="L654" t="s">
        <v>31</v>
      </c>
      <c r="M654">
        <v>62.617194781034534</v>
      </c>
    </row>
    <row r="655" spans="1:13" hidden="1" x14ac:dyDescent="0.3">
      <c r="A655" t="s">
        <v>66</v>
      </c>
      <c r="B655" t="s">
        <v>28</v>
      </c>
      <c r="C655" t="s">
        <v>67</v>
      </c>
      <c r="D655">
        <v>2007</v>
      </c>
      <c r="E655">
        <v>140000</v>
      </c>
      <c r="F655" t="s">
        <v>34</v>
      </c>
      <c r="G655" t="s">
        <v>68</v>
      </c>
      <c r="H655" t="s">
        <v>27</v>
      </c>
      <c r="I655" t="s">
        <v>27</v>
      </c>
      <c r="J655" t="s">
        <v>27</v>
      </c>
      <c r="K655" t="s">
        <v>31</v>
      </c>
      <c r="L655">
        <v>217380</v>
      </c>
      <c r="M655">
        <v>64.403463684765214</v>
      </c>
    </row>
    <row r="656" spans="1:13" hidden="1" x14ac:dyDescent="0.3">
      <c r="A656" t="s">
        <v>618</v>
      </c>
      <c r="B656" t="s">
        <v>51</v>
      </c>
      <c r="C656" t="s">
        <v>121</v>
      </c>
      <c r="D656">
        <v>2007</v>
      </c>
      <c r="E656">
        <v>700000</v>
      </c>
      <c r="F656" t="s">
        <v>34</v>
      </c>
      <c r="G656" t="s">
        <v>405</v>
      </c>
      <c r="H656" t="s">
        <v>27</v>
      </c>
      <c r="I656" t="s">
        <v>27</v>
      </c>
      <c r="J656" t="s">
        <v>27</v>
      </c>
      <c r="K656">
        <v>2840</v>
      </c>
      <c r="L656">
        <v>1086898</v>
      </c>
      <c r="M656">
        <v>64.403463684765214</v>
      </c>
    </row>
    <row r="657" spans="1:13" hidden="1" x14ac:dyDescent="0.3">
      <c r="A657" t="s">
        <v>630</v>
      </c>
      <c r="B657" t="s">
        <v>51</v>
      </c>
      <c r="C657" t="s">
        <v>121</v>
      </c>
      <c r="D657">
        <v>2007</v>
      </c>
      <c r="E657" t="s">
        <v>31</v>
      </c>
      <c r="F657" t="s">
        <v>77</v>
      </c>
      <c r="G657" t="s">
        <v>31</v>
      </c>
      <c r="H657" t="s">
        <v>27</v>
      </c>
      <c r="I657" t="s">
        <v>27</v>
      </c>
      <c r="J657" t="s">
        <v>27</v>
      </c>
      <c r="K657">
        <v>500</v>
      </c>
      <c r="L657" t="s">
        <v>31</v>
      </c>
      <c r="M657">
        <v>64.403463684765214</v>
      </c>
    </row>
    <row r="658" spans="1:13" hidden="1" x14ac:dyDescent="0.3">
      <c r="A658" t="s">
        <v>631</v>
      </c>
      <c r="B658" t="s">
        <v>51</v>
      </c>
      <c r="C658" t="s">
        <v>121</v>
      </c>
      <c r="D658">
        <v>2007</v>
      </c>
      <c r="E658" t="s">
        <v>31</v>
      </c>
      <c r="F658" t="s">
        <v>45</v>
      </c>
      <c r="G658" t="s">
        <v>54</v>
      </c>
      <c r="H658" t="s">
        <v>27</v>
      </c>
      <c r="I658" t="s">
        <v>27</v>
      </c>
      <c r="J658" t="s">
        <v>27</v>
      </c>
      <c r="K658">
        <v>12500</v>
      </c>
      <c r="L658" t="s">
        <v>31</v>
      </c>
      <c r="M658">
        <v>64.403463684765214</v>
      </c>
    </row>
    <row r="659" spans="1:13" hidden="1" x14ac:dyDescent="0.3">
      <c r="A659" t="s">
        <v>632</v>
      </c>
      <c r="B659" t="s">
        <v>51</v>
      </c>
      <c r="C659" t="s">
        <v>121</v>
      </c>
      <c r="D659">
        <v>2007</v>
      </c>
      <c r="E659" t="s">
        <v>31</v>
      </c>
      <c r="F659" t="s">
        <v>47</v>
      </c>
      <c r="G659" t="s">
        <v>54</v>
      </c>
      <c r="H659" t="s">
        <v>27</v>
      </c>
      <c r="I659" t="s">
        <v>27</v>
      </c>
      <c r="J659" t="s">
        <v>27</v>
      </c>
      <c r="K659">
        <v>2035</v>
      </c>
      <c r="L659" t="s">
        <v>31</v>
      </c>
      <c r="M659">
        <v>64.403463684765214</v>
      </c>
    </row>
    <row r="660" spans="1:13" hidden="1" x14ac:dyDescent="0.3">
      <c r="A660" t="s">
        <v>633</v>
      </c>
      <c r="B660" t="s">
        <v>39</v>
      </c>
      <c r="C660" t="s">
        <v>41</v>
      </c>
      <c r="D660">
        <v>2007</v>
      </c>
      <c r="E660">
        <v>315000</v>
      </c>
      <c r="F660" t="s">
        <v>34</v>
      </c>
      <c r="G660" t="s">
        <v>31</v>
      </c>
      <c r="H660" t="s">
        <v>27</v>
      </c>
      <c r="I660" t="s">
        <v>27</v>
      </c>
      <c r="J660" t="s">
        <v>27</v>
      </c>
      <c r="K660">
        <v>10159</v>
      </c>
      <c r="L660">
        <v>489104</v>
      </c>
      <c r="M660">
        <v>64.403463684765214</v>
      </c>
    </row>
    <row r="661" spans="1:13" hidden="1" x14ac:dyDescent="0.3">
      <c r="A661" t="s">
        <v>634</v>
      </c>
      <c r="B661" t="s">
        <v>51</v>
      </c>
      <c r="C661" t="s">
        <v>121</v>
      </c>
      <c r="D661">
        <v>2007</v>
      </c>
      <c r="E661" t="s">
        <v>31</v>
      </c>
      <c r="F661" t="s">
        <v>34</v>
      </c>
      <c r="G661" t="s">
        <v>181</v>
      </c>
      <c r="H661" t="s">
        <v>27</v>
      </c>
      <c r="I661" t="s">
        <v>27</v>
      </c>
      <c r="J661" t="s">
        <v>27</v>
      </c>
      <c r="K661">
        <v>5000</v>
      </c>
      <c r="L661" t="s">
        <v>31</v>
      </c>
      <c r="M661">
        <v>64.403463684765214</v>
      </c>
    </row>
    <row r="662" spans="1:13" hidden="1" x14ac:dyDescent="0.3">
      <c r="A662" t="s">
        <v>635</v>
      </c>
      <c r="B662" t="s">
        <v>28</v>
      </c>
      <c r="C662" t="s">
        <v>278</v>
      </c>
      <c r="D662">
        <v>2007</v>
      </c>
      <c r="E662" t="s">
        <v>31</v>
      </c>
      <c r="F662" t="s">
        <v>111</v>
      </c>
      <c r="G662" t="s">
        <v>355</v>
      </c>
      <c r="H662" t="s">
        <v>27</v>
      </c>
      <c r="I662" t="s">
        <v>27</v>
      </c>
      <c r="J662" t="s">
        <v>27</v>
      </c>
      <c r="K662" t="s">
        <v>31</v>
      </c>
      <c r="L662" t="s">
        <v>31</v>
      </c>
      <c r="M662">
        <v>64.403463684765214</v>
      </c>
    </row>
    <row r="663" spans="1:13" hidden="1" x14ac:dyDescent="0.3">
      <c r="A663" t="s">
        <v>636</v>
      </c>
      <c r="B663" t="s">
        <v>28</v>
      </c>
      <c r="C663" t="s">
        <v>278</v>
      </c>
      <c r="D663">
        <v>2007</v>
      </c>
      <c r="E663" t="s">
        <v>31</v>
      </c>
      <c r="F663" t="s">
        <v>53</v>
      </c>
      <c r="G663" t="s">
        <v>31</v>
      </c>
      <c r="H663" t="s">
        <v>27</v>
      </c>
      <c r="I663" t="s">
        <v>27</v>
      </c>
      <c r="J663" t="s">
        <v>27</v>
      </c>
      <c r="K663">
        <v>884572</v>
      </c>
      <c r="L663" t="s">
        <v>31</v>
      </c>
      <c r="M663">
        <v>64.403463684765214</v>
      </c>
    </row>
    <row r="664" spans="1:13" hidden="1" x14ac:dyDescent="0.3">
      <c r="A664" t="s">
        <v>637</v>
      </c>
      <c r="B664" t="s">
        <v>28</v>
      </c>
      <c r="C664" t="s">
        <v>278</v>
      </c>
      <c r="D664">
        <v>2007</v>
      </c>
      <c r="E664" t="s">
        <v>31</v>
      </c>
      <c r="F664" t="s">
        <v>57</v>
      </c>
      <c r="G664" t="s">
        <v>31</v>
      </c>
      <c r="H664" t="s">
        <v>27</v>
      </c>
      <c r="I664" t="s">
        <v>27</v>
      </c>
      <c r="J664" t="s">
        <v>27</v>
      </c>
      <c r="K664" t="s">
        <v>31</v>
      </c>
      <c r="L664" t="s">
        <v>31</v>
      </c>
      <c r="M664">
        <v>64.403463684765214</v>
      </c>
    </row>
    <row r="665" spans="1:13" hidden="1" x14ac:dyDescent="0.3">
      <c r="A665" t="s">
        <v>638</v>
      </c>
      <c r="B665" t="s">
        <v>28</v>
      </c>
      <c r="C665" t="s">
        <v>30</v>
      </c>
      <c r="D665">
        <v>2007</v>
      </c>
      <c r="E665">
        <v>40000</v>
      </c>
      <c r="F665" t="s">
        <v>75</v>
      </c>
      <c r="G665" t="s">
        <v>37</v>
      </c>
      <c r="H665" t="s">
        <v>27</v>
      </c>
      <c r="I665" t="s">
        <v>27</v>
      </c>
      <c r="J665" t="s">
        <v>27</v>
      </c>
      <c r="K665">
        <v>1600</v>
      </c>
      <c r="L665">
        <v>62108</v>
      </c>
      <c r="M665">
        <v>64.403463684765214</v>
      </c>
    </row>
    <row r="666" spans="1:13" hidden="1" x14ac:dyDescent="0.3">
      <c r="A666" t="s">
        <v>639</v>
      </c>
      <c r="B666" t="s">
        <v>28</v>
      </c>
      <c r="C666" t="s">
        <v>30</v>
      </c>
      <c r="D666">
        <v>2007</v>
      </c>
      <c r="E666">
        <v>300000</v>
      </c>
      <c r="F666" t="s">
        <v>211</v>
      </c>
      <c r="G666" t="s">
        <v>82</v>
      </c>
      <c r="H666" t="s">
        <v>27</v>
      </c>
      <c r="I666" t="s">
        <v>27</v>
      </c>
      <c r="J666" t="s">
        <v>27</v>
      </c>
      <c r="K666" t="s">
        <v>31</v>
      </c>
      <c r="L666">
        <v>465813</v>
      </c>
      <c r="M666">
        <v>64.403463684765214</v>
      </c>
    </row>
    <row r="667" spans="1:13" hidden="1" x14ac:dyDescent="0.3">
      <c r="A667" t="s">
        <v>640</v>
      </c>
      <c r="B667" t="s">
        <v>28</v>
      </c>
      <c r="C667" t="s">
        <v>30</v>
      </c>
      <c r="D667">
        <v>2007</v>
      </c>
      <c r="E667" t="s">
        <v>31</v>
      </c>
      <c r="F667" t="s">
        <v>45</v>
      </c>
      <c r="G667" t="s">
        <v>37</v>
      </c>
      <c r="H667" t="s">
        <v>27</v>
      </c>
      <c r="I667" t="s">
        <v>27</v>
      </c>
      <c r="J667" t="s">
        <v>27</v>
      </c>
      <c r="K667">
        <v>3966</v>
      </c>
      <c r="L667" t="s">
        <v>31</v>
      </c>
      <c r="M667">
        <v>64.403463684765214</v>
      </c>
    </row>
    <row r="668" spans="1:13" hidden="1" x14ac:dyDescent="0.3">
      <c r="A668" t="s">
        <v>641</v>
      </c>
      <c r="B668" t="s">
        <v>28</v>
      </c>
      <c r="C668" t="s">
        <v>30</v>
      </c>
      <c r="D668">
        <v>2007</v>
      </c>
      <c r="E668">
        <v>300000</v>
      </c>
      <c r="F668" t="s">
        <v>234</v>
      </c>
      <c r="G668" t="s">
        <v>85</v>
      </c>
      <c r="H668" t="s">
        <v>33</v>
      </c>
      <c r="I668" t="s">
        <v>27</v>
      </c>
      <c r="J668" t="s">
        <v>33</v>
      </c>
      <c r="K668">
        <v>33188</v>
      </c>
      <c r="L668">
        <v>465813</v>
      </c>
      <c r="M668">
        <v>64.403463684765214</v>
      </c>
    </row>
    <row r="669" spans="1:13" hidden="1" x14ac:dyDescent="0.3">
      <c r="A669" t="s">
        <v>642</v>
      </c>
      <c r="B669" t="s">
        <v>91</v>
      </c>
      <c r="C669" t="s">
        <v>93</v>
      </c>
      <c r="D669">
        <v>2007</v>
      </c>
      <c r="E669" t="s">
        <v>31</v>
      </c>
      <c r="F669" t="s">
        <v>47</v>
      </c>
      <c r="G669" t="s">
        <v>31</v>
      </c>
      <c r="H669" t="s">
        <v>27</v>
      </c>
      <c r="I669" t="s">
        <v>27</v>
      </c>
      <c r="J669" t="s">
        <v>27</v>
      </c>
      <c r="K669">
        <v>175</v>
      </c>
      <c r="L669" t="s">
        <v>31</v>
      </c>
      <c r="M669">
        <v>64.403463684765214</v>
      </c>
    </row>
    <row r="670" spans="1:13" hidden="1" x14ac:dyDescent="0.3">
      <c r="A670" t="s">
        <v>643</v>
      </c>
      <c r="B670" t="s">
        <v>28</v>
      </c>
      <c r="C670" t="s">
        <v>30</v>
      </c>
      <c r="D670">
        <v>2007</v>
      </c>
      <c r="E670" t="s">
        <v>31</v>
      </c>
      <c r="F670" t="s">
        <v>73</v>
      </c>
      <c r="G670" t="s">
        <v>37</v>
      </c>
      <c r="H670" t="s">
        <v>27</v>
      </c>
      <c r="I670" t="s">
        <v>27</v>
      </c>
      <c r="J670" t="s">
        <v>27</v>
      </c>
      <c r="K670">
        <v>30000</v>
      </c>
      <c r="L670" t="s">
        <v>31</v>
      </c>
      <c r="M670">
        <v>64.403463684765214</v>
      </c>
    </row>
    <row r="671" spans="1:13" hidden="1" x14ac:dyDescent="0.3">
      <c r="A671" t="s">
        <v>644</v>
      </c>
      <c r="B671" t="s">
        <v>51</v>
      </c>
      <c r="C671" t="s">
        <v>121</v>
      </c>
      <c r="D671">
        <v>2007</v>
      </c>
      <c r="E671" t="s">
        <v>31</v>
      </c>
      <c r="F671" t="s">
        <v>81</v>
      </c>
      <c r="G671" t="s">
        <v>54</v>
      </c>
      <c r="H671" t="s">
        <v>33</v>
      </c>
      <c r="I671" t="s">
        <v>27</v>
      </c>
      <c r="J671" t="s">
        <v>33</v>
      </c>
      <c r="K671">
        <v>24000</v>
      </c>
      <c r="L671" t="s">
        <v>31</v>
      </c>
      <c r="M671">
        <v>64.403463684765214</v>
      </c>
    </row>
    <row r="672" spans="1:13" hidden="1" x14ac:dyDescent="0.3">
      <c r="A672" t="s">
        <v>645</v>
      </c>
      <c r="B672" t="s">
        <v>51</v>
      </c>
      <c r="C672" t="s">
        <v>121</v>
      </c>
      <c r="D672">
        <v>2007</v>
      </c>
      <c r="E672" t="s">
        <v>31</v>
      </c>
      <c r="F672" t="s">
        <v>166</v>
      </c>
      <c r="G672" t="s">
        <v>31</v>
      </c>
      <c r="H672" t="s">
        <v>27</v>
      </c>
      <c r="I672" t="s">
        <v>27</v>
      </c>
      <c r="J672" t="s">
        <v>27</v>
      </c>
      <c r="K672">
        <v>129</v>
      </c>
      <c r="L672" t="s">
        <v>31</v>
      </c>
      <c r="M672">
        <v>64.403463684765214</v>
      </c>
    </row>
    <row r="673" spans="1:13" hidden="1" x14ac:dyDescent="0.3">
      <c r="A673" t="s">
        <v>646</v>
      </c>
      <c r="B673" t="s">
        <v>28</v>
      </c>
      <c r="C673" t="s">
        <v>30</v>
      </c>
      <c r="D673">
        <v>2007</v>
      </c>
      <c r="E673" t="s">
        <v>31</v>
      </c>
      <c r="F673" t="s">
        <v>45</v>
      </c>
      <c r="G673" t="s">
        <v>37</v>
      </c>
      <c r="H673" t="s">
        <v>33</v>
      </c>
      <c r="I673" t="s">
        <v>27</v>
      </c>
      <c r="J673" t="s">
        <v>27</v>
      </c>
      <c r="K673">
        <v>108763</v>
      </c>
      <c r="L673" t="s">
        <v>31</v>
      </c>
      <c r="M673">
        <v>64.403463684765214</v>
      </c>
    </row>
    <row r="674" spans="1:13" hidden="1" x14ac:dyDescent="0.3">
      <c r="A674" t="s">
        <v>647</v>
      </c>
      <c r="B674" t="s">
        <v>51</v>
      </c>
      <c r="C674" t="s">
        <v>134</v>
      </c>
      <c r="D674">
        <v>2007</v>
      </c>
      <c r="E674" t="s">
        <v>31</v>
      </c>
      <c r="F674" t="s">
        <v>73</v>
      </c>
      <c r="G674" t="s">
        <v>173</v>
      </c>
      <c r="H674" t="s">
        <v>27</v>
      </c>
      <c r="I674" t="s">
        <v>27</v>
      </c>
      <c r="J674" t="s">
        <v>27</v>
      </c>
      <c r="K674" t="s">
        <v>31</v>
      </c>
      <c r="L674" t="s">
        <v>31</v>
      </c>
      <c r="M674">
        <v>64.403463684765214</v>
      </c>
    </row>
    <row r="675" spans="1:13" hidden="1" x14ac:dyDescent="0.3">
      <c r="A675" t="s">
        <v>648</v>
      </c>
      <c r="B675" t="s">
        <v>51</v>
      </c>
      <c r="C675" t="s">
        <v>52</v>
      </c>
      <c r="D675">
        <v>2007</v>
      </c>
      <c r="E675" t="s">
        <v>31</v>
      </c>
      <c r="F675" t="s">
        <v>49</v>
      </c>
      <c r="G675" t="s">
        <v>31</v>
      </c>
      <c r="H675" t="s">
        <v>27</v>
      </c>
      <c r="I675" t="s">
        <v>27</v>
      </c>
      <c r="J675" t="s">
        <v>27</v>
      </c>
      <c r="K675">
        <v>500</v>
      </c>
      <c r="L675" t="s">
        <v>31</v>
      </c>
      <c r="M675">
        <v>64.403463684765214</v>
      </c>
    </row>
    <row r="676" spans="1:13" hidden="1" x14ac:dyDescent="0.3">
      <c r="A676" t="s">
        <v>649</v>
      </c>
      <c r="B676" t="s">
        <v>91</v>
      </c>
      <c r="C676" t="s">
        <v>93</v>
      </c>
      <c r="D676">
        <v>2007</v>
      </c>
      <c r="E676" t="s">
        <v>31</v>
      </c>
      <c r="F676" t="s">
        <v>246</v>
      </c>
      <c r="G676" t="s">
        <v>31</v>
      </c>
      <c r="H676" t="s">
        <v>27</v>
      </c>
      <c r="I676" t="s">
        <v>27</v>
      </c>
      <c r="J676" t="s">
        <v>27</v>
      </c>
      <c r="K676" t="s">
        <v>31</v>
      </c>
      <c r="L676" t="s">
        <v>31</v>
      </c>
      <c r="M676">
        <v>64.403463684765214</v>
      </c>
    </row>
    <row r="677" spans="1:13" hidden="1" x14ac:dyDescent="0.3">
      <c r="A677" t="s">
        <v>650</v>
      </c>
      <c r="B677" t="s">
        <v>28</v>
      </c>
      <c r="C677" t="s">
        <v>30</v>
      </c>
      <c r="D677">
        <v>2007</v>
      </c>
      <c r="E677" t="s">
        <v>31</v>
      </c>
      <c r="F677" t="s">
        <v>62</v>
      </c>
      <c r="G677" t="s">
        <v>37</v>
      </c>
      <c r="H677" t="s">
        <v>27</v>
      </c>
      <c r="I677" t="s">
        <v>27</v>
      </c>
      <c r="J677" t="s">
        <v>27</v>
      </c>
      <c r="K677" t="s">
        <v>31</v>
      </c>
      <c r="L677" t="s">
        <v>31</v>
      </c>
      <c r="M677">
        <v>64.403463684765214</v>
      </c>
    </row>
    <row r="678" spans="1:13" hidden="1" x14ac:dyDescent="0.3">
      <c r="A678" t="s">
        <v>651</v>
      </c>
      <c r="B678" t="s">
        <v>91</v>
      </c>
      <c r="C678" t="s">
        <v>93</v>
      </c>
      <c r="D678">
        <v>2007</v>
      </c>
      <c r="E678" t="s">
        <v>31</v>
      </c>
      <c r="F678" t="s">
        <v>119</v>
      </c>
      <c r="G678" t="s">
        <v>31</v>
      </c>
      <c r="H678" t="s">
        <v>27</v>
      </c>
      <c r="I678" t="s">
        <v>27</v>
      </c>
      <c r="J678" t="s">
        <v>27</v>
      </c>
      <c r="K678">
        <v>286</v>
      </c>
      <c r="L678" t="s">
        <v>31</v>
      </c>
      <c r="M678">
        <v>64.403463684765214</v>
      </c>
    </row>
    <row r="679" spans="1:13" hidden="1" x14ac:dyDescent="0.3">
      <c r="A679" t="s">
        <v>652</v>
      </c>
      <c r="B679" t="s">
        <v>28</v>
      </c>
      <c r="C679" t="s">
        <v>97</v>
      </c>
      <c r="D679">
        <v>2007</v>
      </c>
      <c r="E679">
        <v>350000</v>
      </c>
      <c r="F679" t="s">
        <v>34</v>
      </c>
      <c r="G679" t="s">
        <v>100</v>
      </c>
      <c r="H679" t="s">
        <v>27</v>
      </c>
      <c r="I679" t="s">
        <v>27</v>
      </c>
      <c r="J679" t="s">
        <v>27</v>
      </c>
      <c r="K679">
        <v>40</v>
      </c>
      <c r="L679">
        <v>543449</v>
      </c>
      <c r="M679">
        <v>64.403463684765214</v>
      </c>
    </row>
    <row r="680" spans="1:13" hidden="1" x14ac:dyDescent="0.3">
      <c r="A680" t="s">
        <v>654</v>
      </c>
      <c r="B680" t="s">
        <v>39</v>
      </c>
      <c r="C680" t="s">
        <v>157</v>
      </c>
      <c r="D680">
        <v>2007</v>
      </c>
      <c r="E680" t="s">
        <v>31</v>
      </c>
      <c r="F680" t="s">
        <v>119</v>
      </c>
      <c r="G680" t="s">
        <v>31</v>
      </c>
      <c r="H680" t="s">
        <v>27</v>
      </c>
      <c r="I680" t="s">
        <v>27</v>
      </c>
      <c r="J680" t="s">
        <v>33</v>
      </c>
      <c r="K680">
        <v>1000000</v>
      </c>
      <c r="L680" t="s">
        <v>31</v>
      </c>
      <c r="M680">
        <v>64.403463684765214</v>
      </c>
    </row>
    <row r="681" spans="1:13" hidden="1" x14ac:dyDescent="0.3">
      <c r="A681" t="s">
        <v>977</v>
      </c>
      <c r="B681" t="s">
        <v>28</v>
      </c>
      <c r="C681" t="s">
        <v>97</v>
      </c>
      <c r="D681">
        <v>2007</v>
      </c>
      <c r="E681">
        <v>600000</v>
      </c>
      <c r="F681" t="s">
        <v>34</v>
      </c>
      <c r="G681" t="s">
        <v>31</v>
      </c>
      <c r="H681" t="s">
        <v>27</v>
      </c>
      <c r="I681" t="s">
        <v>27</v>
      </c>
      <c r="J681" t="s">
        <v>27</v>
      </c>
      <c r="K681">
        <v>20</v>
      </c>
      <c r="L681">
        <v>931627</v>
      </c>
      <c r="M681">
        <v>64.403463684765214</v>
      </c>
    </row>
    <row r="682" spans="1:13" hidden="1" x14ac:dyDescent="0.3">
      <c r="A682" t="s">
        <v>979</v>
      </c>
      <c r="B682" t="s">
        <v>28</v>
      </c>
      <c r="C682" t="s">
        <v>189</v>
      </c>
      <c r="D682">
        <v>2007</v>
      </c>
      <c r="E682">
        <v>500000</v>
      </c>
      <c r="F682" t="s">
        <v>34</v>
      </c>
      <c r="G682" t="s">
        <v>980</v>
      </c>
      <c r="H682" t="s">
        <v>27</v>
      </c>
      <c r="I682" t="s">
        <v>27</v>
      </c>
      <c r="J682" t="s">
        <v>33</v>
      </c>
      <c r="K682">
        <v>220</v>
      </c>
      <c r="L682">
        <v>776356</v>
      </c>
      <c r="M682">
        <v>64.403463684765214</v>
      </c>
    </row>
    <row r="683" spans="1:13" hidden="1" x14ac:dyDescent="0.3">
      <c r="A683" t="s">
        <v>981</v>
      </c>
      <c r="B683" t="s">
        <v>28</v>
      </c>
      <c r="C683" t="s">
        <v>97</v>
      </c>
      <c r="D683">
        <v>2007</v>
      </c>
      <c r="E683">
        <v>130000</v>
      </c>
      <c r="F683" t="s">
        <v>34</v>
      </c>
      <c r="G683" t="s">
        <v>31</v>
      </c>
      <c r="H683" t="s">
        <v>27</v>
      </c>
      <c r="I683" t="s">
        <v>27</v>
      </c>
      <c r="J683" t="s">
        <v>33</v>
      </c>
      <c r="K683">
        <v>6600</v>
      </c>
      <c r="L683">
        <v>201852</v>
      </c>
      <c r="M683">
        <v>64.403463684765214</v>
      </c>
    </row>
    <row r="684" spans="1:13" hidden="1" x14ac:dyDescent="0.3">
      <c r="A684" t="s">
        <v>982</v>
      </c>
      <c r="B684" t="s">
        <v>43</v>
      </c>
      <c r="C684" t="s">
        <v>114</v>
      </c>
      <c r="D684">
        <v>2007</v>
      </c>
      <c r="E684" t="s">
        <v>31</v>
      </c>
      <c r="F684" t="s">
        <v>111</v>
      </c>
      <c r="G684" t="s">
        <v>31</v>
      </c>
      <c r="H684" t="s">
        <v>27</v>
      </c>
      <c r="I684" t="s">
        <v>27</v>
      </c>
      <c r="J684" t="s">
        <v>27</v>
      </c>
      <c r="K684">
        <v>228</v>
      </c>
      <c r="L684" t="s">
        <v>31</v>
      </c>
      <c r="M684">
        <v>64.403463684765214</v>
      </c>
    </row>
    <row r="685" spans="1:13" hidden="1" x14ac:dyDescent="0.3">
      <c r="A685" t="s">
        <v>983</v>
      </c>
      <c r="B685" t="s">
        <v>51</v>
      </c>
      <c r="C685" t="s">
        <v>121</v>
      </c>
      <c r="D685">
        <v>2007</v>
      </c>
      <c r="E685">
        <v>10000</v>
      </c>
      <c r="F685" t="s">
        <v>130</v>
      </c>
      <c r="G685" t="s">
        <v>31</v>
      </c>
      <c r="H685" t="s">
        <v>27</v>
      </c>
      <c r="I685" t="s">
        <v>27</v>
      </c>
      <c r="J685" t="s">
        <v>27</v>
      </c>
      <c r="K685">
        <v>70000</v>
      </c>
      <c r="L685">
        <v>15527</v>
      </c>
      <c r="M685">
        <v>64.403463684765214</v>
      </c>
    </row>
    <row r="686" spans="1:13" hidden="1" x14ac:dyDescent="0.3">
      <c r="A686" t="s">
        <v>984</v>
      </c>
      <c r="B686" t="s">
        <v>51</v>
      </c>
      <c r="C686" t="s">
        <v>121</v>
      </c>
      <c r="D686">
        <v>2007</v>
      </c>
      <c r="E686" t="s">
        <v>31</v>
      </c>
      <c r="F686" t="s">
        <v>75</v>
      </c>
      <c r="G686" t="s">
        <v>31</v>
      </c>
      <c r="H686" t="s">
        <v>27</v>
      </c>
      <c r="I686" t="s">
        <v>27</v>
      </c>
      <c r="J686" t="s">
        <v>27</v>
      </c>
      <c r="K686">
        <v>16000</v>
      </c>
      <c r="L686" t="s">
        <v>31</v>
      </c>
      <c r="M686">
        <v>64.403463684765214</v>
      </c>
    </row>
    <row r="687" spans="1:13" hidden="1" x14ac:dyDescent="0.3">
      <c r="A687" t="s">
        <v>985</v>
      </c>
      <c r="B687" t="s">
        <v>51</v>
      </c>
      <c r="C687" t="s">
        <v>56</v>
      </c>
      <c r="D687">
        <v>2007</v>
      </c>
      <c r="E687" t="s">
        <v>31</v>
      </c>
      <c r="F687" t="s">
        <v>34</v>
      </c>
      <c r="G687" t="s">
        <v>181</v>
      </c>
      <c r="H687" t="s">
        <v>27</v>
      </c>
      <c r="I687" t="s">
        <v>27</v>
      </c>
      <c r="J687" t="s">
        <v>27</v>
      </c>
      <c r="K687">
        <v>120</v>
      </c>
      <c r="L687" t="s">
        <v>31</v>
      </c>
      <c r="M687">
        <v>64.403463684765214</v>
      </c>
    </row>
    <row r="688" spans="1:13" hidden="1" x14ac:dyDescent="0.3">
      <c r="A688" t="s">
        <v>986</v>
      </c>
      <c r="B688" t="s">
        <v>28</v>
      </c>
      <c r="C688" t="s">
        <v>30</v>
      </c>
      <c r="D688">
        <v>2007</v>
      </c>
      <c r="E688">
        <v>14847</v>
      </c>
      <c r="F688" t="s">
        <v>32</v>
      </c>
      <c r="G688" t="s">
        <v>31</v>
      </c>
      <c r="H688" t="s">
        <v>33</v>
      </c>
      <c r="I688" t="s">
        <v>27</v>
      </c>
      <c r="J688" t="s">
        <v>27</v>
      </c>
      <c r="K688">
        <v>20000</v>
      </c>
      <c r="L688">
        <v>23053</v>
      </c>
      <c r="M688">
        <v>64.403463684765214</v>
      </c>
    </row>
    <row r="689" spans="1:13" hidden="1" x14ac:dyDescent="0.3">
      <c r="A689" t="s">
        <v>987</v>
      </c>
      <c r="B689" t="s">
        <v>28</v>
      </c>
      <c r="C689" t="s">
        <v>30</v>
      </c>
      <c r="D689">
        <v>2007</v>
      </c>
      <c r="E689">
        <v>20000</v>
      </c>
      <c r="F689" t="s">
        <v>35</v>
      </c>
      <c r="G689" t="s">
        <v>37</v>
      </c>
      <c r="H689" t="s">
        <v>33</v>
      </c>
      <c r="I689" t="s">
        <v>27</v>
      </c>
      <c r="J689" t="s">
        <v>27</v>
      </c>
      <c r="K689">
        <v>7530</v>
      </c>
      <c r="L689">
        <v>31054</v>
      </c>
      <c r="M689">
        <v>64.403463684765214</v>
      </c>
    </row>
    <row r="690" spans="1:13" hidden="1" x14ac:dyDescent="0.3">
      <c r="A690" t="s">
        <v>988</v>
      </c>
      <c r="B690" t="s">
        <v>28</v>
      </c>
      <c r="C690" t="s">
        <v>30</v>
      </c>
      <c r="D690">
        <v>2007</v>
      </c>
      <c r="E690">
        <v>600000</v>
      </c>
      <c r="F690" t="s">
        <v>73</v>
      </c>
      <c r="G690" t="s">
        <v>37</v>
      </c>
      <c r="H690" t="s">
        <v>33</v>
      </c>
      <c r="I690" t="s">
        <v>27</v>
      </c>
      <c r="J690" t="s">
        <v>33</v>
      </c>
      <c r="K690">
        <v>140000</v>
      </c>
      <c r="L690">
        <v>931627</v>
      </c>
      <c r="M690">
        <v>64.403463684765214</v>
      </c>
    </row>
    <row r="691" spans="1:13" hidden="1" x14ac:dyDescent="0.3">
      <c r="A691" t="s">
        <v>989</v>
      </c>
      <c r="B691" t="s">
        <v>28</v>
      </c>
      <c r="C691" t="s">
        <v>30</v>
      </c>
      <c r="D691">
        <v>2007</v>
      </c>
      <c r="E691">
        <v>300000</v>
      </c>
      <c r="F691" t="s">
        <v>244</v>
      </c>
      <c r="G691" t="s">
        <v>82</v>
      </c>
      <c r="H691" t="s">
        <v>27</v>
      </c>
      <c r="I691" t="s">
        <v>27</v>
      </c>
      <c r="J691" t="s">
        <v>27</v>
      </c>
      <c r="K691">
        <v>6</v>
      </c>
      <c r="L691">
        <v>465813</v>
      </c>
      <c r="M691">
        <v>64.403463684765214</v>
      </c>
    </row>
    <row r="692" spans="1:13" hidden="1" x14ac:dyDescent="0.3">
      <c r="A692" t="s">
        <v>990</v>
      </c>
      <c r="B692" t="s">
        <v>28</v>
      </c>
      <c r="C692" t="s">
        <v>30</v>
      </c>
      <c r="D692">
        <v>2007</v>
      </c>
      <c r="E692" t="s">
        <v>31</v>
      </c>
      <c r="F692" t="s">
        <v>90</v>
      </c>
      <c r="G692" t="s">
        <v>82</v>
      </c>
      <c r="H692" t="s">
        <v>27</v>
      </c>
      <c r="I692" t="s">
        <v>27</v>
      </c>
      <c r="J692" t="s">
        <v>27</v>
      </c>
      <c r="K692">
        <v>3905</v>
      </c>
      <c r="L692" t="s">
        <v>31</v>
      </c>
      <c r="M692">
        <v>64.403463684765214</v>
      </c>
    </row>
    <row r="693" spans="1:13" hidden="1" x14ac:dyDescent="0.3">
      <c r="A693" t="s">
        <v>991</v>
      </c>
      <c r="B693" t="s">
        <v>28</v>
      </c>
      <c r="C693" t="s">
        <v>30</v>
      </c>
      <c r="D693">
        <v>2007</v>
      </c>
      <c r="E693" t="s">
        <v>31</v>
      </c>
      <c r="F693" t="s">
        <v>81</v>
      </c>
      <c r="G693" t="s">
        <v>82</v>
      </c>
      <c r="H693" t="s">
        <v>33</v>
      </c>
      <c r="I693" t="s">
        <v>33</v>
      </c>
      <c r="J693" t="s">
        <v>27</v>
      </c>
      <c r="K693">
        <v>188726</v>
      </c>
      <c r="L693" t="s">
        <v>31</v>
      </c>
      <c r="M693">
        <v>64.403463684765214</v>
      </c>
    </row>
    <row r="694" spans="1:13" hidden="1" x14ac:dyDescent="0.3">
      <c r="A694" t="s">
        <v>992</v>
      </c>
      <c r="B694" t="s">
        <v>39</v>
      </c>
      <c r="C694" t="s">
        <v>41</v>
      </c>
      <c r="D694">
        <v>2007</v>
      </c>
      <c r="E694">
        <v>30000</v>
      </c>
      <c r="F694" t="s">
        <v>117</v>
      </c>
      <c r="G694" t="s">
        <v>31</v>
      </c>
      <c r="H694" t="s">
        <v>33</v>
      </c>
      <c r="I694" t="s">
        <v>27</v>
      </c>
      <c r="J694" t="s">
        <v>33</v>
      </c>
      <c r="K694">
        <v>125000</v>
      </c>
      <c r="L694">
        <v>46581</v>
      </c>
      <c r="M694">
        <v>64.403463684765214</v>
      </c>
    </row>
    <row r="695" spans="1:13" hidden="1" x14ac:dyDescent="0.3">
      <c r="A695" t="s">
        <v>993</v>
      </c>
      <c r="B695" t="s">
        <v>91</v>
      </c>
      <c r="C695" t="s">
        <v>93</v>
      </c>
      <c r="D695">
        <v>2007</v>
      </c>
      <c r="E695" t="s">
        <v>31</v>
      </c>
      <c r="F695" t="s">
        <v>49</v>
      </c>
      <c r="G695" t="s">
        <v>31</v>
      </c>
      <c r="H695" t="s">
        <v>27</v>
      </c>
      <c r="I695" t="s">
        <v>27</v>
      </c>
      <c r="J695" t="s">
        <v>27</v>
      </c>
      <c r="K695">
        <v>1883</v>
      </c>
      <c r="L695" t="s">
        <v>31</v>
      </c>
      <c r="M695">
        <v>64.403463684765214</v>
      </c>
    </row>
    <row r="696" spans="1:13" hidden="1" x14ac:dyDescent="0.3">
      <c r="A696" t="s">
        <v>994</v>
      </c>
      <c r="B696" t="s">
        <v>51</v>
      </c>
      <c r="C696" t="s">
        <v>52</v>
      </c>
      <c r="D696">
        <v>2007</v>
      </c>
      <c r="E696" t="s">
        <v>31</v>
      </c>
      <c r="F696" t="s">
        <v>119</v>
      </c>
      <c r="G696" t="s">
        <v>31</v>
      </c>
      <c r="H696" t="s">
        <v>27</v>
      </c>
      <c r="I696" t="s">
        <v>27</v>
      </c>
      <c r="J696" t="s">
        <v>27</v>
      </c>
      <c r="K696">
        <v>4000</v>
      </c>
      <c r="L696" t="s">
        <v>31</v>
      </c>
      <c r="M696">
        <v>64.403463684765214</v>
      </c>
    </row>
    <row r="697" spans="1:13" hidden="1" x14ac:dyDescent="0.3">
      <c r="A697" t="s">
        <v>995</v>
      </c>
      <c r="B697" t="s">
        <v>51</v>
      </c>
      <c r="C697" t="s">
        <v>121</v>
      </c>
      <c r="D697">
        <v>2007</v>
      </c>
      <c r="E697">
        <v>80000</v>
      </c>
      <c r="F697" t="s">
        <v>161</v>
      </c>
      <c r="G697" t="s">
        <v>54</v>
      </c>
      <c r="H697" t="s">
        <v>33</v>
      </c>
      <c r="I697" t="s">
        <v>27</v>
      </c>
      <c r="J697" t="s">
        <v>33</v>
      </c>
      <c r="K697">
        <v>12000</v>
      </c>
      <c r="L697">
        <v>124217</v>
      </c>
      <c r="M697">
        <v>64.403463684765214</v>
      </c>
    </row>
    <row r="698" spans="1:13" hidden="1" x14ac:dyDescent="0.3">
      <c r="A698" t="s">
        <v>996</v>
      </c>
      <c r="B698" t="s">
        <v>51</v>
      </c>
      <c r="C698" t="s">
        <v>121</v>
      </c>
      <c r="D698">
        <v>2007</v>
      </c>
      <c r="E698" t="s">
        <v>31</v>
      </c>
      <c r="F698" t="s">
        <v>49</v>
      </c>
      <c r="G698" t="s">
        <v>31</v>
      </c>
      <c r="H698" t="s">
        <v>33</v>
      </c>
      <c r="I698" t="s">
        <v>27</v>
      </c>
      <c r="J698" t="s">
        <v>27</v>
      </c>
      <c r="K698">
        <v>15000</v>
      </c>
      <c r="L698" t="s">
        <v>31</v>
      </c>
      <c r="M698">
        <v>64.403463684765214</v>
      </c>
    </row>
    <row r="699" spans="1:13" hidden="1" x14ac:dyDescent="0.3">
      <c r="A699" t="s">
        <v>997</v>
      </c>
      <c r="B699" t="s">
        <v>51</v>
      </c>
      <c r="C699" t="s">
        <v>121</v>
      </c>
      <c r="D699">
        <v>2007</v>
      </c>
      <c r="E699">
        <v>3000000</v>
      </c>
      <c r="F699" t="s">
        <v>73</v>
      </c>
      <c r="G699" t="s">
        <v>473</v>
      </c>
      <c r="H699" t="s">
        <v>33</v>
      </c>
      <c r="I699" t="s">
        <v>33</v>
      </c>
      <c r="J699" t="s">
        <v>33</v>
      </c>
      <c r="K699">
        <v>1600000</v>
      </c>
      <c r="L699">
        <v>4658135</v>
      </c>
      <c r="M699">
        <v>64.403463684765214</v>
      </c>
    </row>
    <row r="700" spans="1:13" hidden="1" x14ac:dyDescent="0.3">
      <c r="A700" t="s">
        <v>998</v>
      </c>
      <c r="B700" t="s">
        <v>91</v>
      </c>
      <c r="C700" t="s">
        <v>93</v>
      </c>
      <c r="D700">
        <v>2007</v>
      </c>
      <c r="E700" t="s">
        <v>31</v>
      </c>
      <c r="F700" t="s">
        <v>144</v>
      </c>
      <c r="G700" t="s">
        <v>54</v>
      </c>
      <c r="H700" t="s">
        <v>27</v>
      </c>
      <c r="I700" t="s">
        <v>27</v>
      </c>
      <c r="J700" t="s">
        <v>27</v>
      </c>
      <c r="K700">
        <v>1</v>
      </c>
      <c r="L700" t="s">
        <v>31</v>
      </c>
      <c r="M700">
        <v>64.403463684765214</v>
      </c>
    </row>
    <row r="701" spans="1:13" hidden="1" x14ac:dyDescent="0.3">
      <c r="A701" t="s">
        <v>999</v>
      </c>
      <c r="B701" t="s">
        <v>28</v>
      </c>
      <c r="C701" t="s">
        <v>189</v>
      </c>
      <c r="D701">
        <v>2007</v>
      </c>
      <c r="E701" t="s">
        <v>31</v>
      </c>
      <c r="F701" t="s">
        <v>77</v>
      </c>
      <c r="G701" t="s">
        <v>31</v>
      </c>
      <c r="H701" t="s">
        <v>27</v>
      </c>
      <c r="I701" t="s">
        <v>27</v>
      </c>
      <c r="J701" t="s">
        <v>27</v>
      </c>
      <c r="K701" t="s">
        <v>31</v>
      </c>
      <c r="L701" t="s">
        <v>31</v>
      </c>
      <c r="M701">
        <v>64.403463684765214</v>
      </c>
    </row>
    <row r="702" spans="1:13" hidden="1" x14ac:dyDescent="0.3">
      <c r="A702" t="s">
        <v>1000</v>
      </c>
      <c r="B702" t="s">
        <v>28</v>
      </c>
      <c r="C702" t="s">
        <v>189</v>
      </c>
      <c r="D702">
        <v>2007</v>
      </c>
      <c r="E702" t="s">
        <v>31</v>
      </c>
      <c r="F702" t="s">
        <v>34</v>
      </c>
      <c r="G702" t="s">
        <v>290</v>
      </c>
      <c r="H702" t="s">
        <v>27</v>
      </c>
      <c r="I702" t="s">
        <v>27</v>
      </c>
      <c r="J702" t="s">
        <v>27</v>
      </c>
      <c r="K702" t="s">
        <v>31</v>
      </c>
      <c r="L702" t="s">
        <v>31</v>
      </c>
      <c r="M702">
        <v>64.403463684765214</v>
      </c>
    </row>
    <row r="703" spans="1:13" hidden="1" x14ac:dyDescent="0.3">
      <c r="A703" t="s">
        <v>1001</v>
      </c>
      <c r="B703" t="s">
        <v>28</v>
      </c>
      <c r="C703" t="s">
        <v>189</v>
      </c>
      <c r="D703">
        <v>2007</v>
      </c>
      <c r="E703">
        <v>500000</v>
      </c>
      <c r="F703" t="s">
        <v>34</v>
      </c>
      <c r="G703" t="s">
        <v>290</v>
      </c>
      <c r="H703" t="s">
        <v>27</v>
      </c>
      <c r="I703" t="s">
        <v>27</v>
      </c>
      <c r="J703" t="s">
        <v>27</v>
      </c>
      <c r="K703">
        <v>2</v>
      </c>
      <c r="L703">
        <v>776356</v>
      </c>
      <c r="M703">
        <v>64.403463684765214</v>
      </c>
    </row>
    <row r="704" spans="1:13" hidden="1" x14ac:dyDescent="0.3">
      <c r="A704" t="s">
        <v>1002</v>
      </c>
      <c r="B704" t="s">
        <v>51</v>
      </c>
      <c r="C704" t="s">
        <v>121</v>
      </c>
      <c r="D704">
        <v>2007</v>
      </c>
      <c r="E704">
        <v>500000</v>
      </c>
      <c r="F704" t="s">
        <v>111</v>
      </c>
      <c r="G704" t="s">
        <v>402</v>
      </c>
      <c r="H704" t="s">
        <v>33</v>
      </c>
      <c r="I704" t="s">
        <v>33</v>
      </c>
      <c r="J704" t="s">
        <v>33</v>
      </c>
      <c r="K704">
        <v>485024</v>
      </c>
      <c r="L704">
        <v>776356</v>
      </c>
      <c r="M704">
        <v>64.403463684765214</v>
      </c>
    </row>
    <row r="705" spans="1:13" hidden="1" x14ac:dyDescent="0.3">
      <c r="A705" t="s">
        <v>1003</v>
      </c>
      <c r="B705" t="s">
        <v>28</v>
      </c>
      <c r="C705" t="s">
        <v>30</v>
      </c>
      <c r="D705">
        <v>2007</v>
      </c>
      <c r="E705" t="s">
        <v>31</v>
      </c>
      <c r="F705" t="s">
        <v>73</v>
      </c>
      <c r="G705" t="s">
        <v>31</v>
      </c>
      <c r="H705" t="s">
        <v>27</v>
      </c>
      <c r="I705" t="s">
        <v>27</v>
      </c>
      <c r="J705" t="s">
        <v>27</v>
      </c>
      <c r="K705" t="s">
        <v>31</v>
      </c>
      <c r="L705" t="s">
        <v>31</v>
      </c>
      <c r="M705">
        <v>64.403463684765214</v>
      </c>
    </row>
    <row r="706" spans="1:13" hidden="1" x14ac:dyDescent="0.3">
      <c r="A706" t="s">
        <v>1569</v>
      </c>
      <c r="B706" t="s">
        <v>91</v>
      </c>
      <c r="C706" t="s">
        <v>105</v>
      </c>
      <c r="D706">
        <v>2007</v>
      </c>
      <c r="E706" t="s">
        <v>31</v>
      </c>
      <c r="F706" t="s">
        <v>47</v>
      </c>
      <c r="G706" t="s">
        <v>54</v>
      </c>
      <c r="H706" t="s">
        <v>27</v>
      </c>
      <c r="I706" t="s">
        <v>27</v>
      </c>
      <c r="J706" t="s">
        <v>27</v>
      </c>
      <c r="K706">
        <v>3000</v>
      </c>
      <c r="L706" t="s">
        <v>31</v>
      </c>
      <c r="M706">
        <v>64.403463684765214</v>
      </c>
    </row>
    <row r="707" spans="1:13" x14ac:dyDescent="0.3">
      <c r="D707" s="2" t="s">
        <v>2571</v>
      </c>
      <c r="E707" s="2">
        <f>SUM(E460)</f>
        <v>370</v>
      </c>
    </row>
    <row r="708" spans="1:13" x14ac:dyDescent="0.3">
      <c r="A708" t="s">
        <v>1570</v>
      </c>
      <c r="B708" t="s">
        <v>51</v>
      </c>
      <c r="C708" t="s">
        <v>56</v>
      </c>
      <c r="D708">
        <v>2007</v>
      </c>
      <c r="E708">
        <v>125000</v>
      </c>
      <c r="F708" t="s">
        <v>119</v>
      </c>
      <c r="G708" t="s">
        <v>54</v>
      </c>
      <c r="H708" t="s">
        <v>27</v>
      </c>
      <c r="I708" t="s">
        <v>27</v>
      </c>
      <c r="J708" t="s">
        <v>33</v>
      </c>
      <c r="K708">
        <v>200080</v>
      </c>
      <c r="L708">
        <v>194089</v>
      </c>
      <c r="M708">
        <v>64.403463684765214</v>
      </c>
    </row>
    <row r="709" spans="1:13" hidden="1" x14ac:dyDescent="0.3">
      <c r="A709" t="s">
        <v>1571</v>
      </c>
      <c r="B709" t="s">
        <v>51</v>
      </c>
      <c r="C709" t="s">
        <v>150</v>
      </c>
      <c r="D709">
        <v>2007</v>
      </c>
      <c r="E709" t="s">
        <v>31</v>
      </c>
      <c r="F709" t="s">
        <v>119</v>
      </c>
      <c r="G709" t="s">
        <v>31</v>
      </c>
      <c r="H709" t="s">
        <v>27</v>
      </c>
      <c r="I709" t="s">
        <v>27</v>
      </c>
      <c r="J709" t="s">
        <v>27</v>
      </c>
      <c r="K709">
        <v>5000</v>
      </c>
      <c r="L709" t="s">
        <v>31</v>
      </c>
      <c r="M709">
        <v>64.403463684765214</v>
      </c>
    </row>
    <row r="710" spans="1:13" hidden="1" x14ac:dyDescent="0.3">
      <c r="A710" t="s">
        <v>1572</v>
      </c>
      <c r="B710" t="s">
        <v>51</v>
      </c>
      <c r="C710" t="s">
        <v>121</v>
      </c>
      <c r="D710">
        <v>2007</v>
      </c>
      <c r="E710" t="s">
        <v>31</v>
      </c>
      <c r="F710" t="s">
        <v>34</v>
      </c>
      <c r="G710" t="s">
        <v>31</v>
      </c>
      <c r="H710" t="s">
        <v>27</v>
      </c>
      <c r="I710" t="s">
        <v>27</v>
      </c>
      <c r="J710" t="s">
        <v>27</v>
      </c>
      <c r="K710" t="s">
        <v>31</v>
      </c>
      <c r="L710" t="s">
        <v>31</v>
      </c>
      <c r="M710">
        <v>64.403463684765214</v>
      </c>
    </row>
    <row r="711" spans="1:13" hidden="1" x14ac:dyDescent="0.3">
      <c r="A711" t="s">
        <v>1573</v>
      </c>
      <c r="B711" t="s">
        <v>51</v>
      </c>
      <c r="C711" t="s">
        <v>121</v>
      </c>
      <c r="D711">
        <v>2007</v>
      </c>
      <c r="E711">
        <v>90000</v>
      </c>
      <c r="F711" t="s">
        <v>111</v>
      </c>
      <c r="G711" t="s">
        <v>54</v>
      </c>
      <c r="H711" t="s">
        <v>33</v>
      </c>
      <c r="I711" t="s">
        <v>27</v>
      </c>
      <c r="J711" t="s">
        <v>33</v>
      </c>
      <c r="K711">
        <v>339495</v>
      </c>
      <c r="L711">
        <v>139744</v>
      </c>
      <c r="M711">
        <v>64.403463684765214</v>
      </c>
    </row>
    <row r="712" spans="1:13" hidden="1" x14ac:dyDescent="0.3">
      <c r="A712" t="s">
        <v>1574</v>
      </c>
      <c r="B712" t="s">
        <v>51</v>
      </c>
      <c r="C712" t="s">
        <v>121</v>
      </c>
      <c r="D712">
        <v>2007</v>
      </c>
      <c r="E712">
        <v>30000</v>
      </c>
      <c r="F712" t="s">
        <v>130</v>
      </c>
      <c r="G712" t="s">
        <v>181</v>
      </c>
      <c r="H712" t="s">
        <v>27</v>
      </c>
      <c r="I712" t="s">
        <v>27</v>
      </c>
      <c r="J712" t="s">
        <v>27</v>
      </c>
      <c r="K712">
        <v>65000</v>
      </c>
      <c r="L712">
        <v>46581</v>
      </c>
      <c r="M712">
        <v>64.403463684765214</v>
      </c>
    </row>
    <row r="713" spans="1:13" hidden="1" x14ac:dyDescent="0.3">
      <c r="A713" t="s">
        <v>1575</v>
      </c>
      <c r="B713" t="s">
        <v>28</v>
      </c>
      <c r="C713" t="s">
        <v>67</v>
      </c>
      <c r="D713">
        <v>2007</v>
      </c>
      <c r="E713" t="s">
        <v>31</v>
      </c>
      <c r="F713" t="s">
        <v>77</v>
      </c>
      <c r="G713" t="s">
        <v>68</v>
      </c>
      <c r="H713" t="s">
        <v>27</v>
      </c>
      <c r="I713" t="s">
        <v>27</v>
      </c>
      <c r="J713" t="s">
        <v>27</v>
      </c>
      <c r="K713" t="s">
        <v>31</v>
      </c>
      <c r="L713" t="s">
        <v>31</v>
      </c>
      <c r="M713">
        <v>64.403463684765214</v>
      </c>
    </row>
    <row r="714" spans="1:13" hidden="1" x14ac:dyDescent="0.3">
      <c r="A714" t="s">
        <v>1576</v>
      </c>
      <c r="B714" t="s">
        <v>51</v>
      </c>
      <c r="C714" t="s">
        <v>121</v>
      </c>
      <c r="D714">
        <v>2007</v>
      </c>
      <c r="E714" t="s">
        <v>31</v>
      </c>
      <c r="F714" t="s">
        <v>45</v>
      </c>
      <c r="G714" t="s">
        <v>405</v>
      </c>
      <c r="H714" t="s">
        <v>27</v>
      </c>
      <c r="I714" t="s">
        <v>27</v>
      </c>
      <c r="J714" t="s">
        <v>27</v>
      </c>
      <c r="K714">
        <v>15014</v>
      </c>
      <c r="L714" t="s">
        <v>31</v>
      </c>
      <c r="M714">
        <v>64.403463684765214</v>
      </c>
    </row>
    <row r="715" spans="1:13" hidden="1" x14ac:dyDescent="0.3">
      <c r="A715" t="s">
        <v>1577</v>
      </c>
      <c r="B715" t="s">
        <v>51</v>
      </c>
      <c r="C715" t="s">
        <v>121</v>
      </c>
      <c r="D715">
        <v>2007</v>
      </c>
      <c r="E715" t="s">
        <v>31</v>
      </c>
      <c r="F715" t="s">
        <v>57</v>
      </c>
      <c r="G715" t="s">
        <v>31</v>
      </c>
      <c r="H715" t="s">
        <v>27</v>
      </c>
      <c r="I715" t="s">
        <v>27</v>
      </c>
      <c r="J715" t="s">
        <v>27</v>
      </c>
      <c r="K715">
        <v>800</v>
      </c>
      <c r="L715" t="s">
        <v>31</v>
      </c>
      <c r="M715">
        <v>64.403463684765214</v>
      </c>
    </row>
    <row r="716" spans="1:13" hidden="1" x14ac:dyDescent="0.3">
      <c r="A716" t="s">
        <v>1578</v>
      </c>
      <c r="B716" t="s">
        <v>51</v>
      </c>
      <c r="C716" t="s">
        <v>121</v>
      </c>
      <c r="D716">
        <v>2007</v>
      </c>
      <c r="E716" t="s">
        <v>31</v>
      </c>
      <c r="F716" t="s">
        <v>34</v>
      </c>
      <c r="G716" t="s">
        <v>31</v>
      </c>
      <c r="H716" t="s">
        <v>27</v>
      </c>
      <c r="I716" t="s">
        <v>27</v>
      </c>
      <c r="J716" t="s">
        <v>27</v>
      </c>
      <c r="K716">
        <v>100</v>
      </c>
      <c r="L716" t="s">
        <v>31</v>
      </c>
      <c r="M716">
        <v>64.403463684765214</v>
      </c>
    </row>
    <row r="717" spans="1:13" hidden="1" x14ac:dyDescent="0.3">
      <c r="A717" t="s">
        <v>1579</v>
      </c>
      <c r="B717" t="s">
        <v>51</v>
      </c>
      <c r="C717" t="s">
        <v>121</v>
      </c>
      <c r="D717">
        <v>2007</v>
      </c>
      <c r="E717" t="s">
        <v>31</v>
      </c>
      <c r="F717" t="s">
        <v>47</v>
      </c>
      <c r="G717" t="s">
        <v>54</v>
      </c>
      <c r="H717" t="s">
        <v>27</v>
      </c>
      <c r="I717" t="s">
        <v>27</v>
      </c>
      <c r="J717" t="s">
        <v>27</v>
      </c>
      <c r="K717">
        <v>3000</v>
      </c>
      <c r="L717" t="s">
        <v>31</v>
      </c>
      <c r="M717">
        <v>64.403463684765214</v>
      </c>
    </row>
    <row r="718" spans="1:13" hidden="1" x14ac:dyDescent="0.3">
      <c r="A718" t="s">
        <v>1580</v>
      </c>
      <c r="B718" t="s">
        <v>51</v>
      </c>
      <c r="C718" t="s">
        <v>121</v>
      </c>
      <c r="D718">
        <v>2007</v>
      </c>
      <c r="E718">
        <v>45000</v>
      </c>
      <c r="F718" t="s">
        <v>57</v>
      </c>
      <c r="G718" t="s">
        <v>31</v>
      </c>
      <c r="H718" t="s">
        <v>33</v>
      </c>
      <c r="I718" t="s">
        <v>33</v>
      </c>
      <c r="J718" t="s">
        <v>33</v>
      </c>
      <c r="K718">
        <v>119200</v>
      </c>
      <c r="L718">
        <v>69872</v>
      </c>
      <c r="M718">
        <v>64.403463684765214</v>
      </c>
    </row>
    <row r="719" spans="1:13" hidden="1" x14ac:dyDescent="0.3">
      <c r="A719" t="s">
        <v>1581</v>
      </c>
      <c r="B719" t="s">
        <v>51</v>
      </c>
      <c r="C719" t="s">
        <v>121</v>
      </c>
      <c r="D719">
        <v>2007</v>
      </c>
      <c r="E719">
        <v>28000</v>
      </c>
      <c r="F719" t="s">
        <v>34</v>
      </c>
      <c r="G719" t="s">
        <v>31</v>
      </c>
      <c r="H719" t="s">
        <v>27</v>
      </c>
      <c r="I719" t="s">
        <v>27</v>
      </c>
      <c r="J719" t="s">
        <v>27</v>
      </c>
      <c r="K719">
        <v>750</v>
      </c>
      <c r="L719">
        <v>43476</v>
      </c>
      <c r="M719">
        <v>64.403463684765214</v>
      </c>
    </row>
    <row r="720" spans="1:13" hidden="1" x14ac:dyDescent="0.3">
      <c r="A720" t="s">
        <v>1582</v>
      </c>
      <c r="B720" t="s">
        <v>28</v>
      </c>
      <c r="C720" t="s">
        <v>278</v>
      </c>
      <c r="D720">
        <v>2007</v>
      </c>
      <c r="E720" t="s">
        <v>31</v>
      </c>
      <c r="F720" t="s">
        <v>130</v>
      </c>
      <c r="G720" t="s">
        <v>355</v>
      </c>
      <c r="H720" t="s">
        <v>27</v>
      </c>
      <c r="I720" t="s">
        <v>27</v>
      </c>
      <c r="J720" t="s">
        <v>27</v>
      </c>
      <c r="K720" t="s">
        <v>31</v>
      </c>
      <c r="L720" t="s">
        <v>31</v>
      </c>
      <c r="M720">
        <v>64.403463684765214</v>
      </c>
    </row>
    <row r="721" spans="1:13" hidden="1" x14ac:dyDescent="0.3">
      <c r="A721" t="s">
        <v>1583</v>
      </c>
      <c r="B721" t="s">
        <v>51</v>
      </c>
      <c r="C721" t="s">
        <v>121</v>
      </c>
      <c r="D721">
        <v>2007</v>
      </c>
      <c r="E721" t="s">
        <v>31</v>
      </c>
      <c r="F721" t="s">
        <v>45</v>
      </c>
      <c r="G721" t="s">
        <v>31</v>
      </c>
      <c r="H721" t="s">
        <v>27</v>
      </c>
      <c r="I721" t="s">
        <v>27</v>
      </c>
      <c r="J721" t="s">
        <v>27</v>
      </c>
      <c r="K721">
        <v>1500</v>
      </c>
      <c r="L721" t="s">
        <v>31</v>
      </c>
      <c r="M721">
        <v>64.403463684765214</v>
      </c>
    </row>
    <row r="722" spans="1:13" hidden="1" x14ac:dyDescent="0.3">
      <c r="A722" t="s">
        <v>1584</v>
      </c>
      <c r="B722" t="s">
        <v>28</v>
      </c>
      <c r="C722" t="s">
        <v>30</v>
      </c>
      <c r="D722">
        <v>2007</v>
      </c>
      <c r="E722">
        <v>40000</v>
      </c>
      <c r="F722" t="s">
        <v>246</v>
      </c>
      <c r="G722" t="s">
        <v>37</v>
      </c>
      <c r="H722" t="s">
        <v>33</v>
      </c>
      <c r="I722" t="s">
        <v>27</v>
      </c>
      <c r="J722" t="s">
        <v>27</v>
      </c>
      <c r="K722" t="s">
        <v>31</v>
      </c>
      <c r="L722">
        <v>62108</v>
      </c>
      <c r="M722">
        <v>64.403463684765214</v>
      </c>
    </row>
    <row r="723" spans="1:13" hidden="1" x14ac:dyDescent="0.3">
      <c r="A723" t="s">
        <v>1585</v>
      </c>
      <c r="B723" t="s">
        <v>28</v>
      </c>
      <c r="C723" t="s">
        <v>30</v>
      </c>
      <c r="D723">
        <v>2007</v>
      </c>
      <c r="E723">
        <v>6579</v>
      </c>
      <c r="F723" t="s">
        <v>49</v>
      </c>
      <c r="G723" t="s">
        <v>82</v>
      </c>
      <c r="H723" t="s">
        <v>27</v>
      </c>
      <c r="I723" t="s">
        <v>27</v>
      </c>
      <c r="J723" t="s">
        <v>27</v>
      </c>
      <c r="K723">
        <v>19500</v>
      </c>
      <c r="L723">
        <v>10215</v>
      </c>
      <c r="M723">
        <v>64.403463684765214</v>
      </c>
    </row>
    <row r="724" spans="1:13" hidden="1" x14ac:dyDescent="0.3">
      <c r="A724" t="s">
        <v>1586</v>
      </c>
      <c r="B724" t="s">
        <v>28</v>
      </c>
      <c r="C724" t="s">
        <v>30</v>
      </c>
      <c r="D724">
        <v>2007</v>
      </c>
      <c r="E724" t="s">
        <v>31</v>
      </c>
      <c r="F724" t="s">
        <v>73</v>
      </c>
      <c r="G724" t="s">
        <v>82</v>
      </c>
      <c r="H724" t="s">
        <v>27</v>
      </c>
      <c r="I724" t="s">
        <v>27</v>
      </c>
      <c r="J724" t="s">
        <v>27</v>
      </c>
      <c r="K724">
        <v>33000</v>
      </c>
      <c r="L724" t="s">
        <v>31</v>
      </c>
      <c r="M724">
        <v>64.403463684765214</v>
      </c>
    </row>
    <row r="725" spans="1:13" hidden="1" x14ac:dyDescent="0.3">
      <c r="A725" t="s">
        <v>1587</v>
      </c>
      <c r="B725" t="s">
        <v>28</v>
      </c>
      <c r="C725" t="s">
        <v>189</v>
      </c>
      <c r="D725">
        <v>2007</v>
      </c>
      <c r="E725">
        <v>1000000</v>
      </c>
      <c r="F725" t="s">
        <v>34</v>
      </c>
      <c r="G725" t="s">
        <v>82</v>
      </c>
      <c r="H725" t="s">
        <v>27</v>
      </c>
      <c r="I725" t="s">
        <v>27</v>
      </c>
      <c r="J725" t="s">
        <v>33</v>
      </c>
      <c r="K725">
        <v>1128</v>
      </c>
      <c r="L725">
        <v>1552712</v>
      </c>
      <c r="M725">
        <v>64.403463684765214</v>
      </c>
    </row>
    <row r="726" spans="1:13" hidden="1" x14ac:dyDescent="0.3">
      <c r="A726" t="s">
        <v>1588</v>
      </c>
      <c r="B726" t="s">
        <v>51</v>
      </c>
      <c r="C726" t="s">
        <v>121</v>
      </c>
      <c r="D726">
        <v>2007</v>
      </c>
      <c r="E726" t="s">
        <v>31</v>
      </c>
      <c r="F726" t="s">
        <v>45</v>
      </c>
      <c r="G726" t="s">
        <v>31</v>
      </c>
      <c r="H726" t="s">
        <v>27</v>
      </c>
      <c r="I726" t="s">
        <v>27</v>
      </c>
      <c r="J726" t="s">
        <v>27</v>
      </c>
      <c r="K726">
        <v>75947</v>
      </c>
      <c r="L726" t="s">
        <v>31</v>
      </c>
      <c r="M726">
        <v>64.403463684765214</v>
      </c>
    </row>
    <row r="727" spans="1:13" hidden="1" x14ac:dyDescent="0.3">
      <c r="A727" t="s">
        <v>1589</v>
      </c>
      <c r="B727" t="s">
        <v>51</v>
      </c>
      <c r="C727" t="s">
        <v>121</v>
      </c>
      <c r="D727">
        <v>2007</v>
      </c>
      <c r="E727" t="s">
        <v>31</v>
      </c>
      <c r="F727" t="s">
        <v>242</v>
      </c>
      <c r="G727" t="s">
        <v>31</v>
      </c>
      <c r="H727" t="s">
        <v>27</v>
      </c>
      <c r="I727" t="s">
        <v>27</v>
      </c>
      <c r="J727" t="s">
        <v>27</v>
      </c>
      <c r="K727">
        <v>18000</v>
      </c>
      <c r="L727" t="s">
        <v>31</v>
      </c>
      <c r="M727">
        <v>64.403463684765214</v>
      </c>
    </row>
    <row r="728" spans="1:13" hidden="1" x14ac:dyDescent="0.3">
      <c r="A728" t="s">
        <v>1590</v>
      </c>
      <c r="B728" t="s">
        <v>39</v>
      </c>
      <c r="C728" t="s">
        <v>59</v>
      </c>
      <c r="D728">
        <v>2007</v>
      </c>
      <c r="E728">
        <v>2500000</v>
      </c>
      <c r="F728" t="s">
        <v>34</v>
      </c>
      <c r="G728" t="s">
        <v>29</v>
      </c>
      <c r="H728" t="s">
        <v>27</v>
      </c>
      <c r="I728" t="s">
        <v>27</v>
      </c>
      <c r="J728" t="s">
        <v>33</v>
      </c>
      <c r="K728">
        <v>640064</v>
      </c>
      <c r="L728">
        <v>3881779</v>
      </c>
      <c r="M728">
        <v>64.403463684765214</v>
      </c>
    </row>
    <row r="729" spans="1:13" hidden="1" x14ac:dyDescent="0.3">
      <c r="A729" t="s">
        <v>1591</v>
      </c>
      <c r="B729" t="s">
        <v>28</v>
      </c>
      <c r="C729" t="s">
        <v>30</v>
      </c>
      <c r="D729">
        <v>2007</v>
      </c>
      <c r="E729" t="s">
        <v>31</v>
      </c>
      <c r="F729" t="s">
        <v>234</v>
      </c>
      <c r="G729" t="s">
        <v>31</v>
      </c>
      <c r="H729" t="s">
        <v>27</v>
      </c>
      <c r="I729" t="s">
        <v>27</v>
      </c>
      <c r="J729" t="s">
        <v>27</v>
      </c>
      <c r="K729" t="s">
        <v>31</v>
      </c>
      <c r="L729" t="s">
        <v>31</v>
      </c>
      <c r="M729">
        <v>64.403463684765214</v>
      </c>
    </row>
    <row r="730" spans="1:13" hidden="1" x14ac:dyDescent="0.3">
      <c r="A730" t="s">
        <v>1592</v>
      </c>
      <c r="B730" t="s">
        <v>51</v>
      </c>
      <c r="C730" t="s">
        <v>121</v>
      </c>
      <c r="D730">
        <v>2007</v>
      </c>
      <c r="E730" t="s">
        <v>31</v>
      </c>
      <c r="F730" t="s">
        <v>47</v>
      </c>
      <c r="G730" t="s">
        <v>31</v>
      </c>
      <c r="H730" t="s">
        <v>27</v>
      </c>
      <c r="I730" t="s">
        <v>27</v>
      </c>
      <c r="J730" t="s">
        <v>27</v>
      </c>
      <c r="K730">
        <v>1162135</v>
      </c>
      <c r="L730" t="s">
        <v>31</v>
      </c>
      <c r="M730">
        <v>64.403463684765214</v>
      </c>
    </row>
    <row r="731" spans="1:13" hidden="1" x14ac:dyDescent="0.3">
      <c r="A731" t="s">
        <v>1593</v>
      </c>
      <c r="B731" t="s">
        <v>91</v>
      </c>
      <c r="C731" t="s">
        <v>93</v>
      </c>
      <c r="D731">
        <v>2007</v>
      </c>
      <c r="E731" t="s">
        <v>31</v>
      </c>
      <c r="F731" t="s">
        <v>244</v>
      </c>
      <c r="G731" t="s">
        <v>31</v>
      </c>
      <c r="H731" t="s">
        <v>27</v>
      </c>
      <c r="I731" t="s">
        <v>27</v>
      </c>
      <c r="J731" t="s">
        <v>27</v>
      </c>
      <c r="K731">
        <v>100</v>
      </c>
      <c r="L731" t="s">
        <v>31</v>
      </c>
      <c r="M731">
        <v>64.403463684765214</v>
      </c>
    </row>
    <row r="732" spans="1:13" hidden="1" x14ac:dyDescent="0.3">
      <c r="A732" t="s">
        <v>1594</v>
      </c>
      <c r="B732" t="s">
        <v>91</v>
      </c>
      <c r="C732" t="s">
        <v>93</v>
      </c>
      <c r="D732">
        <v>2007</v>
      </c>
      <c r="E732">
        <v>100000</v>
      </c>
      <c r="F732" t="s">
        <v>60</v>
      </c>
      <c r="G732" t="s">
        <v>31</v>
      </c>
      <c r="H732" t="s">
        <v>27</v>
      </c>
      <c r="I732" t="s">
        <v>27</v>
      </c>
      <c r="J732" t="s">
        <v>33</v>
      </c>
      <c r="K732">
        <v>25155</v>
      </c>
      <c r="L732">
        <v>155271</v>
      </c>
      <c r="M732">
        <v>64.403463684765214</v>
      </c>
    </row>
    <row r="733" spans="1:13" hidden="1" x14ac:dyDescent="0.3">
      <c r="A733" t="s">
        <v>1595</v>
      </c>
      <c r="B733" t="s">
        <v>28</v>
      </c>
      <c r="C733" t="s">
        <v>30</v>
      </c>
      <c r="D733">
        <v>2007</v>
      </c>
      <c r="E733">
        <v>45000</v>
      </c>
      <c r="F733" t="s">
        <v>75</v>
      </c>
      <c r="G733" t="s">
        <v>82</v>
      </c>
      <c r="H733" t="s">
        <v>27</v>
      </c>
      <c r="I733" t="s">
        <v>27</v>
      </c>
      <c r="J733" t="s">
        <v>27</v>
      </c>
      <c r="K733">
        <v>61605</v>
      </c>
      <c r="L733">
        <v>69872</v>
      </c>
      <c r="M733">
        <v>64.403463684765214</v>
      </c>
    </row>
    <row r="734" spans="1:13" hidden="1" x14ac:dyDescent="0.3">
      <c r="A734" t="s">
        <v>1596</v>
      </c>
      <c r="B734" t="s">
        <v>28</v>
      </c>
      <c r="C734" t="s">
        <v>189</v>
      </c>
      <c r="D734">
        <v>2007</v>
      </c>
      <c r="E734">
        <v>2000000</v>
      </c>
      <c r="F734" t="s">
        <v>34</v>
      </c>
      <c r="G734" t="s">
        <v>100</v>
      </c>
      <c r="H734" t="s">
        <v>27</v>
      </c>
      <c r="I734" t="s">
        <v>27</v>
      </c>
      <c r="J734" t="s">
        <v>27</v>
      </c>
      <c r="K734" t="s">
        <v>31</v>
      </c>
      <c r="L734">
        <v>3105423</v>
      </c>
      <c r="M734">
        <v>64.403463684765214</v>
      </c>
    </row>
    <row r="735" spans="1:13" hidden="1" x14ac:dyDescent="0.3">
      <c r="A735" t="s">
        <v>2269</v>
      </c>
      <c r="B735" t="s">
        <v>51</v>
      </c>
      <c r="C735" t="s">
        <v>121</v>
      </c>
      <c r="D735">
        <v>2007</v>
      </c>
      <c r="E735" t="s">
        <v>31</v>
      </c>
      <c r="F735" t="s">
        <v>75</v>
      </c>
      <c r="G735" t="s">
        <v>54</v>
      </c>
      <c r="H735" t="s">
        <v>27</v>
      </c>
      <c r="I735" t="s">
        <v>27</v>
      </c>
      <c r="J735" t="s">
        <v>27</v>
      </c>
      <c r="K735">
        <v>3830</v>
      </c>
      <c r="L735" t="s">
        <v>31</v>
      </c>
      <c r="M735">
        <v>64.403463684765214</v>
      </c>
    </row>
    <row r="736" spans="1:13" hidden="1" x14ac:dyDescent="0.3">
      <c r="A736" t="s">
        <v>2275</v>
      </c>
      <c r="B736" t="s">
        <v>51</v>
      </c>
      <c r="C736" t="s">
        <v>121</v>
      </c>
      <c r="D736">
        <v>2007</v>
      </c>
      <c r="E736" t="s">
        <v>31</v>
      </c>
      <c r="F736" t="s">
        <v>53</v>
      </c>
      <c r="G736" t="s">
        <v>54</v>
      </c>
      <c r="H736" t="s">
        <v>27</v>
      </c>
      <c r="I736" t="s">
        <v>27</v>
      </c>
      <c r="J736" t="s">
        <v>27</v>
      </c>
      <c r="K736">
        <v>47714</v>
      </c>
      <c r="L736" t="s">
        <v>31</v>
      </c>
      <c r="M736">
        <v>64.403463684765214</v>
      </c>
    </row>
    <row r="737" spans="1:13" hidden="1" x14ac:dyDescent="0.3">
      <c r="A737" t="s">
        <v>2276</v>
      </c>
      <c r="B737" t="s">
        <v>28</v>
      </c>
      <c r="C737" t="s">
        <v>97</v>
      </c>
      <c r="D737">
        <v>2007</v>
      </c>
      <c r="E737" t="s">
        <v>31</v>
      </c>
      <c r="F737" t="s">
        <v>34</v>
      </c>
      <c r="G737" t="s">
        <v>37</v>
      </c>
      <c r="H737" t="s">
        <v>27</v>
      </c>
      <c r="I737" t="s">
        <v>27</v>
      </c>
      <c r="J737" t="s">
        <v>27</v>
      </c>
      <c r="K737">
        <v>280</v>
      </c>
      <c r="L737" t="s">
        <v>31</v>
      </c>
      <c r="M737">
        <v>64.403463684765214</v>
      </c>
    </row>
    <row r="738" spans="1:13" hidden="1" x14ac:dyDescent="0.3">
      <c r="A738" t="s">
        <v>2277</v>
      </c>
      <c r="B738" t="s">
        <v>91</v>
      </c>
      <c r="C738" t="s">
        <v>798</v>
      </c>
      <c r="D738">
        <v>2007</v>
      </c>
      <c r="E738" t="s">
        <v>31</v>
      </c>
      <c r="F738" t="s">
        <v>60</v>
      </c>
      <c r="G738" t="s">
        <v>173</v>
      </c>
      <c r="H738" t="s">
        <v>27</v>
      </c>
      <c r="I738" t="s">
        <v>27</v>
      </c>
      <c r="J738" t="s">
        <v>27</v>
      </c>
      <c r="K738" t="s">
        <v>31</v>
      </c>
      <c r="L738" t="s">
        <v>31</v>
      </c>
      <c r="M738">
        <v>64.403463684765214</v>
      </c>
    </row>
    <row r="739" spans="1:13" hidden="1" x14ac:dyDescent="0.3">
      <c r="A739" t="s">
        <v>2278</v>
      </c>
      <c r="B739" t="s">
        <v>51</v>
      </c>
      <c r="C739" t="s">
        <v>121</v>
      </c>
      <c r="D739">
        <v>2007</v>
      </c>
      <c r="E739" t="s">
        <v>31</v>
      </c>
      <c r="F739" t="s">
        <v>47</v>
      </c>
      <c r="G739" t="s">
        <v>54</v>
      </c>
      <c r="H739" t="s">
        <v>27</v>
      </c>
      <c r="I739" t="s">
        <v>27</v>
      </c>
      <c r="J739" t="s">
        <v>33</v>
      </c>
      <c r="K739">
        <v>1504317</v>
      </c>
      <c r="L739" t="s">
        <v>31</v>
      </c>
      <c r="M739">
        <v>64.403463684765214</v>
      </c>
    </row>
    <row r="740" spans="1:13" hidden="1" x14ac:dyDescent="0.3">
      <c r="A740" t="s">
        <v>2279</v>
      </c>
      <c r="B740" t="s">
        <v>28</v>
      </c>
      <c r="C740" t="s">
        <v>278</v>
      </c>
      <c r="D740">
        <v>2007</v>
      </c>
      <c r="E740" t="s">
        <v>31</v>
      </c>
      <c r="F740" t="s">
        <v>60</v>
      </c>
      <c r="G740" t="s">
        <v>31</v>
      </c>
      <c r="H740" t="s">
        <v>27</v>
      </c>
      <c r="I740" t="s">
        <v>27</v>
      </c>
      <c r="J740" t="s">
        <v>27</v>
      </c>
      <c r="K740" t="s">
        <v>31</v>
      </c>
      <c r="L740" t="s">
        <v>31</v>
      </c>
      <c r="M740">
        <v>64.403463684765214</v>
      </c>
    </row>
    <row r="741" spans="1:13" hidden="1" x14ac:dyDescent="0.3">
      <c r="A741" t="s">
        <v>2280</v>
      </c>
      <c r="B741" t="s">
        <v>39</v>
      </c>
      <c r="C741" t="s">
        <v>41</v>
      </c>
      <c r="D741">
        <v>2007</v>
      </c>
      <c r="E741" t="s">
        <v>31</v>
      </c>
      <c r="F741" t="s">
        <v>34</v>
      </c>
      <c r="G741" t="s">
        <v>31</v>
      </c>
      <c r="H741" t="s">
        <v>27</v>
      </c>
      <c r="I741" t="s">
        <v>27</v>
      </c>
      <c r="J741" t="s">
        <v>27</v>
      </c>
      <c r="K741">
        <v>768</v>
      </c>
      <c r="L741" t="s">
        <v>31</v>
      </c>
      <c r="M741">
        <v>64.403463684765214</v>
      </c>
    </row>
    <row r="742" spans="1:13" hidden="1" x14ac:dyDescent="0.3">
      <c r="A742" t="s">
        <v>2281</v>
      </c>
      <c r="B742" t="s">
        <v>28</v>
      </c>
      <c r="C742" t="s">
        <v>30</v>
      </c>
      <c r="D742">
        <v>2007</v>
      </c>
      <c r="E742">
        <v>248000</v>
      </c>
      <c r="F742" t="s">
        <v>34</v>
      </c>
      <c r="G742" t="s">
        <v>37</v>
      </c>
      <c r="H742" t="s">
        <v>27</v>
      </c>
      <c r="I742" t="s">
        <v>27</v>
      </c>
      <c r="J742" t="s">
        <v>27</v>
      </c>
      <c r="K742" t="s">
        <v>31</v>
      </c>
      <c r="L742">
        <v>385072</v>
      </c>
      <c r="M742">
        <v>64.403463684765214</v>
      </c>
    </row>
    <row r="743" spans="1:13" hidden="1" x14ac:dyDescent="0.3">
      <c r="A743" t="s">
        <v>2282</v>
      </c>
      <c r="B743" t="s">
        <v>28</v>
      </c>
      <c r="C743" t="s">
        <v>30</v>
      </c>
      <c r="D743">
        <v>2007</v>
      </c>
      <c r="E743" t="s">
        <v>31</v>
      </c>
      <c r="F743" t="s">
        <v>242</v>
      </c>
      <c r="G743" t="s">
        <v>85</v>
      </c>
      <c r="H743" t="s">
        <v>27</v>
      </c>
      <c r="I743" t="s">
        <v>27</v>
      </c>
      <c r="J743" t="s">
        <v>27</v>
      </c>
      <c r="K743" t="s">
        <v>31</v>
      </c>
      <c r="L743" t="s">
        <v>31</v>
      </c>
      <c r="M743">
        <v>64.403463684765214</v>
      </c>
    </row>
    <row r="744" spans="1:13" hidden="1" x14ac:dyDescent="0.3">
      <c r="A744" t="s">
        <v>2283</v>
      </c>
      <c r="B744" t="s">
        <v>91</v>
      </c>
      <c r="C744" t="s">
        <v>93</v>
      </c>
      <c r="D744">
        <v>2007</v>
      </c>
      <c r="E744">
        <v>600000</v>
      </c>
      <c r="F744" t="s">
        <v>53</v>
      </c>
      <c r="G744" t="s">
        <v>214</v>
      </c>
      <c r="H744" t="s">
        <v>33</v>
      </c>
      <c r="I744" t="s">
        <v>33</v>
      </c>
      <c r="J744" t="s">
        <v>33</v>
      </c>
      <c r="K744">
        <v>658331</v>
      </c>
      <c r="L744">
        <v>931627</v>
      </c>
      <c r="M744">
        <v>64.403463684765214</v>
      </c>
    </row>
    <row r="745" spans="1:13" hidden="1" x14ac:dyDescent="0.3">
      <c r="A745" t="s">
        <v>2284</v>
      </c>
      <c r="B745" t="s">
        <v>51</v>
      </c>
      <c r="C745" t="s">
        <v>194</v>
      </c>
      <c r="D745">
        <v>2007</v>
      </c>
      <c r="E745" t="s">
        <v>31</v>
      </c>
      <c r="F745" t="s">
        <v>73</v>
      </c>
      <c r="G745" t="s">
        <v>31</v>
      </c>
      <c r="H745" t="s">
        <v>27</v>
      </c>
      <c r="I745" t="s">
        <v>27</v>
      </c>
      <c r="J745" t="s">
        <v>27</v>
      </c>
      <c r="K745">
        <v>55000</v>
      </c>
      <c r="L745" t="s">
        <v>31</v>
      </c>
      <c r="M745">
        <v>64.403463684765214</v>
      </c>
    </row>
    <row r="746" spans="1:13" hidden="1" x14ac:dyDescent="0.3">
      <c r="A746" t="s">
        <v>2285</v>
      </c>
      <c r="B746" t="s">
        <v>28</v>
      </c>
      <c r="C746" t="s">
        <v>189</v>
      </c>
      <c r="D746">
        <v>2007</v>
      </c>
      <c r="E746">
        <v>300000</v>
      </c>
      <c r="F746" t="s">
        <v>34</v>
      </c>
      <c r="G746" t="s">
        <v>65</v>
      </c>
      <c r="H746" t="s">
        <v>27</v>
      </c>
      <c r="I746" t="s">
        <v>27</v>
      </c>
      <c r="J746" t="s">
        <v>27</v>
      </c>
      <c r="K746" t="s">
        <v>31</v>
      </c>
      <c r="L746">
        <v>465813</v>
      </c>
      <c r="M746">
        <v>64.403463684765214</v>
      </c>
    </row>
    <row r="747" spans="1:13" hidden="1" x14ac:dyDescent="0.3">
      <c r="A747" t="s">
        <v>2286</v>
      </c>
      <c r="B747" t="s">
        <v>28</v>
      </c>
      <c r="C747" t="s">
        <v>30</v>
      </c>
      <c r="D747">
        <v>2007</v>
      </c>
      <c r="E747" t="s">
        <v>31</v>
      </c>
      <c r="F747" t="s">
        <v>115</v>
      </c>
      <c r="G747" t="s">
        <v>37</v>
      </c>
      <c r="H747" t="s">
        <v>27</v>
      </c>
      <c r="I747" t="s">
        <v>27</v>
      </c>
      <c r="J747" t="s">
        <v>27</v>
      </c>
      <c r="K747">
        <v>2800</v>
      </c>
      <c r="L747" t="s">
        <v>31</v>
      </c>
      <c r="M747">
        <v>64.403463684765214</v>
      </c>
    </row>
    <row r="748" spans="1:13" hidden="1" x14ac:dyDescent="0.3">
      <c r="A748" t="s">
        <v>2287</v>
      </c>
      <c r="B748" t="s">
        <v>28</v>
      </c>
      <c r="C748" t="s">
        <v>189</v>
      </c>
      <c r="D748">
        <v>2007</v>
      </c>
      <c r="E748">
        <v>300000</v>
      </c>
      <c r="F748" t="s">
        <v>34</v>
      </c>
      <c r="G748" t="s">
        <v>68</v>
      </c>
      <c r="H748" t="s">
        <v>27</v>
      </c>
      <c r="I748" t="s">
        <v>27</v>
      </c>
      <c r="J748" t="s">
        <v>27</v>
      </c>
      <c r="K748">
        <v>27</v>
      </c>
      <c r="L748">
        <v>465813</v>
      </c>
      <c r="M748">
        <v>64.403463684765214</v>
      </c>
    </row>
    <row r="749" spans="1:13" hidden="1" x14ac:dyDescent="0.3">
      <c r="A749" t="s">
        <v>2288</v>
      </c>
      <c r="B749" t="s">
        <v>51</v>
      </c>
      <c r="C749" t="s">
        <v>121</v>
      </c>
      <c r="D749">
        <v>2007</v>
      </c>
      <c r="E749" t="s">
        <v>31</v>
      </c>
      <c r="F749" t="s">
        <v>161</v>
      </c>
      <c r="G749" t="s">
        <v>31</v>
      </c>
      <c r="H749" t="s">
        <v>27</v>
      </c>
      <c r="I749" t="s">
        <v>27</v>
      </c>
      <c r="J749" t="s">
        <v>27</v>
      </c>
      <c r="K749">
        <v>12500</v>
      </c>
      <c r="L749" t="s">
        <v>31</v>
      </c>
      <c r="M749">
        <v>64.403463684765214</v>
      </c>
    </row>
    <row r="750" spans="1:13" hidden="1" x14ac:dyDescent="0.3">
      <c r="A750" t="s">
        <v>2289</v>
      </c>
      <c r="B750" t="s">
        <v>51</v>
      </c>
      <c r="C750" t="s">
        <v>121</v>
      </c>
      <c r="D750">
        <v>2007</v>
      </c>
      <c r="E750" t="s">
        <v>31</v>
      </c>
      <c r="F750" t="s">
        <v>90</v>
      </c>
      <c r="G750" t="s">
        <v>54</v>
      </c>
      <c r="H750" t="s">
        <v>27</v>
      </c>
      <c r="I750" t="s">
        <v>27</v>
      </c>
      <c r="J750" t="s">
        <v>27</v>
      </c>
      <c r="K750">
        <v>656</v>
      </c>
      <c r="L750" t="s">
        <v>31</v>
      </c>
      <c r="M750">
        <v>64.403463684765214</v>
      </c>
    </row>
    <row r="751" spans="1:13" hidden="1" x14ac:dyDescent="0.3">
      <c r="A751" t="s">
        <v>2290</v>
      </c>
      <c r="B751" t="s">
        <v>51</v>
      </c>
      <c r="C751" t="s">
        <v>121</v>
      </c>
      <c r="D751">
        <v>2007</v>
      </c>
      <c r="E751" t="s">
        <v>31</v>
      </c>
      <c r="F751" t="s">
        <v>90</v>
      </c>
      <c r="G751" t="s">
        <v>31</v>
      </c>
      <c r="H751" t="s">
        <v>27</v>
      </c>
      <c r="I751" t="s">
        <v>27</v>
      </c>
      <c r="J751" t="s">
        <v>27</v>
      </c>
      <c r="K751">
        <v>1440</v>
      </c>
      <c r="L751" t="s">
        <v>31</v>
      </c>
      <c r="M751">
        <v>64.403463684765214</v>
      </c>
    </row>
    <row r="752" spans="1:13" hidden="1" x14ac:dyDescent="0.3">
      <c r="A752" t="s">
        <v>2291</v>
      </c>
      <c r="B752" t="s">
        <v>51</v>
      </c>
      <c r="C752" t="s">
        <v>121</v>
      </c>
      <c r="D752">
        <v>2007</v>
      </c>
      <c r="E752" t="s">
        <v>31</v>
      </c>
      <c r="F752" t="s">
        <v>115</v>
      </c>
      <c r="G752" t="s">
        <v>31</v>
      </c>
      <c r="H752" t="s">
        <v>27</v>
      </c>
      <c r="I752" t="s">
        <v>27</v>
      </c>
      <c r="J752" t="s">
        <v>27</v>
      </c>
      <c r="K752">
        <v>500</v>
      </c>
      <c r="L752" t="s">
        <v>31</v>
      </c>
      <c r="M752">
        <v>64.403463684765214</v>
      </c>
    </row>
    <row r="753" spans="1:13" hidden="1" x14ac:dyDescent="0.3">
      <c r="A753" t="s">
        <v>2292</v>
      </c>
      <c r="B753" t="s">
        <v>28</v>
      </c>
      <c r="C753" t="s">
        <v>30</v>
      </c>
      <c r="D753">
        <v>2007</v>
      </c>
      <c r="E753" t="s">
        <v>31</v>
      </c>
      <c r="F753" t="s">
        <v>102</v>
      </c>
      <c r="G753" t="s">
        <v>37</v>
      </c>
      <c r="H753" t="s">
        <v>27</v>
      </c>
      <c r="I753" t="s">
        <v>27</v>
      </c>
      <c r="J753" t="s">
        <v>27</v>
      </c>
      <c r="K753">
        <v>7000</v>
      </c>
      <c r="L753" t="s">
        <v>31</v>
      </c>
      <c r="M753">
        <v>64.403463684765214</v>
      </c>
    </row>
    <row r="754" spans="1:13" hidden="1" x14ac:dyDescent="0.3">
      <c r="A754" t="s">
        <v>2293</v>
      </c>
      <c r="B754" t="s">
        <v>28</v>
      </c>
      <c r="C754" t="s">
        <v>30</v>
      </c>
      <c r="D754">
        <v>2007</v>
      </c>
      <c r="E754">
        <v>500000</v>
      </c>
      <c r="F754" t="s">
        <v>242</v>
      </c>
      <c r="G754" t="s">
        <v>209</v>
      </c>
      <c r="H754" t="s">
        <v>33</v>
      </c>
      <c r="I754" t="s">
        <v>27</v>
      </c>
      <c r="J754" t="s">
        <v>27</v>
      </c>
      <c r="K754">
        <v>192488</v>
      </c>
      <c r="L754">
        <v>776356</v>
      </c>
      <c r="M754">
        <v>64.403463684765214</v>
      </c>
    </row>
    <row r="755" spans="1:13" hidden="1" x14ac:dyDescent="0.3">
      <c r="A755" t="s">
        <v>2294</v>
      </c>
      <c r="B755" t="s">
        <v>28</v>
      </c>
      <c r="C755" t="s">
        <v>30</v>
      </c>
      <c r="D755">
        <v>2007</v>
      </c>
      <c r="E755">
        <v>77700</v>
      </c>
      <c r="F755" t="s">
        <v>75</v>
      </c>
      <c r="G755" t="s">
        <v>82</v>
      </c>
      <c r="H755" t="s">
        <v>33</v>
      </c>
      <c r="I755" t="s">
        <v>27</v>
      </c>
      <c r="J755" t="s">
        <v>27</v>
      </c>
      <c r="K755">
        <v>79728</v>
      </c>
      <c r="L755">
        <v>120646</v>
      </c>
      <c r="M755">
        <v>64.403463684765214</v>
      </c>
    </row>
    <row r="756" spans="1:13" hidden="1" x14ac:dyDescent="0.3">
      <c r="A756" t="s">
        <v>2295</v>
      </c>
      <c r="B756" t="s">
        <v>51</v>
      </c>
      <c r="C756" t="s">
        <v>121</v>
      </c>
      <c r="D756">
        <v>2007</v>
      </c>
      <c r="E756" t="s">
        <v>31</v>
      </c>
      <c r="F756" t="s">
        <v>119</v>
      </c>
      <c r="G756" t="s">
        <v>54</v>
      </c>
      <c r="H756" t="s">
        <v>27</v>
      </c>
      <c r="I756" t="s">
        <v>27</v>
      </c>
      <c r="J756" t="s">
        <v>27</v>
      </c>
      <c r="K756">
        <v>2272</v>
      </c>
      <c r="L756" t="s">
        <v>31</v>
      </c>
      <c r="M756">
        <v>64.403463684765214</v>
      </c>
    </row>
    <row r="757" spans="1:13" hidden="1" x14ac:dyDescent="0.3">
      <c r="A757" t="s">
        <v>2296</v>
      </c>
      <c r="B757" t="s">
        <v>28</v>
      </c>
      <c r="C757" t="s">
        <v>30</v>
      </c>
      <c r="D757">
        <v>2007</v>
      </c>
      <c r="E757" t="s">
        <v>31</v>
      </c>
      <c r="F757" t="s">
        <v>45</v>
      </c>
      <c r="G757" t="s">
        <v>37</v>
      </c>
      <c r="H757" t="s">
        <v>27</v>
      </c>
      <c r="I757" t="s">
        <v>27</v>
      </c>
      <c r="J757" t="s">
        <v>27</v>
      </c>
      <c r="K757">
        <v>2352</v>
      </c>
      <c r="L757" t="s">
        <v>31</v>
      </c>
      <c r="M757">
        <v>64.403463684765214</v>
      </c>
    </row>
    <row r="758" spans="1:13" hidden="1" x14ac:dyDescent="0.3">
      <c r="A758" t="s">
        <v>2297</v>
      </c>
      <c r="B758" t="s">
        <v>39</v>
      </c>
      <c r="C758" t="s">
        <v>157</v>
      </c>
      <c r="D758">
        <v>2007</v>
      </c>
      <c r="E758">
        <v>300000</v>
      </c>
      <c r="F758" t="s">
        <v>34</v>
      </c>
      <c r="G758" t="s">
        <v>31</v>
      </c>
      <c r="H758" t="s">
        <v>27</v>
      </c>
      <c r="I758" t="s">
        <v>27</v>
      </c>
      <c r="J758" t="s">
        <v>33</v>
      </c>
      <c r="K758" t="s">
        <v>31</v>
      </c>
      <c r="L758">
        <v>465813</v>
      </c>
      <c r="M758">
        <v>64.403463684765214</v>
      </c>
    </row>
    <row r="759" spans="1:13" hidden="1" x14ac:dyDescent="0.3">
      <c r="A759" t="s">
        <v>653</v>
      </c>
      <c r="B759" t="s">
        <v>28</v>
      </c>
      <c r="C759" t="s">
        <v>97</v>
      </c>
      <c r="D759">
        <v>2008</v>
      </c>
      <c r="E759">
        <v>1300000</v>
      </c>
      <c r="F759" t="s">
        <v>34</v>
      </c>
      <c r="G759" t="s">
        <v>100</v>
      </c>
      <c r="H759" t="s">
        <v>27</v>
      </c>
      <c r="I759" t="s">
        <v>27</v>
      </c>
      <c r="J759" t="s">
        <v>33</v>
      </c>
      <c r="K759">
        <v>150</v>
      </c>
      <c r="L759">
        <v>1943897</v>
      </c>
      <c r="M759">
        <v>66.87597417890872</v>
      </c>
    </row>
    <row r="760" spans="1:13" hidden="1" x14ac:dyDescent="0.3">
      <c r="A760" t="s">
        <v>655</v>
      </c>
      <c r="B760" t="s">
        <v>51</v>
      </c>
      <c r="C760" t="s">
        <v>121</v>
      </c>
      <c r="D760">
        <v>2008</v>
      </c>
      <c r="E760" t="s">
        <v>31</v>
      </c>
      <c r="F760" t="s">
        <v>119</v>
      </c>
      <c r="G760" t="s">
        <v>54</v>
      </c>
      <c r="H760" t="s">
        <v>27</v>
      </c>
      <c r="I760" t="s">
        <v>27</v>
      </c>
      <c r="J760" t="s">
        <v>33</v>
      </c>
      <c r="K760">
        <v>12870</v>
      </c>
      <c r="L760" t="s">
        <v>31</v>
      </c>
      <c r="M760">
        <v>66.87597417890872</v>
      </c>
    </row>
    <row r="761" spans="1:13" hidden="1" x14ac:dyDescent="0.3">
      <c r="A761" t="s">
        <v>656</v>
      </c>
      <c r="B761" t="s">
        <v>51</v>
      </c>
      <c r="C761" t="s">
        <v>121</v>
      </c>
      <c r="D761">
        <v>2008</v>
      </c>
      <c r="E761">
        <v>1000000</v>
      </c>
      <c r="F761" t="s">
        <v>109</v>
      </c>
      <c r="G761" t="s">
        <v>54</v>
      </c>
      <c r="H761" t="s">
        <v>33</v>
      </c>
      <c r="I761" t="s">
        <v>33</v>
      </c>
      <c r="J761" t="s">
        <v>33</v>
      </c>
      <c r="K761">
        <v>289122</v>
      </c>
      <c r="L761">
        <v>1495305</v>
      </c>
      <c r="M761">
        <v>66.87597417890872</v>
      </c>
    </row>
    <row r="762" spans="1:13" hidden="1" x14ac:dyDescent="0.3">
      <c r="A762" t="s">
        <v>657</v>
      </c>
      <c r="B762" t="s">
        <v>91</v>
      </c>
      <c r="C762" t="s">
        <v>105</v>
      </c>
      <c r="D762">
        <v>2008</v>
      </c>
      <c r="E762" t="s">
        <v>31</v>
      </c>
      <c r="F762" t="s">
        <v>130</v>
      </c>
      <c r="G762" t="s">
        <v>31</v>
      </c>
      <c r="H762" t="s">
        <v>27</v>
      </c>
      <c r="I762" t="s">
        <v>27</v>
      </c>
      <c r="J762" t="s">
        <v>27</v>
      </c>
      <c r="K762" t="s">
        <v>31</v>
      </c>
      <c r="L762" t="s">
        <v>31</v>
      </c>
      <c r="M762">
        <v>66.87597417890872</v>
      </c>
    </row>
    <row r="763" spans="1:13" hidden="1" x14ac:dyDescent="0.3">
      <c r="A763" t="s">
        <v>658</v>
      </c>
      <c r="B763" t="s">
        <v>28</v>
      </c>
      <c r="C763" t="s">
        <v>97</v>
      </c>
      <c r="D763">
        <v>2008</v>
      </c>
      <c r="E763">
        <v>450000</v>
      </c>
      <c r="F763" t="s">
        <v>34</v>
      </c>
      <c r="G763" t="s">
        <v>100</v>
      </c>
      <c r="H763" t="s">
        <v>27</v>
      </c>
      <c r="I763" t="s">
        <v>27</v>
      </c>
      <c r="J763" t="s">
        <v>33</v>
      </c>
      <c r="K763">
        <v>177</v>
      </c>
      <c r="L763">
        <v>672887</v>
      </c>
      <c r="M763">
        <v>66.87597417890872</v>
      </c>
    </row>
    <row r="764" spans="1:13" hidden="1" x14ac:dyDescent="0.3">
      <c r="A764" t="s">
        <v>659</v>
      </c>
      <c r="B764" t="s">
        <v>51</v>
      </c>
      <c r="C764" t="s">
        <v>121</v>
      </c>
      <c r="D764">
        <v>2008</v>
      </c>
      <c r="E764" t="s">
        <v>31</v>
      </c>
      <c r="F764" t="s">
        <v>47</v>
      </c>
      <c r="G764" t="s">
        <v>54</v>
      </c>
      <c r="H764" t="s">
        <v>27</v>
      </c>
      <c r="I764" t="s">
        <v>27</v>
      </c>
      <c r="J764" t="s">
        <v>27</v>
      </c>
      <c r="K764" t="s">
        <v>31</v>
      </c>
      <c r="L764" t="s">
        <v>31</v>
      </c>
      <c r="M764">
        <v>66.87597417890872</v>
      </c>
    </row>
    <row r="765" spans="1:13" hidden="1" x14ac:dyDescent="0.3">
      <c r="A765" t="s">
        <v>660</v>
      </c>
      <c r="B765" t="s">
        <v>28</v>
      </c>
      <c r="C765" t="s">
        <v>30</v>
      </c>
      <c r="D765">
        <v>2008</v>
      </c>
      <c r="E765" t="s">
        <v>31</v>
      </c>
      <c r="F765" t="s">
        <v>32</v>
      </c>
      <c r="G765" t="s">
        <v>37</v>
      </c>
      <c r="H765" t="s">
        <v>33</v>
      </c>
      <c r="I765" t="s">
        <v>27</v>
      </c>
      <c r="J765" t="s">
        <v>33</v>
      </c>
      <c r="K765">
        <v>10000</v>
      </c>
      <c r="L765" t="s">
        <v>31</v>
      </c>
      <c r="M765">
        <v>66.87597417890872</v>
      </c>
    </row>
    <row r="766" spans="1:13" hidden="1" x14ac:dyDescent="0.3">
      <c r="A766" t="s">
        <v>661</v>
      </c>
      <c r="B766" t="s">
        <v>28</v>
      </c>
      <c r="C766" t="s">
        <v>30</v>
      </c>
      <c r="D766">
        <v>2008</v>
      </c>
      <c r="E766" t="s">
        <v>31</v>
      </c>
      <c r="F766" t="s">
        <v>161</v>
      </c>
      <c r="G766" t="s">
        <v>82</v>
      </c>
      <c r="H766" t="s">
        <v>27</v>
      </c>
      <c r="I766" t="s">
        <v>27</v>
      </c>
      <c r="J766" t="s">
        <v>27</v>
      </c>
      <c r="K766">
        <v>55000</v>
      </c>
      <c r="L766" t="s">
        <v>31</v>
      </c>
      <c r="M766">
        <v>66.87597417890872</v>
      </c>
    </row>
    <row r="767" spans="1:13" hidden="1" x14ac:dyDescent="0.3">
      <c r="A767" t="s">
        <v>662</v>
      </c>
      <c r="B767" t="s">
        <v>28</v>
      </c>
      <c r="C767" t="s">
        <v>30</v>
      </c>
      <c r="D767">
        <v>2008</v>
      </c>
      <c r="E767" t="s">
        <v>31</v>
      </c>
      <c r="F767" t="s">
        <v>49</v>
      </c>
      <c r="G767" t="s">
        <v>31</v>
      </c>
      <c r="H767" t="s">
        <v>27</v>
      </c>
      <c r="I767" t="s">
        <v>27</v>
      </c>
      <c r="J767" t="s">
        <v>27</v>
      </c>
      <c r="K767" t="s">
        <v>31</v>
      </c>
      <c r="L767" t="s">
        <v>31</v>
      </c>
      <c r="M767">
        <v>66.87597417890872</v>
      </c>
    </row>
    <row r="768" spans="1:13" hidden="1" x14ac:dyDescent="0.3">
      <c r="A768" t="s">
        <v>663</v>
      </c>
      <c r="B768" t="s">
        <v>51</v>
      </c>
      <c r="C768" t="s">
        <v>121</v>
      </c>
      <c r="D768">
        <v>2008</v>
      </c>
      <c r="E768" t="s">
        <v>31</v>
      </c>
      <c r="F768" t="s">
        <v>115</v>
      </c>
      <c r="G768" t="s">
        <v>290</v>
      </c>
      <c r="H768" t="s">
        <v>27</v>
      </c>
      <c r="I768" t="s">
        <v>27</v>
      </c>
      <c r="J768" t="s">
        <v>27</v>
      </c>
      <c r="K768" t="s">
        <v>31</v>
      </c>
      <c r="L768" t="s">
        <v>31</v>
      </c>
      <c r="M768">
        <v>66.87597417890872</v>
      </c>
    </row>
    <row r="769" spans="1:13" hidden="1" x14ac:dyDescent="0.3">
      <c r="A769" t="s">
        <v>664</v>
      </c>
      <c r="B769" t="s">
        <v>28</v>
      </c>
      <c r="C769" t="s">
        <v>30</v>
      </c>
      <c r="D769">
        <v>2008</v>
      </c>
      <c r="E769">
        <v>75000</v>
      </c>
      <c r="F769" t="s">
        <v>73</v>
      </c>
      <c r="G769" t="s">
        <v>82</v>
      </c>
      <c r="H769" t="s">
        <v>27</v>
      </c>
      <c r="I769" t="s">
        <v>27</v>
      </c>
      <c r="J769" t="s">
        <v>27</v>
      </c>
      <c r="K769">
        <v>500000</v>
      </c>
      <c r="L769">
        <v>112148</v>
      </c>
      <c r="M769">
        <v>66.87597417890872</v>
      </c>
    </row>
    <row r="770" spans="1:13" hidden="1" x14ac:dyDescent="0.3">
      <c r="A770" t="s">
        <v>665</v>
      </c>
      <c r="B770" t="s">
        <v>28</v>
      </c>
      <c r="C770" t="s">
        <v>30</v>
      </c>
      <c r="D770">
        <v>2008</v>
      </c>
      <c r="E770">
        <v>1200000</v>
      </c>
      <c r="F770" t="s">
        <v>34</v>
      </c>
      <c r="G770" t="s">
        <v>666</v>
      </c>
      <c r="H770" t="s">
        <v>27</v>
      </c>
      <c r="I770" t="s">
        <v>27</v>
      </c>
      <c r="J770" t="s">
        <v>33</v>
      </c>
      <c r="K770" t="s">
        <v>31</v>
      </c>
      <c r="L770">
        <v>1794366</v>
      </c>
      <c r="M770">
        <v>66.87597417890872</v>
      </c>
    </row>
    <row r="771" spans="1:13" hidden="1" x14ac:dyDescent="0.3">
      <c r="A771" t="s">
        <v>667</v>
      </c>
      <c r="B771" t="s">
        <v>28</v>
      </c>
      <c r="C771" t="s">
        <v>30</v>
      </c>
      <c r="D771">
        <v>2008</v>
      </c>
      <c r="E771" t="s">
        <v>31</v>
      </c>
      <c r="F771" t="s">
        <v>242</v>
      </c>
      <c r="G771" t="s">
        <v>31</v>
      </c>
      <c r="H771" t="s">
        <v>27</v>
      </c>
      <c r="I771" t="s">
        <v>27</v>
      </c>
      <c r="J771" t="s">
        <v>27</v>
      </c>
      <c r="K771" t="s">
        <v>31</v>
      </c>
      <c r="L771" t="s">
        <v>31</v>
      </c>
      <c r="M771">
        <v>66.87597417890872</v>
      </c>
    </row>
    <row r="772" spans="1:13" hidden="1" x14ac:dyDescent="0.3">
      <c r="A772" t="s">
        <v>668</v>
      </c>
      <c r="B772" t="s">
        <v>28</v>
      </c>
      <c r="C772" t="s">
        <v>30</v>
      </c>
      <c r="D772">
        <v>2008</v>
      </c>
      <c r="E772" t="s">
        <v>31</v>
      </c>
      <c r="F772" t="s">
        <v>234</v>
      </c>
      <c r="G772" t="s">
        <v>31</v>
      </c>
      <c r="H772" t="s">
        <v>27</v>
      </c>
      <c r="I772" t="s">
        <v>27</v>
      </c>
      <c r="J772" t="s">
        <v>27</v>
      </c>
      <c r="K772" t="s">
        <v>31</v>
      </c>
      <c r="L772" t="s">
        <v>31</v>
      </c>
      <c r="M772">
        <v>66.87597417890872</v>
      </c>
    </row>
    <row r="773" spans="1:13" hidden="1" x14ac:dyDescent="0.3">
      <c r="A773" t="s">
        <v>669</v>
      </c>
      <c r="B773" t="s">
        <v>28</v>
      </c>
      <c r="C773" t="s">
        <v>30</v>
      </c>
      <c r="D773">
        <v>2008</v>
      </c>
      <c r="E773" t="s">
        <v>31</v>
      </c>
      <c r="F773" t="s">
        <v>670</v>
      </c>
      <c r="G773" t="s">
        <v>31</v>
      </c>
      <c r="H773" t="s">
        <v>27</v>
      </c>
      <c r="I773" t="s">
        <v>27</v>
      </c>
      <c r="J773" t="s">
        <v>27</v>
      </c>
      <c r="K773" t="s">
        <v>31</v>
      </c>
      <c r="L773" t="s">
        <v>31</v>
      </c>
      <c r="M773">
        <v>66.87597417890872</v>
      </c>
    </row>
    <row r="774" spans="1:13" hidden="1" x14ac:dyDescent="0.3">
      <c r="A774" t="s">
        <v>671</v>
      </c>
      <c r="B774" t="s">
        <v>28</v>
      </c>
      <c r="C774" t="s">
        <v>30</v>
      </c>
      <c r="D774">
        <v>2008</v>
      </c>
      <c r="E774" t="s">
        <v>31</v>
      </c>
      <c r="F774" t="s">
        <v>45</v>
      </c>
      <c r="G774" t="s">
        <v>37</v>
      </c>
      <c r="H774" t="s">
        <v>27</v>
      </c>
      <c r="I774" t="s">
        <v>27</v>
      </c>
      <c r="J774" t="s">
        <v>27</v>
      </c>
      <c r="K774">
        <v>73006</v>
      </c>
      <c r="L774" t="s">
        <v>31</v>
      </c>
      <c r="M774">
        <v>66.87597417890872</v>
      </c>
    </row>
    <row r="775" spans="1:13" hidden="1" x14ac:dyDescent="0.3">
      <c r="A775" t="s">
        <v>672</v>
      </c>
      <c r="B775" t="s">
        <v>28</v>
      </c>
      <c r="C775" t="s">
        <v>30</v>
      </c>
      <c r="D775">
        <v>2008</v>
      </c>
      <c r="E775" t="s">
        <v>31</v>
      </c>
      <c r="F775" t="s">
        <v>75</v>
      </c>
      <c r="G775" t="s">
        <v>181</v>
      </c>
      <c r="H775" t="s">
        <v>27</v>
      </c>
      <c r="I775" t="s">
        <v>27</v>
      </c>
      <c r="J775" t="s">
        <v>27</v>
      </c>
      <c r="K775">
        <v>10745</v>
      </c>
      <c r="L775" t="s">
        <v>31</v>
      </c>
      <c r="M775">
        <v>66.87597417890872</v>
      </c>
    </row>
    <row r="776" spans="1:13" hidden="1" x14ac:dyDescent="0.3">
      <c r="A776" t="s">
        <v>673</v>
      </c>
      <c r="B776" t="s">
        <v>28</v>
      </c>
      <c r="C776" t="s">
        <v>30</v>
      </c>
      <c r="D776">
        <v>2008</v>
      </c>
      <c r="E776" t="s">
        <v>31</v>
      </c>
      <c r="F776" t="s">
        <v>674</v>
      </c>
      <c r="G776" t="s">
        <v>37</v>
      </c>
      <c r="H776" t="s">
        <v>27</v>
      </c>
      <c r="I776" t="s">
        <v>27</v>
      </c>
      <c r="J776" t="s">
        <v>27</v>
      </c>
      <c r="K776">
        <v>750</v>
      </c>
      <c r="L776" t="s">
        <v>31</v>
      </c>
      <c r="M776">
        <v>66.87597417890872</v>
      </c>
    </row>
    <row r="777" spans="1:13" hidden="1" x14ac:dyDescent="0.3">
      <c r="A777" t="s">
        <v>675</v>
      </c>
      <c r="B777" t="s">
        <v>28</v>
      </c>
      <c r="C777" t="s">
        <v>30</v>
      </c>
      <c r="D777">
        <v>2008</v>
      </c>
      <c r="E777" t="s">
        <v>31</v>
      </c>
      <c r="F777" t="s">
        <v>102</v>
      </c>
      <c r="G777" t="s">
        <v>31</v>
      </c>
      <c r="H777" t="s">
        <v>27</v>
      </c>
      <c r="I777" t="s">
        <v>27</v>
      </c>
      <c r="J777" t="s">
        <v>27</v>
      </c>
      <c r="K777">
        <v>3000</v>
      </c>
      <c r="L777" t="s">
        <v>31</v>
      </c>
      <c r="M777">
        <v>66.87597417890872</v>
      </c>
    </row>
    <row r="778" spans="1:13" hidden="1" x14ac:dyDescent="0.3">
      <c r="A778" t="s">
        <v>676</v>
      </c>
      <c r="B778" t="s">
        <v>51</v>
      </c>
      <c r="C778" t="s">
        <v>121</v>
      </c>
      <c r="D778">
        <v>2008</v>
      </c>
      <c r="E778">
        <v>23000</v>
      </c>
      <c r="F778" t="s">
        <v>60</v>
      </c>
      <c r="G778" t="s">
        <v>54</v>
      </c>
      <c r="H778" t="s">
        <v>27</v>
      </c>
      <c r="I778" t="s">
        <v>27</v>
      </c>
      <c r="J778" t="s">
        <v>33</v>
      </c>
      <c r="K778">
        <v>104755</v>
      </c>
      <c r="L778">
        <v>34392</v>
      </c>
      <c r="M778">
        <v>66.87597417890872</v>
      </c>
    </row>
    <row r="779" spans="1:13" hidden="1" x14ac:dyDescent="0.3">
      <c r="A779" t="s">
        <v>677</v>
      </c>
      <c r="B779" t="s">
        <v>51</v>
      </c>
      <c r="C779" t="s">
        <v>134</v>
      </c>
      <c r="D779">
        <v>2008</v>
      </c>
      <c r="E779" t="s">
        <v>31</v>
      </c>
      <c r="F779" t="s">
        <v>73</v>
      </c>
      <c r="G779" t="s">
        <v>31</v>
      </c>
      <c r="H779" t="s">
        <v>27</v>
      </c>
      <c r="I779" t="s">
        <v>27</v>
      </c>
      <c r="J779" t="s">
        <v>27</v>
      </c>
      <c r="K779" t="s">
        <v>31</v>
      </c>
      <c r="L779" t="s">
        <v>31</v>
      </c>
      <c r="M779">
        <v>66.87597417890872</v>
      </c>
    </row>
    <row r="780" spans="1:13" hidden="1" x14ac:dyDescent="0.3">
      <c r="A780" t="s">
        <v>678</v>
      </c>
      <c r="B780" t="s">
        <v>51</v>
      </c>
      <c r="C780" t="s">
        <v>121</v>
      </c>
      <c r="D780">
        <v>2008</v>
      </c>
      <c r="E780" t="s">
        <v>31</v>
      </c>
      <c r="F780" t="s">
        <v>49</v>
      </c>
      <c r="G780" t="s">
        <v>54</v>
      </c>
      <c r="H780" t="s">
        <v>33</v>
      </c>
      <c r="I780" t="s">
        <v>33</v>
      </c>
      <c r="J780" t="s">
        <v>33</v>
      </c>
      <c r="K780">
        <v>313357</v>
      </c>
      <c r="L780" t="s">
        <v>31</v>
      </c>
      <c r="M780">
        <v>66.87597417890872</v>
      </c>
    </row>
    <row r="781" spans="1:13" hidden="1" x14ac:dyDescent="0.3">
      <c r="A781" t="s">
        <v>679</v>
      </c>
      <c r="B781" t="s">
        <v>51</v>
      </c>
      <c r="C781" t="s">
        <v>121</v>
      </c>
      <c r="D781">
        <v>2008</v>
      </c>
      <c r="E781" t="s">
        <v>31</v>
      </c>
      <c r="F781" t="s">
        <v>81</v>
      </c>
      <c r="G781" t="s">
        <v>31</v>
      </c>
      <c r="H781" t="s">
        <v>27</v>
      </c>
      <c r="I781" t="s">
        <v>27</v>
      </c>
      <c r="J781" t="s">
        <v>27</v>
      </c>
      <c r="K781">
        <v>10663</v>
      </c>
      <c r="L781" t="s">
        <v>31</v>
      </c>
      <c r="M781">
        <v>66.87597417890872</v>
      </c>
    </row>
    <row r="782" spans="1:13" hidden="1" x14ac:dyDescent="0.3">
      <c r="A782" t="s">
        <v>680</v>
      </c>
      <c r="B782" t="s">
        <v>39</v>
      </c>
      <c r="C782" t="s">
        <v>142</v>
      </c>
      <c r="D782">
        <v>2008</v>
      </c>
      <c r="E782">
        <v>2000000</v>
      </c>
      <c r="F782" t="s">
        <v>34</v>
      </c>
      <c r="G782" t="s">
        <v>31</v>
      </c>
      <c r="H782" t="s">
        <v>27</v>
      </c>
      <c r="I782" t="s">
        <v>27</v>
      </c>
      <c r="J782" t="s">
        <v>33</v>
      </c>
      <c r="K782">
        <v>55020</v>
      </c>
      <c r="L782">
        <v>2990611</v>
      </c>
      <c r="M782">
        <v>66.87597417890872</v>
      </c>
    </row>
    <row r="783" spans="1:13" hidden="1" x14ac:dyDescent="0.3">
      <c r="A783" t="s">
        <v>681</v>
      </c>
      <c r="B783" t="s">
        <v>51</v>
      </c>
      <c r="C783" t="s">
        <v>121</v>
      </c>
      <c r="D783">
        <v>2008</v>
      </c>
      <c r="E783" t="s">
        <v>31</v>
      </c>
      <c r="F783" t="s">
        <v>70</v>
      </c>
      <c r="G783" t="s">
        <v>54</v>
      </c>
      <c r="H783" t="s">
        <v>27</v>
      </c>
      <c r="I783" t="s">
        <v>27</v>
      </c>
      <c r="J783" t="s">
        <v>27</v>
      </c>
      <c r="K783">
        <v>1500</v>
      </c>
      <c r="L783" t="s">
        <v>31</v>
      </c>
      <c r="M783">
        <v>66.87597417890872</v>
      </c>
    </row>
    <row r="784" spans="1:13" hidden="1" x14ac:dyDescent="0.3">
      <c r="A784" t="s">
        <v>682</v>
      </c>
      <c r="B784" t="s">
        <v>51</v>
      </c>
      <c r="C784" t="s">
        <v>121</v>
      </c>
      <c r="D784">
        <v>2008</v>
      </c>
      <c r="E784" t="s">
        <v>31</v>
      </c>
      <c r="F784" t="s">
        <v>604</v>
      </c>
      <c r="G784" t="s">
        <v>31</v>
      </c>
      <c r="H784" t="s">
        <v>27</v>
      </c>
      <c r="I784" t="s">
        <v>27</v>
      </c>
      <c r="J784" t="s">
        <v>27</v>
      </c>
      <c r="K784">
        <v>100000</v>
      </c>
      <c r="L784" t="s">
        <v>31</v>
      </c>
      <c r="M784">
        <v>66.87597417890872</v>
      </c>
    </row>
    <row r="785" spans="1:13" hidden="1" x14ac:dyDescent="0.3">
      <c r="A785" t="s">
        <v>683</v>
      </c>
      <c r="B785" t="s">
        <v>28</v>
      </c>
      <c r="C785" t="s">
        <v>67</v>
      </c>
      <c r="D785">
        <v>2008</v>
      </c>
      <c r="E785">
        <v>360000</v>
      </c>
      <c r="F785" t="s">
        <v>34</v>
      </c>
      <c r="G785" t="s">
        <v>31</v>
      </c>
      <c r="H785" t="s">
        <v>27</v>
      </c>
      <c r="I785" t="s">
        <v>27</v>
      </c>
      <c r="J785" t="s">
        <v>27</v>
      </c>
      <c r="K785" t="s">
        <v>31</v>
      </c>
      <c r="L785">
        <v>538310</v>
      </c>
      <c r="M785">
        <v>66.87597417890872</v>
      </c>
    </row>
    <row r="786" spans="1:13" hidden="1" x14ac:dyDescent="0.3">
      <c r="A786" t="s">
        <v>1004</v>
      </c>
      <c r="B786" t="s">
        <v>91</v>
      </c>
      <c r="C786" t="s">
        <v>105</v>
      </c>
      <c r="D786">
        <v>2008</v>
      </c>
      <c r="E786" t="s">
        <v>31</v>
      </c>
      <c r="F786" t="s">
        <v>47</v>
      </c>
      <c r="G786" t="s">
        <v>31</v>
      </c>
      <c r="H786" t="s">
        <v>27</v>
      </c>
      <c r="I786" t="s">
        <v>27</v>
      </c>
      <c r="J786" t="s">
        <v>27</v>
      </c>
      <c r="K786">
        <v>150</v>
      </c>
      <c r="L786" t="s">
        <v>31</v>
      </c>
      <c r="M786">
        <v>66.87597417890872</v>
      </c>
    </row>
    <row r="787" spans="1:13" hidden="1" x14ac:dyDescent="0.3">
      <c r="A787" t="s">
        <v>1005</v>
      </c>
      <c r="B787" t="s">
        <v>28</v>
      </c>
      <c r="C787" t="s">
        <v>30</v>
      </c>
      <c r="D787">
        <v>2008</v>
      </c>
      <c r="E787" t="s">
        <v>31</v>
      </c>
      <c r="F787" t="s">
        <v>81</v>
      </c>
      <c r="G787" t="s">
        <v>31</v>
      </c>
      <c r="H787" t="s">
        <v>33</v>
      </c>
      <c r="I787" t="s">
        <v>27</v>
      </c>
      <c r="J787" t="s">
        <v>27</v>
      </c>
      <c r="K787">
        <v>25000</v>
      </c>
      <c r="L787" t="s">
        <v>31</v>
      </c>
      <c r="M787">
        <v>66.87597417890872</v>
      </c>
    </row>
    <row r="788" spans="1:13" x14ac:dyDescent="0.3">
      <c r="D788" s="2" t="s">
        <v>2571</v>
      </c>
      <c r="E788" s="2">
        <f>SUM(E708)</f>
        <v>125000</v>
      </c>
    </row>
    <row r="789" spans="1:13" x14ac:dyDescent="0.3">
      <c r="A789" t="s">
        <v>1006</v>
      </c>
      <c r="B789" t="s">
        <v>51</v>
      </c>
      <c r="C789" t="s">
        <v>121</v>
      </c>
      <c r="D789">
        <v>2008</v>
      </c>
      <c r="E789">
        <v>360000</v>
      </c>
      <c r="F789" t="s">
        <v>119</v>
      </c>
      <c r="G789" t="s">
        <v>54</v>
      </c>
      <c r="H789" t="s">
        <v>33</v>
      </c>
      <c r="I789" t="s">
        <v>27</v>
      </c>
      <c r="J789" t="s">
        <v>33</v>
      </c>
      <c r="K789">
        <v>190000</v>
      </c>
      <c r="L789">
        <v>538310</v>
      </c>
      <c r="M789">
        <v>66.87597417890872</v>
      </c>
    </row>
    <row r="790" spans="1:13" hidden="1" x14ac:dyDescent="0.3">
      <c r="A790" t="s">
        <v>1007</v>
      </c>
      <c r="B790" t="s">
        <v>43</v>
      </c>
      <c r="C790" t="s">
        <v>114</v>
      </c>
      <c r="D790">
        <v>2008</v>
      </c>
      <c r="E790" t="s">
        <v>31</v>
      </c>
      <c r="F790" t="s">
        <v>117</v>
      </c>
      <c r="G790" t="s">
        <v>31</v>
      </c>
      <c r="H790" t="s">
        <v>33</v>
      </c>
      <c r="I790" t="s">
        <v>33</v>
      </c>
      <c r="J790" t="s">
        <v>33</v>
      </c>
      <c r="K790">
        <v>16</v>
      </c>
      <c r="L790" t="s">
        <v>31</v>
      </c>
      <c r="M790">
        <v>66.87597417890872</v>
      </c>
    </row>
    <row r="791" spans="1:13" hidden="1" x14ac:dyDescent="0.3">
      <c r="A791" t="s">
        <v>1008</v>
      </c>
      <c r="B791" t="s">
        <v>91</v>
      </c>
      <c r="C791" t="s">
        <v>105</v>
      </c>
      <c r="D791">
        <v>2008</v>
      </c>
      <c r="E791" t="s">
        <v>31</v>
      </c>
      <c r="F791" t="s">
        <v>47</v>
      </c>
      <c r="G791" t="s">
        <v>31</v>
      </c>
      <c r="H791" t="s">
        <v>27</v>
      </c>
      <c r="I791" t="s">
        <v>27</v>
      </c>
      <c r="J791" t="s">
        <v>27</v>
      </c>
      <c r="K791">
        <v>14201</v>
      </c>
      <c r="L791" t="s">
        <v>31</v>
      </c>
      <c r="M791">
        <v>66.87597417890872</v>
      </c>
    </row>
    <row r="792" spans="1:13" hidden="1" x14ac:dyDescent="0.3">
      <c r="A792" t="s">
        <v>1009</v>
      </c>
      <c r="B792" t="s">
        <v>51</v>
      </c>
      <c r="C792" t="s">
        <v>134</v>
      </c>
      <c r="D792">
        <v>2008</v>
      </c>
      <c r="E792" t="s">
        <v>31</v>
      </c>
      <c r="F792" t="s">
        <v>47</v>
      </c>
      <c r="G792" t="s">
        <v>31</v>
      </c>
      <c r="H792" t="s">
        <v>27</v>
      </c>
      <c r="I792" t="s">
        <v>27</v>
      </c>
      <c r="J792" t="s">
        <v>27</v>
      </c>
      <c r="K792">
        <v>16</v>
      </c>
      <c r="L792" t="s">
        <v>31</v>
      </c>
      <c r="M792">
        <v>66.87597417890872</v>
      </c>
    </row>
    <row r="793" spans="1:13" hidden="1" x14ac:dyDescent="0.3">
      <c r="A793" t="s">
        <v>1010</v>
      </c>
      <c r="B793" t="s">
        <v>28</v>
      </c>
      <c r="C793" t="s">
        <v>30</v>
      </c>
      <c r="D793">
        <v>2008</v>
      </c>
      <c r="E793" t="s">
        <v>31</v>
      </c>
      <c r="F793" t="s">
        <v>75</v>
      </c>
      <c r="G793" t="s">
        <v>54</v>
      </c>
      <c r="H793" t="s">
        <v>27</v>
      </c>
      <c r="I793" t="s">
        <v>27</v>
      </c>
      <c r="J793" t="s">
        <v>27</v>
      </c>
      <c r="K793">
        <v>6257</v>
      </c>
      <c r="L793" t="s">
        <v>31</v>
      </c>
      <c r="M793">
        <v>66.87597417890872</v>
      </c>
    </row>
    <row r="794" spans="1:13" hidden="1" x14ac:dyDescent="0.3">
      <c r="A794" t="s">
        <v>1011</v>
      </c>
      <c r="B794" t="s">
        <v>51</v>
      </c>
      <c r="C794" t="s">
        <v>121</v>
      </c>
      <c r="D794">
        <v>2008</v>
      </c>
      <c r="E794" t="s">
        <v>31</v>
      </c>
      <c r="F794" t="s">
        <v>90</v>
      </c>
      <c r="G794" t="s">
        <v>473</v>
      </c>
      <c r="H794" t="s">
        <v>33</v>
      </c>
      <c r="I794" t="s">
        <v>27</v>
      </c>
      <c r="J794" t="s">
        <v>33</v>
      </c>
      <c r="K794">
        <v>17300</v>
      </c>
      <c r="L794" t="s">
        <v>31</v>
      </c>
      <c r="M794">
        <v>66.87597417890872</v>
      </c>
    </row>
    <row r="795" spans="1:13" hidden="1" x14ac:dyDescent="0.3">
      <c r="A795" t="s">
        <v>1012</v>
      </c>
      <c r="B795" t="s">
        <v>28</v>
      </c>
      <c r="C795" t="s">
        <v>30</v>
      </c>
      <c r="D795">
        <v>2008</v>
      </c>
      <c r="E795" t="s">
        <v>31</v>
      </c>
      <c r="F795" t="s">
        <v>90</v>
      </c>
      <c r="G795" t="s">
        <v>82</v>
      </c>
      <c r="H795" t="s">
        <v>27</v>
      </c>
      <c r="I795" t="s">
        <v>27</v>
      </c>
      <c r="J795" t="s">
        <v>27</v>
      </c>
      <c r="K795" t="s">
        <v>31</v>
      </c>
      <c r="L795" t="s">
        <v>31</v>
      </c>
      <c r="M795">
        <v>66.87597417890872</v>
      </c>
    </row>
    <row r="796" spans="1:13" hidden="1" x14ac:dyDescent="0.3">
      <c r="A796" t="s">
        <v>1013</v>
      </c>
      <c r="B796" t="s">
        <v>28</v>
      </c>
      <c r="C796" t="s">
        <v>30</v>
      </c>
      <c r="D796">
        <v>2008</v>
      </c>
      <c r="E796" t="s">
        <v>31</v>
      </c>
      <c r="F796" t="s">
        <v>75</v>
      </c>
      <c r="G796" t="s">
        <v>82</v>
      </c>
      <c r="H796" t="s">
        <v>27</v>
      </c>
      <c r="I796" t="s">
        <v>27</v>
      </c>
      <c r="J796" t="s">
        <v>27</v>
      </c>
      <c r="K796" t="s">
        <v>31</v>
      </c>
      <c r="L796" t="s">
        <v>31</v>
      </c>
      <c r="M796">
        <v>66.87597417890872</v>
      </c>
    </row>
    <row r="797" spans="1:13" hidden="1" x14ac:dyDescent="0.3">
      <c r="A797" t="s">
        <v>1014</v>
      </c>
      <c r="B797" t="s">
        <v>28</v>
      </c>
      <c r="C797" t="s">
        <v>30</v>
      </c>
      <c r="D797">
        <v>2008</v>
      </c>
      <c r="E797">
        <v>180000</v>
      </c>
      <c r="F797" t="s">
        <v>34</v>
      </c>
      <c r="G797" t="s">
        <v>37</v>
      </c>
      <c r="H797" t="s">
        <v>27</v>
      </c>
      <c r="I797" t="s">
        <v>27</v>
      </c>
      <c r="J797" t="s">
        <v>33</v>
      </c>
      <c r="K797">
        <v>400</v>
      </c>
      <c r="L797">
        <v>269155</v>
      </c>
      <c r="M797">
        <v>66.87597417890872</v>
      </c>
    </row>
    <row r="798" spans="1:13" hidden="1" x14ac:dyDescent="0.3">
      <c r="A798" t="s">
        <v>1015</v>
      </c>
      <c r="B798" t="s">
        <v>28</v>
      </c>
      <c r="C798" t="s">
        <v>30</v>
      </c>
      <c r="D798">
        <v>2008</v>
      </c>
      <c r="E798" t="s">
        <v>31</v>
      </c>
      <c r="F798" t="s">
        <v>102</v>
      </c>
      <c r="G798" t="s">
        <v>37</v>
      </c>
      <c r="H798" t="s">
        <v>27</v>
      </c>
      <c r="I798" t="s">
        <v>27</v>
      </c>
      <c r="J798" t="s">
        <v>27</v>
      </c>
      <c r="K798" t="s">
        <v>31</v>
      </c>
      <c r="L798" t="s">
        <v>31</v>
      </c>
      <c r="M798">
        <v>66.87597417890872</v>
      </c>
    </row>
    <row r="799" spans="1:13" hidden="1" x14ac:dyDescent="0.3">
      <c r="A799" t="s">
        <v>1016</v>
      </c>
      <c r="B799" t="s">
        <v>28</v>
      </c>
      <c r="C799" t="s">
        <v>30</v>
      </c>
      <c r="D799">
        <v>2008</v>
      </c>
      <c r="E799">
        <v>2072000</v>
      </c>
      <c r="F799" t="s">
        <v>242</v>
      </c>
      <c r="G799" t="s">
        <v>37</v>
      </c>
      <c r="H799" t="s">
        <v>33</v>
      </c>
      <c r="I799" t="s">
        <v>27</v>
      </c>
      <c r="J799" t="s">
        <v>27</v>
      </c>
      <c r="K799">
        <v>450019</v>
      </c>
      <c r="L799">
        <v>3098273</v>
      </c>
      <c r="M799">
        <v>66.87597417890872</v>
      </c>
    </row>
    <row r="800" spans="1:13" hidden="1" x14ac:dyDescent="0.3">
      <c r="A800" t="s">
        <v>1017</v>
      </c>
      <c r="B800" t="s">
        <v>28</v>
      </c>
      <c r="C800" t="s">
        <v>30</v>
      </c>
      <c r="D800">
        <v>2008</v>
      </c>
      <c r="E800">
        <v>66198</v>
      </c>
      <c r="F800" t="s">
        <v>234</v>
      </c>
      <c r="G800" t="s">
        <v>85</v>
      </c>
      <c r="H800" t="s">
        <v>33</v>
      </c>
      <c r="I800" t="s">
        <v>27</v>
      </c>
      <c r="J800" t="s">
        <v>27</v>
      </c>
      <c r="K800">
        <v>4000</v>
      </c>
      <c r="L800">
        <v>98986</v>
      </c>
      <c r="M800">
        <v>66.87597417890872</v>
      </c>
    </row>
    <row r="801" spans="1:13" hidden="1" x14ac:dyDescent="0.3">
      <c r="A801" t="s">
        <v>1018</v>
      </c>
      <c r="B801" t="s">
        <v>28</v>
      </c>
      <c r="C801" t="s">
        <v>30</v>
      </c>
      <c r="D801">
        <v>2008</v>
      </c>
      <c r="E801" t="s">
        <v>31</v>
      </c>
      <c r="F801" t="s">
        <v>45</v>
      </c>
      <c r="G801" t="s">
        <v>37</v>
      </c>
      <c r="H801" t="s">
        <v>27</v>
      </c>
      <c r="I801" t="s">
        <v>27</v>
      </c>
      <c r="J801" t="s">
        <v>27</v>
      </c>
      <c r="K801">
        <v>125050</v>
      </c>
      <c r="L801" t="s">
        <v>31</v>
      </c>
      <c r="M801">
        <v>66.87597417890872</v>
      </c>
    </row>
    <row r="802" spans="1:13" hidden="1" x14ac:dyDescent="0.3">
      <c r="A802" t="s">
        <v>1019</v>
      </c>
      <c r="B802" t="s">
        <v>28</v>
      </c>
      <c r="C802" t="s">
        <v>30</v>
      </c>
      <c r="D802">
        <v>2008</v>
      </c>
      <c r="E802" t="s">
        <v>31</v>
      </c>
      <c r="F802" t="s">
        <v>45</v>
      </c>
      <c r="G802" t="s">
        <v>37</v>
      </c>
      <c r="H802" t="s">
        <v>27</v>
      </c>
      <c r="I802" t="s">
        <v>27</v>
      </c>
      <c r="J802" t="s">
        <v>33</v>
      </c>
      <c r="K802">
        <v>48000</v>
      </c>
      <c r="L802" t="s">
        <v>31</v>
      </c>
      <c r="M802">
        <v>66.87597417890872</v>
      </c>
    </row>
    <row r="803" spans="1:13" hidden="1" x14ac:dyDescent="0.3">
      <c r="A803" t="s">
        <v>1020</v>
      </c>
      <c r="B803" t="s">
        <v>28</v>
      </c>
      <c r="C803" t="s">
        <v>30</v>
      </c>
      <c r="D803">
        <v>2008</v>
      </c>
      <c r="E803">
        <v>1500000</v>
      </c>
      <c r="F803" t="s">
        <v>242</v>
      </c>
      <c r="G803" t="s">
        <v>85</v>
      </c>
      <c r="H803" t="s">
        <v>27</v>
      </c>
      <c r="I803" t="s">
        <v>27</v>
      </c>
      <c r="J803" t="s">
        <v>27</v>
      </c>
      <c r="K803" t="s">
        <v>31</v>
      </c>
      <c r="L803">
        <v>2242958</v>
      </c>
      <c r="M803">
        <v>66.87597417890872</v>
      </c>
    </row>
    <row r="804" spans="1:13" hidden="1" x14ac:dyDescent="0.3">
      <c r="A804" t="s">
        <v>1021</v>
      </c>
      <c r="B804" t="s">
        <v>51</v>
      </c>
      <c r="C804" t="s">
        <v>121</v>
      </c>
      <c r="D804">
        <v>2008</v>
      </c>
      <c r="E804">
        <v>9697</v>
      </c>
      <c r="F804" t="s">
        <v>32</v>
      </c>
      <c r="G804" t="s">
        <v>31</v>
      </c>
      <c r="H804" t="s">
        <v>33</v>
      </c>
      <c r="I804" t="s">
        <v>27</v>
      </c>
      <c r="J804" t="s">
        <v>33</v>
      </c>
      <c r="K804">
        <v>38000</v>
      </c>
      <c r="L804">
        <v>14500</v>
      </c>
      <c r="M804">
        <v>66.87597417890872</v>
      </c>
    </row>
    <row r="805" spans="1:13" hidden="1" x14ac:dyDescent="0.3">
      <c r="A805" t="s">
        <v>1022</v>
      </c>
      <c r="B805" t="s">
        <v>91</v>
      </c>
      <c r="C805" t="s">
        <v>687</v>
      </c>
      <c r="D805">
        <v>2008</v>
      </c>
      <c r="E805" t="s">
        <v>31</v>
      </c>
      <c r="F805" t="s">
        <v>47</v>
      </c>
      <c r="G805" t="s">
        <v>31</v>
      </c>
      <c r="H805" t="s">
        <v>27</v>
      </c>
      <c r="I805" t="s">
        <v>27</v>
      </c>
      <c r="J805" t="s">
        <v>27</v>
      </c>
      <c r="K805" t="s">
        <v>31</v>
      </c>
      <c r="L805" t="s">
        <v>31</v>
      </c>
      <c r="M805">
        <v>66.87597417890872</v>
      </c>
    </row>
    <row r="806" spans="1:13" x14ac:dyDescent="0.3">
      <c r="A806" t="s">
        <v>1023</v>
      </c>
      <c r="B806" t="s">
        <v>51</v>
      </c>
      <c r="C806" t="s">
        <v>121</v>
      </c>
      <c r="D806">
        <v>2008</v>
      </c>
      <c r="E806">
        <v>750000</v>
      </c>
      <c r="F806" t="s">
        <v>119</v>
      </c>
      <c r="G806" t="s">
        <v>54</v>
      </c>
      <c r="H806" t="s">
        <v>27</v>
      </c>
      <c r="I806" t="s">
        <v>27</v>
      </c>
      <c r="J806" t="s">
        <v>33</v>
      </c>
      <c r="K806">
        <v>1500015</v>
      </c>
      <c r="L806">
        <v>1121479</v>
      </c>
      <c r="M806">
        <v>66.87597417890872</v>
      </c>
    </row>
    <row r="807" spans="1:13" hidden="1" x14ac:dyDescent="0.3">
      <c r="A807" t="s">
        <v>1024</v>
      </c>
      <c r="B807" t="s">
        <v>51</v>
      </c>
      <c r="C807" t="s">
        <v>121</v>
      </c>
      <c r="D807">
        <v>2008</v>
      </c>
      <c r="E807" t="s">
        <v>31</v>
      </c>
      <c r="F807" t="s">
        <v>47</v>
      </c>
      <c r="G807" t="s">
        <v>31</v>
      </c>
      <c r="H807" t="s">
        <v>33</v>
      </c>
      <c r="I807" t="s">
        <v>27</v>
      </c>
      <c r="J807" t="s">
        <v>27</v>
      </c>
      <c r="K807">
        <v>1200091</v>
      </c>
      <c r="L807" t="s">
        <v>31</v>
      </c>
      <c r="M807">
        <v>66.87597417890872</v>
      </c>
    </row>
    <row r="808" spans="1:13" hidden="1" x14ac:dyDescent="0.3">
      <c r="A808" t="s">
        <v>1025</v>
      </c>
      <c r="B808" t="s">
        <v>28</v>
      </c>
      <c r="C808" t="s">
        <v>97</v>
      </c>
      <c r="D808">
        <v>2008</v>
      </c>
      <c r="E808">
        <v>1100000</v>
      </c>
      <c r="F808" t="s">
        <v>34</v>
      </c>
      <c r="G808" t="s">
        <v>31</v>
      </c>
      <c r="H808" t="s">
        <v>27</v>
      </c>
      <c r="I808" t="s">
        <v>27</v>
      </c>
      <c r="J808" t="s">
        <v>27</v>
      </c>
      <c r="K808" t="s">
        <v>31</v>
      </c>
      <c r="L808">
        <v>1644836</v>
      </c>
      <c r="M808">
        <v>66.87597417890872</v>
      </c>
    </row>
    <row r="809" spans="1:13" hidden="1" x14ac:dyDescent="0.3">
      <c r="A809" t="s">
        <v>1026</v>
      </c>
      <c r="B809" t="s">
        <v>28</v>
      </c>
      <c r="C809" t="s">
        <v>97</v>
      </c>
      <c r="D809">
        <v>2008</v>
      </c>
      <c r="E809">
        <v>600000</v>
      </c>
      <c r="F809" t="s">
        <v>34</v>
      </c>
      <c r="G809" t="s">
        <v>31</v>
      </c>
      <c r="H809" t="s">
        <v>27</v>
      </c>
      <c r="I809" t="s">
        <v>27</v>
      </c>
      <c r="J809" t="s">
        <v>27</v>
      </c>
      <c r="K809" t="s">
        <v>31</v>
      </c>
      <c r="L809">
        <v>897183</v>
      </c>
      <c r="M809">
        <v>66.87597417890872</v>
      </c>
    </row>
    <row r="810" spans="1:13" hidden="1" x14ac:dyDescent="0.3">
      <c r="A810" t="s">
        <v>1027</v>
      </c>
      <c r="B810" t="s">
        <v>28</v>
      </c>
      <c r="C810" t="s">
        <v>1028</v>
      </c>
      <c r="D810">
        <v>2008</v>
      </c>
      <c r="E810">
        <v>1000000</v>
      </c>
      <c r="F810" t="s">
        <v>34</v>
      </c>
      <c r="G810" t="s">
        <v>31</v>
      </c>
      <c r="H810" t="s">
        <v>27</v>
      </c>
      <c r="I810" t="s">
        <v>27</v>
      </c>
      <c r="J810" t="s">
        <v>27</v>
      </c>
      <c r="K810" t="s">
        <v>31</v>
      </c>
      <c r="L810">
        <v>1495305</v>
      </c>
      <c r="M810">
        <v>66.87597417890872</v>
      </c>
    </row>
    <row r="811" spans="1:13" hidden="1" x14ac:dyDescent="0.3">
      <c r="A811" t="s">
        <v>1029</v>
      </c>
      <c r="B811" t="s">
        <v>43</v>
      </c>
      <c r="C811" t="s">
        <v>114</v>
      </c>
      <c r="D811">
        <v>2008</v>
      </c>
      <c r="E811" t="s">
        <v>31</v>
      </c>
      <c r="F811" t="s">
        <v>111</v>
      </c>
      <c r="G811" t="s">
        <v>31</v>
      </c>
      <c r="H811" t="s">
        <v>27</v>
      </c>
      <c r="I811" t="s">
        <v>27</v>
      </c>
      <c r="J811" t="s">
        <v>33</v>
      </c>
      <c r="K811">
        <v>6998</v>
      </c>
      <c r="L811" t="s">
        <v>31</v>
      </c>
      <c r="M811">
        <v>66.87597417890872</v>
      </c>
    </row>
    <row r="812" spans="1:13" hidden="1" x14ac:dyDescent="0.3">
      <c r="A812" t="s">
        <v>1597</v>
      </c>
      <c r="B812" t="s">
        <v>43</v>
      </c>
      <c r="C812" t="s">
        <v>114</v>
      </c>
      <c r="D812">
        <v>2008</v>
      </c>
      <c r="E812" t="s">
        <v>31</v>
      </c>
      <c r="F812" t="s">
        <v>111</v>
      </c>
      <c r="G812" t="s">
        <v>31</v>
      </c>
      <c r="H812" t="s">
        <v>27</v>
      </c>
      <c r="I812" t="s">
        <v>27</v>
      </c>
      <c r="J812" t="s">
        <v>27</v>
      </c>
      <c r="K812">
        <v>204</v>
      </c>
      <c r="L812" t="s">
        <v>31</v>
      </c>
      <c r="M812">
        <v>66.87597417890872</v>
      </c>
    </row>
    <row r="813" spans="1:13" hidden="1" x14ac:dyDescent="0.3">
      <c r="A813" t="s">
        <v>1598</v>
      </c>
      <c r="B813" t="s">
        <v>51</v>
      </c>
      <c r="C813" t="s">
        <v>121</v>
      </c>
      <c r="D813">
        <v>2008</v>
      </c>
      <c r="E813" t="s">
        <v>31</v>
      </c>
      <c r="F813" t="s">
        <v>53</v>
      </c>
      <c r="G813" t="s">
        <v>54</v>
      </c>
      <c r="H813" t="s">
        <v>27</v>
      </c>
      <c r="I813" t="s">
        <v>27</v>
      </c>
      <c r="J813" t="s">
        <v>27</v>
      </c>
      <c r="K813">
        <v>450012</v>
      </c>
      <c r="L813" t="s">
        <v>31</v>
      </c>
      <c r="M813">
        <v>66.87597417890872</v>
      </c>
    </row>
    <row r="814" spans="1:13" hidden="1" x14ac:dyDescent="0.3">
      <c r="A814" t="s">
        <v>1599</v>
      </c>
      <c r="B814" t="s">
        <v>28</v>
      </c>
      <c r="C814" t="s">
        <v>97</v>
      </c>
      <c r="D814">
        <v>2008</v>
      </c>
      <c r="E814">
        <v>1600000</v>
      </c>
      <c r="F814" t="s">
        <v>34</v>
      </c>
      <c r="G814" t="s">
        <v>209</v>
      </c>
      <c r="H814" t="s">
        <v>27</v>
      </c>
      <c r="I814" t="s">
        <v>27</v>
      </c>
      <c r="J814" t="s">
        <v>33</v>
      </c>
      <c r="K814">
        <v>70</v>
      </c>
      <c r="L814">
        <v>2392489</v>
      </c>
      <c r="M814">
        <v>66.87597417890872</v>
      </c>
    </row>
    <row r="815" spans="1:13" hidden="1" x14ac:dyDescent="0.3">
      <c r="A815" t="s">
        <v>1600</v>
      </c>
      <c r="B815" t="s">
        <v>51</v>
      </c>
      <c r="C815" t="s">
        <v>121</v>
      </c>
      <c r="D815">
        <v>2008</v>
      </c>
      <c r="E815" t="s">
        <v>31</v>
      </c>
      <c r="F815" t="s">
        <v>60</v>
      </c>
      <c r="G815" t="s">
        <v>473</v>
      </c>
      <c r="H815" t="s">
        <v>27</v>
      </c>
      <c r="I815" t="s">
        <v>27</v>
      </c>
      <c r="J815" t="s">
        <v>27</v>
      </c>
      <c r="K815">
        <v>40000</v>
      </c>
      <c r="L815" t="s">
        <v>31</v>
      </c>
      <c r="M815">
        <v>66.87597417890872</v>
      </c>
    </row>
    <row r="816" spans="1:13" hidden="1" x14ac:dyDescent="0.3">
      <c r="A816" t="s">
        <v>1601</v>
      </c>
      <c r="B816" t="s">
        <v>39</v>
      </c>
      <c r="C816" t="s">
        <v>41</v>
      </c>
      <c r="D816">
        <v>2008</v>
      </c>
      <c r="E816">
        <v>102000</v>
      </c>
      <c r="F816" t="s">
        <v>34</v>
      </c>
      <c r="G816" t="s">
        <v>31</v>
      </c>
      <c r="H816" t="s">
        <v>27</v>
      </c>
      <c r="I816" t="s">
        <v>27</v>
      </c>
      <c r="J816" t="s">
        <v>33</v>
      </c>
      <c r="K816">
        <v>300</v>
      </c>
      <c r="L816">
        <v>152521</v>
      </c>
      <c r="M816">
        <v>66.87597417890872</v>
      </c>
    </row>
    <row r="817" spans="1:13" hidden="1" x14ac:dyDescent="0.3">
      <c r="A817" t="s">
        <v>1602</v>
      </c>
      <c r="B817" t="s">
        <v>51</v>
      </c>
      <c r="C817" t="s">
        <v>121</v>
      </c>
      <c r="D817">
        <v>2008</v>
      </c>
      <c r="E817" t="s">
        <v>31</v>
      </c>
      <c r="F817" t="s">
        <v>77</v>
      </c>
      <c r="G817" t="s">
        <v>355</v>
      </c>
      <c r="H817" t="s">
        <v>27</v>
      </c>
      <c r="I817" t="s">
        <v>27</v>
      </c>
      <c r="J817" t="s">
        <v>27</v>
      </c>
      <c r="K817">
        <v>2000</v>
      </c>
      <c r="L817" t="s">
        <v>31</v>
      </c>
      <c r="M817">
        <v>66.87597417890872</v>
      </c>
    </row>
    <row r="818" spans="1:13" hidden="1" x14ac:dyDescent="0.3">
      <c r="A818" t="s">
        <v>1603</v>
      </c>
      <c r="B818" t="s">
        <v>51</v>
      </c>
      <c r="C818" t="s">
        <v>56</v>
      </c>
      <c r="D818">
        <v>2008</v>
      </c>
      <c r="E818" t="s">
        <v>31</v>
      </c>
      <c r="F818" t="s">
        <v>73</v>
      </c>
      <c r="G818" t="s">
        <v>31</v>
      </c>
      <c r="H818" t="s">
        <v>27</v>
      </c>
      <c r="I818" t="s">
        <v>27</v>
      </c>
      <c r="J818" t="s">
        <v>27</v>
      </c>
      <c r="K818">
        <v>20000</v>
      </c>
      <c r="L818" t="s">
        <v>31</v>
      </c>
      <c r="M818">
        <v>66.87597417890872</v>
      </c>
    </row>
    <row r="819" spans="1:13" hidden="1" x14ac:dyDescent="0.3">
      <c r="A819" t="s">
        <v>1604</v>
      </c>
      <c r="B819" t="s">
        <v>28</v>
      </c>
      <c r="C819" t="s">
        <v>30</v>
      </c>
      <c r="D819">
        <v>2008</v>
      </c>
      <c r="E819" t="s">
        <v>31</v>
      </c>
      <c r="F819" t="s">
        <v>674</v>
      </c>
      <c r="G819" t="s">
        <v>37</v>
      </c>
      <c r="H819" t="s">
        <v>27</v>
      </c>
      <c r="I819" t="s">
        <v>27</v>
      </c>
      <c r="J819" t="s">
        <v>27</v>
      </c>
      <c r="K819" t="s">
        <v>31</v>
      </c>
      <c r="L819" t="s">
        <v>31</v>
      </c>
      <c r="M819">
        <v>66.87597417890872</v>
      </c>
    </row>
    <row r="820" spans="1:13" hidden="1" x14ac:dyDescent="0.3">
      <c r="A820" t="s">
        <v>1605</v>
      </c>
      <c r="B820" t="s">
        <v>28</v>
      </c>
      <c r="C820" t="s">
        <v>30</v>
      </c>
      <c r="D820">
        <v>2008</v>
      </c>
      <c r="E820">
        <v>7000000</v>
      </c>
      <c r="F820" t="s">
        <v>34</v>
      </c>
      <c r="G820" t="s">
        <v>31</v>
      </c>
      <c r="H820" t="s">
        <v>27</v>
      </c>
      <c r="I820" t="s">
        <v>27</v>
      </c>
      <c r="J820" t="s">
        <v>27</v>
      </c>
      <c r="K820">
        <v>2100000</v>
      </c>
      <c r="L820">
        <v>10467137</v>
      </c>
      <c r="M820">
        <v>66.87597417890872</v>
      </c>
    </row>
    <row r="821" spans="1:13" hidden="1" x14ac:dyDescent="0.3">
      <c r="A821" t="s">
        <v>1606</v>
      </c>
      <c r="B821" t="s">
        <v>28</v>
      </c>
      <c r="C821" t="s">
        <v>30</v>
      </c>
      <c r="D821">
        <v>2008</v>
      </c>
      <c r="E821">
        <v>500000</v>
      </c>
      <c r="F821" t="s">
        <v>674</v>
      </c>
      <c r="G821" t="s">
        <v>31</v>
      </c>
      <c r="H821" t="s">
        <v>27</v>
      </c>
      <c r="I821" t="s">
        <v>27</v>
      </c>
      <c r="J821" t="s">
        <v>27</v>
      </c>
      <c r="K821">
        <v>750</v>
      </c>
      <c r="L821">
        <v>747653</v>
      </c>
      <c r="M821">
        <v>66.87597417890872</v>
      </c>
    </row>
    <row r="822" spans="1:13" hidden="1" x14ac:dyDescent="0.3">
      <c r="A822" t="s">
        <v>1607</v>
      </c>
      <c r="B822" t="s">
        <v>28</v>
      </c>
      <c r="C822" t="s">
        <v>97</v>
      </c>
      <c r="D822">
        <v>2008</v>
      </c>
      <c r="E822">
        <v>110000</v>
      </c>
      <c r="F822" t="s">
        <v>34</v>
      </c>
      <c r="G822" t="s">
        <v>31</v>
      </c>
      <c r="H822" t="s">
        <v>27</v>
      </c>
      <c r="I822" t="s">
        <v>27</v>
      </c>
      <c r="J822" t="s">
        <v>27</v>
      </c>
      <c r="K822">
        <v>200</v>
      </c>
      <c r="L822">
        <v>164484</v>
      </c>
      <c r="M822">
        <v>66.87597417890872</v>
      </c>
    </row>
    <row r="823" spans="1:13" hidden="1" x14ac:dyDescent="0.3">
      <c r="A823" t="s">
        <v>1608</v>
      </c>
      <c r="B823" t="s">
        <v>51</v>
      </c>
      <c r="C823" t="s">
        <v>121</v>
      </c>
      <c r="D823">
        <v>2008</v>
      </c>
      <c r="E823" t="s">
        <v>31</v>
      </c>
      <c r="F823" t="s">
        <v>81</v>
      </c>
      <c r="G823" t="s">
        <v>54</v>
      </c>
      <c r="H823" t="s">
        <v>27</v>
      </c>
      <c r="I823" t="s">
        <v>27</v>
      </c>
      <c r="J823" t="s">
        <v>27</v>
      </c>
      <c r="K823">
        <v>3525</v>
      </c>
      <c r="L823" t="s">
        <v>31</v>
      </c>
      <c r="M823">
        <v>66.87597417890872</v>
      </c>
    </row>
    <row r="824" spans="1:13" hidden="1" x14ac:dyDescent="0.3">
      <c r="A824" t="s">
        <v>1609</v>
      </c>
      <c r="B824" t="s">
        <v>51</v>
      </c>
      <c r="C824" t="s">
        <v>121</v>
      </c>
      <c r="D824">
        <v>2008</v>
      </c>
      <c r="E824" t="s">
        <v>31</v>
      </c>
      <c r="F824" t="s">
        <v>161</v>
      </c>
      <c r="G824" t="s">
        <v>54</v>
      </c>
      <c r="H824" t="s">
        <v>27</v>
      </c>
      <c r="I824" t="s">
        <v>27</v>
      </c>
      <c r="J824" t="s">
        <v>33</v>
      </c>
      <c r="K824">
        <v>92000</v>
      </c>
      <c r="L824" t="s">
        <v>31</v>
      </c>
      <c r="M824">
        <v>66.87597417890872</v>
      </c>
    </row>
    <row r="825" spans="1:13" hidden="1" x14ac:dyDescent="0.3">
      <c r="A825" t="s">
        <v>1611</v>
      </c>
      <c r="B825" t="s">
        <v>28</v>
      </c>
      <c r="C825" t="s">
        <v>65</v>
      </c>
      <c r="D825">
        <v>2008</v>
      </c>
      <c r="E825" t="s">
        <v>31</v>
      </c>
      <c r="F825" t="s">
        <v>117</v>
      </c>
      <c r="G825" t="s">
        <v>65</v>
      </c>
      <c r="H825" t="s">
        <v>27</v>
      </c>
      <c r="I825" t="s">
        <v>27</v>
      </c>
      <c r="J825" t="s">
        <v>33</v>
      </c>
      <c r="K825">
        <v>47655</v>
      </c>
      <c r="L825" t="s">
        <v>31</v>
      </c>
      <c r="M825">
        <v>66.87597417890872</v>
      </c>
    </row>
    <row r="826" spans="1:13" hidden="1" x14ac:dyDescent="0.3">
      <c r="A826" t="s">
        <v>1612</v>
      </c>
      <c r="B826" t="s">
        <v>28</v>
      </c>
      <c r="C826" t="s">
        <v>30</v>
      </c>
      <c r="D826">
        <v>2008</v>
      </c>
      <c r="E826" t="s">
        <v>31</v>
      </c>
      <c r="F826" t="s">
        <v>242</v>
      </c>
      <c r="G826" t="s">
        <v>87</v>
      </c>
      <c r="H826" t="s">
        <v>27</v>
      </c>
      <c r="I826" t="s">
        <v>27</v>
      </c>
      <c r="J826" t="s">
        <v>27</v>
      </c>
      <c r="K826">
        <v>49445</v>
      </c>
      <c r="L826" t="s">
        <v>31</v>
      </c>
      <c r="M826">
        <v>66.87597417890872</v>
      </c>
    </row>
    <row r="827" spans="1:13" hidden="1" x14ac:dyDescent="0.3">
      <c r="A827" t="s">
        <v>1613</v>
      </c>
      <c r="B827" t="s">
        <v>51</v>
      </c>
      <c r="C827" t="s">
        <v>121</v>
      </c>
      <c r="D827">
        <v>2008</v>
      </c>
      <c r="E827">
        <v>22000</v>
      </c>
      <c r="F827" t="s">
        <v>161</v>
      </c>
      <c r="G827" t="s">
        <v>54</v>
      </c>
      <c r="H827" t="s">
        <v>33</v>
      </c>
      <c r="I827" t="s">
        <v>27</v>
      </c>
      <c r="J827" t="s">
        <v>33</v>
      </c>
      <c r="K827">
        <v>53000</v>
      </c>
      <c r="L827">
        <v>32897</v>
      </c>
      <c r="M827">
        <v>66.87597417890872</v>
      </c>
    </row>
    <row r="828" spans="1:13" hidden="1" x14ac:dyDescent="0.3">
      <c r="A828" t="s">
        <v>1614</v>
      </c>
      <c r="B828" t="s">
        <v>39</v>
      </c>
      <c r="C828" t="s">
        <v>157</v>
      </c>
      <c r="D828">
        <v>2008</v>
      </c>
      <c r="E828" t="s">
        <v>31</v>
      </c>
      <c r="F828" t="s">
        <v>117</v>
      </c>
      <c r="G828" t="s">
        <v>31</v>
      </c>
      <c r="H828" t="s">
        <v>33</v>
      </c>
      <c r="I828" t="s">
        <v>27</v>
      </c>
      <c r="J828" t="s">
        <v>33</v>
      </c>
      <c r="K828">
        <v>18000</v>
      </c>
      <c r="L828" t="s">
        <v>31</v>
      </c>
      <c r="M828">
        <v>66.87597417890872</v>
      </c>
    </row>
    <row r="829" spans="1:13" hidden="1" x14ac:dyDescent="0.3">
      <c r="A829" t="s">
        <v>2298</v>
      </c>
      <c r="B829" t="s">
        <v>51</v>
      </c>
      <c r="C829" t="s">
        <v>121</v>
      </c>
      <c r="D829">
        <v>2008</v>
      </c>
      <c r="E829" t="s">
        <v>31</v>
      </c>
      <c r="F829" t="s">
        <v>34</v>
      </c>
      <c r="G829" t="s">
        <v>2299</v>
      </c>
      <c r="H829" t="s">
        <v>27</v>
      </c>
      <c r="I829" t="s">
        <v>27</v>
      </c>
      <c r="J829" t="s">
        <v>27</v>
      </c>
      <c r="K829">
        <v>1500</v>
      </c>
      <c r="L829" t="s">
        <v>31</v>
      </c>
      <c r="M829">
        <v>66.87597417890872</v>
      </c>
    </row>
    <row r="830" spans="1:13" hidden="1" x14ac:dyDescent="0.3">
      <c r="A830" t="s">
        <v>2300</v>
      </c>
      <c r="B830" t="s">
        <v>51</v>
      </c>
      <c r="C830" t="s">
        <v>121</v>
      </c>
      <c r="D830">
        <v>2008</v>
      </c>
      <c r="E830" t="s">
        <v>31</v>
      </c>
      <c r="F830" t="s">
        <v>119</v>
      </c>
      <c r="G830" t="s">
        <v>54</v>
      </c>
      <c r="H830" t="s">
        <v>27</v>
      </c>
      <c r="I830" t="s">
        <v>27</v>
      </c>
      <c r="J830" t="s">
        <v>33</v>
      </c>
      <c r="K830">
        <v>49506</v>
      </c>
      <c r="L830" t="s">
        <v>31</v>
      </c>
      <c r="M830">
        <v>66.87597417890872</v>
      </c>
    </row>
    <row r="831" spans="1:13" hidden="1" x14ac:dyDescent="0.3">
      <c r="A831" t="s">
        <v>2301</v>
      </c>
      <c r="B831" t="s">
        <v>51</v>
      </c>
      <c r="C831" t="s">
        <v>121</v>
      </c>
      <c r="D831">
        <v>2008</v>
      </c>
      <c r="E831" t="s">
        <v>31</v>
      </c>
      <c r="F831" t="s">
        <v>130</v>
      </c>
      <c r="G831" t="s">
        <v>31</v>
      </c>
      <c r="H831" t="s">
        <v>27</v>
      </c>
      <c r="I831" t="s">
        <v>27</v>
      </c>
      <c r="J831" t="s">
        <v>27</v>
      </c>
      <c r="K831">
        <v>85000</v>
      </c>
      <c r="L831" t="s">
        <v>31</v>
      </c>
      <c r="M831">
        <v>66.87597417890872</v>
      </c>
    </row>
    <row r="832" spans="1:13" hidden="1" x14ac:dyDescent="0.3">
      <c r="A832" t="s">
        <v>2302</v>
      </c>
      <c r="B832" t="s">
        <v>43</v>
      </c>
      <c r="C832" t="s">
        <v>114</v>
      </c>
      <c r="D832">
        <v>2008</v>
      </c>
      <c r="E832" t="s">
        <v>31</v>
      </c>
      <c r="F832" t="s">
        <v>119</v>
      </c>
      <c r="G832" t="s">
        <v>31</v>
      </c>
      <c r="H832" t="s">
        <v>27</v>
      </c>
      <c r="I832" t="s">
        <v>27</v>
      </c>
      <c r="J832" t="s">
        <v>27</v>
      </c>
      <c r="K832">
        <v>162701</v>
      </c>
      <c r="L832" t="s">
        <v>31</v>
      </c>
      <c r="M832">
        <v>66.87597417890872</v>
      </c>
    </row>
    <row r="833" spans="1:13" hidden="1" x14ac:dyDescent="0.3">
      <c r="A833" t="s">
        <v>2303</v>
      </c>
      <c r="B833" t="s">
        <v>43</v>
      </c>
      <c r="C833" t="s">
        <v>114</v>
      </c>
      <c r="D833">
        <v>2008</v>
      </c>
      <c r="E833" t="s">
        <v>31</v>
      </c>
      <c r="F833" t="s">
        <v>117</v>
      </c>
      <c r="G833" t="s">
        <v>31</v>
      </c>
      <c r="H833" t="s">
        <v>27</v>
      </c>
      <c r="I833" t="s">
        <v>27</v>
      </c>
      <c r="J833" t="s">
        <v>27</v>
      </c>
      <c r="K833">
        <v>1837</v>
      </c>
      <c r="L833" t="s">
        <v>31</v>
      </c>
      <c r="M833">
        <v>66.87597417890872</v>
      </c>
    </row>
    <row r="834" spans="1:13" hidden="1" x14ac:dyDescent="0.3">
      <c r="A834" t="s">
        <v>2304</v>
      </c>
      <c r="B834" t="s">
        <v>91</v>
      </c>
      <c r="C834" t="s">
        <v>93</v>
      </c>
      <c r="D834">
        <v>2008</v>
      </c>
      <c r="E834" t="s">
        <v>31</v>
      </c>
      <c r="F834" t="s">
        <v>34</v>
      </c>
      <c r="G834" t="s">
        <v>31</v>
      </c>
      <c r="H834" t="s">
        <v>27</v>
      </c>
      <c r="I834" t="s">
        <v>27</v>
      </c>
      <c r="J834" t="s">
        <v>27</v>
      </c>
      <c r="K834">
        <v>2103</v>
      </c>
      <c r="L834" t="s">
        <v>31</v>
      </c>
      <c r="M834">
        <v>66.87597417890872</v>
      </c>
    </row>
    <row r="835" spans="1:13" hidden="1" x14ac:dyDescent="0.3">
      <c r="A835" t="s">
        <v>2305</v>
      </c>
      <c r="B835" t="s">
        <v>51</v>
      </c>
      <c r="C835" t="s">
        <v>134</v>
      </c>
      <c r="D835">
        <v>2008</v>
      </c>
      <c r="E835" t="s">
        <v>31</v>
      </c>
      <c r="F835" t="s">
        <v>90</v>
      </c>
      <c r="G835" t="s">
        <v>31</v>
      </c>
      <c r="H835" t="s">
        <v>27</v>
      </c>
      <c r="I835" t="s">
        <v>27</v>
      </c>
      <c r="J835" t="s">
        <v>27</v>
      </c>
      <c r="K835" t="s">
        <v>31</v>
      </c>
      <c r="L835" t="s">
        <v>31</v>
      </c>
      <c r="M835">
        <v>66.87597417890872</v>
      </c>
    </row>
    <row r="836" spans="1:13" hidden="1" x14ac:dyDescent="0.3">
      <c r="A836" t="s">
        <v>2306</v>
      </c>
      <c r="B836" t="s">
        <v>51</v>
      </c>
      <c r="C836" t="s">
        <v>121</v>
      </c>
      <c r="D836">
        <v>2008</v>
      </c>
      <c r="E836">
        <v>2000</v>
      </c>
      <c r="F836" t="s">
        <v>34</v>
      </c>
      <c r="G836" t="s">
        <v>402</v>
      </c>
      <c r="H836" t="s">
        <v>27</v>
      </c>
      <c r="I836" t="s">
        <v>27</v>
      </c>
      <c r="J836" t="s">
        <v>33</v>
      </c>
      <c r="K836">
        <v>1000</v>
      </c>
      <c r="L836">
        <v>2991</v>
      </c>
      <c r="M836">
        <v>66.87597417890872</v>
      </c>
    </row>
    <row r="837" spans="1:13" hidden="1" x14ac:dyDescent="0.3">
      <c r="A837" t="s">
        <v>2307</v>
      </c>
      <c r="B837" t="s">
        <v>51</v>
      </c>
      <c r="C837" t="s">
        <v>121</v>
      </c>
      <c r="D837">
        <v>2008</v>
      </c>
      <c r="E837" t="s">
        <v>31</v>
      </c>
      <c r="F837" t="s">
        <v>77</v>
      </c>
      <c r="G837" t="s">
        <v>31</v>
      </c>
      <c r="H837" t="s">
        <v>27</v>
      </c>
      <c r="I837" t="s">
        <v>27</v>
      </c>
      <c r="J837" t="s">
        <v>27</v>
      </c>
      <c r="K837">
        <v>400</v>
      </c>
      <c r="L837" t="s">
        <v>31</v>
      </c>
      <c r="M837">
        <v>66.87597417890872</v>
      </c>
    </row>
    <row r="838" spans="1:13" hidden="1" x14ac:dyDescent="0.3">
      <c r="A838" t="s">
        <v>2308</v>
      </c>
      <c r="B838" t="s">
        <v>91</v>
      </c>
      <c r="C838" t="s">
        <v>105</v>
      </c>
      <c r="D838">
        <v>2008</v>
      </c>
      <c r="E838" t="s">
        <v>31</v>
      </c>
      <c r="F838" t="s">
        <v>60</v>
      </c>
      <c r="G838" t="s">
        <v>31</v>
      </c>
      <c r="H838" t="s">
        <v>27</v>
      </c>
      <c r="I838" t="s">
        <v>27</v>
      </c>
      <c r="J838" t="s">
        <v>33</v>
      </c>
      <c r="K838">
        <v>8000</v>
      </c>
      <c r="L838" t="s">
        <v>31</v>
      </c>
      <c r="M838">
        <v>66.87597417890872</v>
      </c>
    </row>
    <row r="839" spans="1:13" hidden="1" x14ac:dyDescent="0.3">
      <c r="A839" t="s">
        <v>2309</v>
      </c>
      <c r="B839" t="s">
        <v>28</v>
      </c>
      <c r="C839" t="s">
        <v>97</v>
      </c>
      <c r="D839">
        <v>2008</v>
      </c>
      <c r="E839">
        <v>700000</v>
      </c>
      <c r="F839" t="s">
        <v>34</v>
      </c>
      <c r="G839" t="s">
        <v>100</v>
      </c>
      <c r="H839" t="s">
        <v>27</v>
      </c>
      <c r="I839" t="s">
        <v>27</v>
      </c>
      <c r="J839" t="s">
        <v>33</v>
      </c>
      <c r="K839">
        <v>150</v>
      </c>
      <c r="L839">
        <v>1046714</v>
      </c>
      <c r="M839">
        <v>66.87597417890872</v>
      </c>
    </row>
    <row r="840" spans="1:13" hidden="1" x14ac:dyDescent="0.3">
      <c r="A840" t="s">
        <v>2310</v>
      </c>
      <c r="B840" t="s">
        <v>51</v>
      </c>
      <c r="C840" t="s">
        <v>121</v>
      </c>
      <c r="D840">
        <v>2008</v>
      </c>
      <c r="E840" t="s">
        <v>31</v>
      </c>
      <c r="F840" t="s">
        <v>1925</v>
      </c>
      <c r="G840" t="s">
        <v>31</v>
      </c>
      <c r="H840" t="s">
        <v>27</v>
      </c>
      <c r="I840" t="s">
        <v>27</v>
      </c>
      <c r="J840" t="s">
        <v>27</v>
      </c>
      <c r="K840">
        <v>6548</v>
      </c>
      <c r="L840" t="s">
        <v>31</v>
      </c>
      <c r="M840">
        <v>66.87597417890872</v>
      </c>
    </row>
    <row r="841" spans="1:13" hidden="1" x14ac:dyDescent="0.3">
      <c r="A841" t="s">
        <v>2313</v>
      </c>
      <c r="B841" t="s">
        <v>28</v>
      </c>
      <c r="C841" t="s">
        <v>30</v>
      </c>
      <c r="D841">
        <v>2008</v>
      </c>
      <c r="E841" t="s">
        <v>31</v>
      </c>
      <c r="F841" t="s">
        <v>45</v>
      </c>
      <c r="G841" t="s">
        <v>290</v>
      </c>
      <c r="H841" t="s">
        <v>27</v>
      </c>
      <c r="I841" t="s">
        <v>27</v>
      </c>
      <c r="J841" t="s">
        <v>27</v>
      </c>
      <c r="K841">
        <v>220</v>
      </c>
      <c r="L841" t="s">
        <v>31</v>
      </c>
      <c r="M841">
        <v>66.87597417890872</v>
      </c>
    </row>
    <row r="842" spans="1:13" hidden="1" x14ac:dyDescent="0.3">
      <c r="A842" t="s">
        <v>2314</v>
      </c>
      <c r="B842" t="s">
        <v>28</v>
      </c>
      <c r="C842" t="s">
        <v>1028</v>
      </c>
      <c r="D842">
        <v>2008</v>
      </c>
      <c r="E842" t="s">
        <v>31</v>
      </c>
      <c r="F842" t="s">
        <v>119</v>
      </c>
      <c r="G842" t="s">
        <v>31</v>
      </c>
      <c r="H842" t="s">
        <v>27</v>
      </c>
      <c r="I842" t="s">
        <v>27</v>
      </c>
      <c r="J842" t="s">
        <v>33</v>
      </c>
      <c r="K842">
        <v>1600</v>
      </c>
      <c r="L842" t="s">
        <v>31</v>
      </c>
      <c r="M842">
        <v>66.87597417890872</v>
      </c>
    </row>
    <row r="843" spans="1:13" hidden="1" x14ac:dyDescent="0.3">
      <c r="A843" t="s">
        <v>2315</v>
      </c>
      <c r="B843" t="s">
        <v>28</v>
      </c>
      <c r="C843" t="s">
        <v>30</v>
      </c>
      <c r="D843">
        <v>2008</v>
      </c>
      <c r="E843">
        <v>160000</v>
      </c>
      <c r="F843" t="s">
        <v>34</v>
      </c>
      <c r="G843" t="s">
        <v>31</v>
      </c>
      <c r="H843" t="s">
        <v>27</v>
      </c>
      <c r="I843" t="s">
        <v>27</v>
      </c>
      <c r="J843" t="s">
        <v>33</v>
      </c>
      <c r="K843" t="s">
        <v>31</v>
      </c>
      <c r="L843">
        <v>239249</v>
      </c>
      <c r="M843">
        <v>66.87597417890872</v>
      </c>
    </row>
    <row r="844" spans="1:13" hidden="1" x14ac:dyDescent="0.3">
      <c r="A844" t="s">
        <v>2316</v>
      </c>
      <c r="B844" t="s">
        <v>28</v>
      </c>
      <c r="C844" t="s">
        <v>30</v>
      </c>
      <c r="D844">
        <v>2008</v>
      </c>
      <c r="E844">
        <v>30000000</v>
      </c>
      <c r="F844" t="s">
        <v>34</v>
      </c>
      <c r="G844" t="s">
        <v>37</v>
      </c>
      <c r="H844" t="s">
        <v>27</v>
      </c>
      <c r="I844" t="s">
        <v>27</v>
      </c>
      <c r="J844" t="s">
        <v>27</v>
      </c>
      <c r="K844">
        <v>200000</v>
      </c>
      <c r="L844">
        <v>44859160</v>
      </c>
      <c r="M844">
        <v>66.87597417890872</v>
      </c>
    </row>
    <row r="845" spans="1:13" hidden="1" x14ac:dyDescent="0.3">
      <c r="A845" t="s">
        <v>2317</v>
      </c>
      <c r="B845" t="s">
        <v>51</v>
      </c>
      <c r="C845" t="s">
        <v>56</v>
      </c>
      <c r="D845">
        <v>2008</v>
      </c>
      <c r="E845" t="s">
        <v>31</v>
      </c>
      <c r="F845" t="s">
        <v>166</v>
      </c>
      <c r="G845" t="s">
        <v>31</v>
      </c>
      <c r="H845" t="s">
        <v>27</v>
      </c>
      <c r="I845" t="s">
        <v>27</v>
      </c>
      <c r="J845" t="s">
        <v>27</v>
      </c>
      <c r="K845">
        <v>545</v>
      </c>
      <c r="L845" t="s">
        <v>31</v>
      </c>
      <c r="M845">
        <v>66.87597417890872</v>
      </c>
    </row>
    <row r="846" spans="1:13" hidden="1" x14ac:dyDescent="0.3">
      <c r="A846" t="s">
        <v>2318</v>
      </c>
      <c r="B846" t="s">
        <v>51</v>
      </c>
      <c r="C846" t="s">
        <v>121</v>
      </c>
      <c r="D846">
        <v>2008</v>
      </c>
      <c r="E846" t="s">
        <v>31</v>
      </c>
      <c r="F846" t="s">
        <v>161</v>
      </c>
      <c r="G846" t="s">
        <v>54</v>
      </c>
      <c r="H846" t="s">
        <v>33</v>
      </c>
      <c r="I846" t="s">
        <v>27</v>
      </c>
      <c r="J846" t="s">
        <v>27</v>
      </c>
      <c r="K846">
        <v>9498</v>
      </c>
      <c r="L846" t="s">
        <v>31</v>
      </c>
      <c r="M846">
        <v>66.87597417890872</v>
      </c>
    </row>
    <row r="847" spans="1:13" hidden="1" x14ac:dyDescent="0.3">
      <c r="A847" t="s">
        <v>2319</v>
      </c>
      <c r="B847" t="s">
        <v>51</v>
      </c>
      <c r="C847" t="s">
        <v>121</v>
      </c>
      <c r="D847">
        <v>2008</v>
      </c>
      <c r="E847" t="s">
        <v>31</v>
      </c>
      <c r="F847" t="s">
        <v>90</v>
      </c>
      <c r="G847" t="s">
        <v>54</v>
      </c>
      <c r="H847" t="s">
        <v>33</v>
      </c>
      <c r="I847" t="s">
        <v>33</v>
      </c>
      <c r="J847" t="s">
        <v>33</v>
      </c>
      <c r="K847">
        <v>180000</v>
      </c>
      <c r="L847" t="s">
        <v>31</v>
      </c>
      <c r="M847">
        <v>66.87597417890872</v>
      </c>
    </row>
    <row r="848" spans="1:13" hidden="1" x14ac:dyDescent="0.3">
      <c r="A848" t="s">
        <v>2320</v>
      </c>
      <c r="B848" t="s">
        <v>51</v>
      </c>
      <c r="C848" t="s">
        <v>121</v>
      </c>
      <c r="D848">
        <v>2008</v>
      </c>
      <c r="E848" t="s">
        <v>31</v>
      </c>
      <c r="F848" t="s">
        <v>115</v>
      </c>
      <c r="G848" t="s">
        <v>31</v>
      </c>
      <c r="H848" t="s">
        <v>27</v>
      </c>
      <c r="I848" t="s">
        <v>27</v>
      </c>
      <c r="J848" t="s">
        <v>27</v>
      </c>
      <c r="K848">
        <v>3000</v>
      </c>
      <c r="L848" t="s">
        <v>31</v>
      </c>
      <c r="M848">
        <v>66.87597417890872</v>
      </c>
    </row>
    <row r="849" spans="1:13" hidden="1" x14ac:dyDescent="0.3">
      <c r="A849" t="s">
        <v>2321</v>
      </c>
      <c r="B849" t="s">
        <v>28</v>
      </c>
      <c r="C849" t="s">
        <v>30</v>
      </c>
      <c r="D849">
        <v>2008</v>
      </c>
      <c r="E849" t="s">
        <v>31</v>
      </c>
      <c r="F849" t="s">
        <v>670</v>
      </c>
      <c r="G849" t="s">
        <v>85</v>
      </c>
      <c r="H849" t="s">
        <v>27</v>
      </c>
      <c r="I849" t="s">
        <v>27</v>
      </c>
      <c r="J849" t="s">
        <v>27</v>
      </c>
      <c r="K849" t="s">
        <v>31</v>
      </c>
      <c r="L849" t="s">
        <v>31</v>
      </c>
      <c r="M849">
        <v>66.87597417890872</v>
      </c>
    </row>
    <row r="850" spans="1:13" hidden="1" x14ac:dyDescent="0.3">
      <c r="A850" t="s">
        <v>2323</v>
      </c>
      <c r="B850" t="s">
        <v>51</v>
      </c>
      <c r="C850" t="s">
        <v>121</v>
      </c>
      <c r="D850">
        <v>2008</v>
      </c>
      <c r="E850" t="s">
        <v>31</v>
      </c>
      <c r="F850" t="s">
        <v>242</v>
      </c>
      <c r="G850" t="s">
        <v>31</v>
      </c>
      <c r="H850" t="s">
        <v>27</v>
      </c>
      <c r="I850" t="s">
        <v>27</v>
      </c>
      <c r="J850" t="s">
        <v>27</v>
      </c>
      <c r="K850">
        <v>20000</v>
      </c>
      <c r="L850" t="s">
        <v>31</v>
      </c>
      <c r="M850">
        <v>66.87597417890872</v>
      </c>
    </row>
    <row r="851" spans="1:13" hidden="1" x14ac:dyDescent="0.3">
      <c r="A851" t="s">
        <v>2324</v>
      </c>
      <c r="B851" t="s">
        <v>28</v>
      </c>
      <c r="C851" t="s">
        <v>64</v>
      </c>
      <c r="D851">
        <v>2008</v>
      </c>
      <c r="E851" t="s">
        <v>31</v>
      </c>
      <c r="F851" t="s">
        <v>111</v>
      </c>
      <c r="G851" t="s">
        <v>65</v>
      </c>
      <c r="H851" t="s">
        <v>27</v>
      </c>
      <c r="I851" t="s">
        <v>27</v>
      </c>
      <c r="J851" t="s">
        <v>33</v>
      </c>
      <c r="K851">
        <v>6655</v>
      </c>
      <c r="L851" t="s">
        <v>31</v>
      </c>
      <c r="M851">
        <v>66.87597417890872</v>
      </c>
    </row>
    <row r="852" spans="1:13" hidden="1" x14ac:dyDescent="0.3">
      <c r="A852" t="s">
        <v>2325</v>
      </c>
      <c r="B852" t="s">
        <v>91</v>
      </c>
      <c r="C852" t="s">
        <v>105</v>
      </c>
      <c r="D852">
        <v>2008</v>
      </c>
      <c r="E852" t="s">
        <v>31</v>
      </c>
      <c r="F852" t="s">
        <v>47</v>
      </c>
      <c r="G852" t="s">
        <v>54</v>
      </c>
      <c r="H852" t="s">
        <v>27</v>
      </c>
      <c r="I852" t="s">
        <v>27</v>
      </c>
      <c r="J852" t="s">
        <v>27</v>
      </c>
      <c r="K852">
        <v>8007</v>
      </c>
      <c r="L852" t="s">
        <v>31</v>
      </c>
      <c r="M852">
        <v>66.87597417890872</v>
      </c>
    </row>
    <row r="853" spans="1:13" hidden="1" x14ac:dyDescent="0.3">
      <c r="A853" t="s">
        <v>2326</v>
      </c>
      <c r="B853" t="s">
        <v>51</v>
      </c>
      <c r="C853" t="s">
        <v>121</v>
      </c>
      <c r="D853">
        <v>2008</v>
      </c>
      <c r="E853">
        <v>10000</v>
      </c>
      <c r="F853" t="s">
        <v>166</v>
      </c>
      <c r="G853" t="s">
        <v>54</v>
      </c>
      <c r="H853" t="s">
        <v>33</v>
      </c>
      <c r="I853" t="s">
        <v>33</v>
      </c>
      <c r="J853" t="s">
        <v>33</v>
      </c>
      <c r="K853">
        <v>23292</v>
      </c>
      <c r="L853">
        <v>14953</v>
      </c>
      <c r="M853">
        <v>66.87597417890872</v>
      </c>
    </row>
    <row r="854" spans="1:13" hidden="1" x14ac:dyDescent="0.3">
      <c r="A854" t="s">
        <v>2327</v>
      </c>
      <c r="B854" t="s">
        <v>28</v>
      </c>
      <c r="C854" t="s">
        <v>30</v>
      </c>
      <c r="D854">
        <v>2008</v>
      </c>
      <c r="E854" t="s">
        <v>31</v>
      </c>
      <c r="F854" t="s">
        <v>2120</v>
      </c>
      <c r="G854" t="s">
        <v>31</v>
      </c>
      <c r="H854" t="s">
        <v>27</v>
      </c>
      <c r="I854" t="s">
        <v>27</v>
      </c>
      <c r="J854" t="s">
        <v>27</v>
      </c>
      <c r="K854" t="s">
        <v>31</v>
      </c>
      <c r="L854" t="s">
        <v>31</v>
      </c>
      <c r="M854">
        <v>66.87597417890872</v>
      </c>
    </row>
    <row r="855" spans="1:13" hidden="1" x14ac:dyDescent="0.3">
      <c r="A855" t="s">
        <v>2328</v>
      </c>
      <c r="B855" t="s">
        <v>28</v>
      </c>
      <c r="C855" t="s">
        <v>278</v>
      </c>
      <c r="D855">
        <v>2008</v>
      </c>
      <c r="E855" t="s">
        <v>31</v>
      </c>
      <c r="F855" t="s">
        <v>34</v>
      </c>
      <c r="G855" t="s">
        <v>31</v>
      </c>
      <c r="H855" t="s">
        <v>27</v>
      </c>
      <c r="I855" t="s">
        <v>27</v>
      </c>
      <c r="J855" t="s">
        <v>33</v>
      </c>
      <c r="K855" t="s">
        <v>31</v>
      </c>
      <c r="L855" t="s">
        <v>31</v>
      </c>
      <c r="M855">
        <v>66.87597417890872</v>
      </c>
    </row>
    <row r="856" spans="1:13" hidden="1" x14ac:dyDescent="0.3">
      <c r="A856" t="s">
        <v>2329</v>
      </c>
      <c r="B856" t="s">
        <v>28</v>
      </c>
      <c r="C856" t="s">
        <v>30</v>
      </c>
      <c r="D856">
        <v>2008</v>
      </c>
      <c r="E856" t="s">
        <v>31</v>
      </c>
      <c r="F856" t="s">
        <v>219</v>
      </c>
      <c r="G856" t="s">
        <v>37</v>
      </c>
      <c r="H856" t="s">
        <v>27</v>
      </c>
      <c r="I856" t="s">
        <v>27</v>
      </c>
      <c r="J856" t="s">
        <v>27</v>
      </c>
      <c r="K856">
        <v>25800</v>
      </c>
      <c r="L856" t="s">
        <v>31</v>
      </c>
      <c r="M856">
        <v>66.87597417890872</v>
      </c>
    </row>
    <row r="857" spans="1:13" hidden="1" x14ac:dyDescent="0.3">
      <c r="A857" t="s">
        <v>2330</v>
      </c>
      <c r="B857" t="s">
        <v>51</v>
      </c>
      <c r="C857" t="s">
        <v>121</v>
      </c>
      <c r="D857">
        <v>2008</v>
      </c>
      <c r="E857">
        <v>10000000</v>
      </c>
      <c r="F857" t="s">
        <v>34</v>
      </c>
      <c r="G857" t="s">
        <v>402</v>
      </c>
      <c r="H857" t="s">
        <v>27</v>
      </c>
      <c r="I857" t="s">
        <v>27</v>
      </c>
      <c r="J857" t="s">
        <v>27</v>
      </c>
      <c r="K857">
        <v>11000148</v>
      </c>
      <c r="L857">
        <v>14953053</v>
      </c>
      <c r="M857">
        <v>66.87597417890872</v>
      </c>
    </row>
    <row r="858" spans="1:13" hidden="1" x14ac:dyDescent="0.3">
      <c r="A858" t="s">
        <v>2331</v>
      </c>
      <c r="B858" t="s">
        <v>51</v>
      </c>
      <c r="C858" t="s">
        <v>121</v>
      </c>
      <c r="D858">
        <v>2008</v>
      </c>
      <c r="E858" t="s">
        <v>31</v>
      </c>
      <c r="F858" t="s">
        <v>34</v>
      </c>
      <c r="G858" t="s">
        <v>31</v>
      </c>
      <c r="H858" t="s">
        <v>27</v>
      </c>
      <c r="I858" t="s">
        <v>27</v>
      </c>
      <c r="J858" t="s">
        <v>27</v>
      </c>
      <c r="K858">
        <v>30000</v>
      </c>
      <c r="L858" t="s">
        <v>31</v>
      </c>
      <c r="M858">
        <v>66.87597417890872</v>
      </c>
    </row>
    <row r="859" spans="1:13" hidden="1" x14ac:dyDescent="0.3">
      <c r="A859" t="s">
        <v>2332</v>
      </c>
      <c r="B859" t="s">
        <v>91</v>
      </c>
      <c r="C859" t="s">
        <v>93</v>
      </c>
      <c r="D859">
        <v>2008</v>
      </c>
      <c r="E859">
        <v>10000</v>
      </c>
      <c r="F859" t="s">
        <v>47</v>
      </c>
      <c r="G859" t="s">
        <v>54</v>
      </c>
      <c r="H859" t="s">
        <v>27</v>
      </c>
      <c r="I859" t="s">
        <v>27</v>
      </c>
      <c r="J859" t="s">
        <v>27</v>
      </c>
      <c r="K859">
        <v>1754</v>
      </c>
      <c r="L859">
        <v>14953</v>
      </c>
      <c r="M859">
        <v>66.87597417890872</v>
      </c>
    </row>
    <row r="860" spans="1:13" hidden="1" x14ac:dyDescent="0.3">
      <c r="A860" t="s">
        <v>2333</v>
      </c>
      <c r="B860" t="s">
        <v>43</v>
      </c>
      <c r="C860" t="s">
        <v>114</v>
      </c>
      <c r="D860">
        <v>2008</v>
      </c>
      <c r="E860" t="s">
        <v>31</v>
      </c>
      <c r="F860" t="s">
        <v>117</v>
      </c>
      <c r="G860" t="s">
        <v>31</v>
      </c>
      <c r="H860" t="s">
        <v>27</v>
      </c>
      <c r="I860" t="s">
        <v>27</v>
      </c>
      <c r="J860" t="s">
        <v>27</v>
      </c>
      <c r="K860">
        <v>4104</v>
      </c>
      <c r="L860" t="s">
        <v>31</v>
      </c>
      <c r="M860">
        <v>66.87597417890872</v>
      </c>
    </row>
    <row r="861" spans="1:13" hidden="1" x14ac:dyDescent="0.3">
      <c r="A861" t="s">
        <v>2335</v>
      </c>
      <c r="B861" t="s">
        <v>39</v>
      </c>
      <c r="C861" t="s">
        <v>157</v>
      </c>
      <c r="D861">
        <v>2008</v>
      </c>
      <c r="E861" t="s">
        <v>31</v>
      </c>
      <c r="F861" t="s">
        <v>111</v>
      </c>
      <c r="G861" t="s">
        <v>31</v>
      </c>
      <c r="H861" t="s">
        <v>27</v>
      </c>
      <c r="I861" t="s">
        <v>27</v>
      </c>
      <c r="J861" t="s">
        <v>33</v>
      </c>
      <c r="K861">
        <v>27500</v>
      </c>
      <c r="L861" t="s">
        <v>31</v>
      </c>
      <c r="M861">
        <v>66.87597417890872</v>
      </c>
    </row>
    <row r="862" spans="1:13" hidden="1" x14ac:dyDescent="0.3">
      <c r="A862" t="s">
        <v>685</v>
      </c>
      <c r="B862" t="s">
        <v>91</v>
      </c>
      <c r="C862" t="s">
        <v>93</v>
      </c>
      <c r="D862">
        <v>2009</v>
      </c>
      <c r="E862">
        <v>200000</v>
      </c>
      <c r="F862" t="s">
        <v>161</v>
      </c>
      <c r="G862" t="s">
        <v>54</v>
      </c>
      <c r="H862" t="s">
        <v>33</v>
      </c>
      <c r="I862" t="s">
        <v>33</v>
      </c>
      <c r="J862" t="s">
        <v>33</v>
      </c>
      <c r="K862">
        <v>128618</v>
      </c>
      <c r="L862">
        <v>300128</v>
      </c>
      <c r="M862">
        <v>66.638201071664426</v>
      </c>
    </row>
    <row r="863" spans="1:13" hidden="1" x14ac:dyDescent="0.3">
      <c r="A863" t="s">
        <v>686</v>
      </c>
      <c r="B863" t="s">
        <v>91</v>
      </c>
      <c r="C863" t="s">
        <v>687</v>
      </c>
      <c r="D863">
        <v>2009</v>
      </c>
      <c r="E863" t="s">
        <v>31</v>
      </c>
      <c r="F863" t="s">
        <v>90</v>
      </c>
      <c r="G863" t="s">
        <v>31</v>
      </c>
      <c r="H863" t="s">
        <v>27</v>
      </c>
      <c r="I863" t="s">
        <v>27</v>
      </c>
      <c r="J863" t="s">
        <v>27</v>
      </c>
      <c r="K863">
        <v>3028</v>
      </c>
      <c r="L863" t="s">
        <v>31</v>
      </c>
      <c r="M863">
        <v>66.638201071664426</v>
      </c>
    </row>
    <row r="864" spans="1:13" hidden="1" x14ac:dyDescent="0.3">
      <c r="A864" t="s">
        <v>688</v>
      </c>
      <c r="B864" t="s">
        <v>51</v>
      </c>
      <c r="C864" t="s">
        <v>134</v>
      </c>
      <c r="D864">
        <v>2009</v>
      </c>
      <c r="E864">
        <v>15000</v>
      </c>
      <c r="F864" t="s">
        <v>130</v>
      </c>
      <c r="G864" t="s">
        <v>31</v>
      </c>
      <c r="H864" t="s">
        <v>27</v>
      </c>
      <c r="I864" t="s">
        <v>27</v>
      </c>
      <c r="J864" t="s">
        <v>27</v>
      </c>
      <c r="K864">
        <v>20000</v>
      </c>
      <c r="L864">
        <v>22510</v>
      </c>
      <c r="M864">
        <v>66.638201071664426</v>
      </c>
    </row>
    <row r="865" spans="1:13" hidden="1" x14ac:dyDescent="0.3">
      <c r="A865" t="s">
        <v>689</v>
      </c>
      <c r="B865" t="s">
        <v>51</v>
      </c>
      <c r="C865" t="s">
        <v>121</v>
      </c>
      <c r="D865">
        <v>2009</v>
      </c>
      <c r="E865" t="s">
        <v>31</v>
      </c>
      <c r="F865" t="s">
        <v>111</v>
      </c>
      <c r="G865" t="s">
        <v>31</v>
      </c>
      <c r="H865" t="s">
        <v>27</v>
      </c>
      <c r="I865" t="s">
        <v>27</v>
      </c>
      <c r="J865" t="s">
        <v>27</v>
      </c>
      <c r="K865">
        <v>63000</v>
      </c>
      <c r="L865" t="s">
        <v>31</v>
      </c>
      <c r="M865">
        <v>66.638201071664426</v>
      </c>
    </row>
    <row r="866" spans="1:13" hidden="1" x14ac:dyDescent="0.3">
      <c r="A866" t="s">
        <v>690</v>
      </c>
      <c r="B866" t="s">
        <v>28</v>
      </c>
      <c r="C866" t="s">
        <v>97</v>
      </c>
      <c r="D866">
        <v>2009</v>
      </c>
      <c r="E866">
        <v>1700000</v>
      </c>
      <c r="F866" t="s">
        <v>34</v>
      </c>
      <c r="G866" t="s">
        <v>388</v>
      </c>
      <c r="H866" t="s">
        <v>27</v>
      </c>
      <c r="I866" t="s">
        <v>27</v>
      </c>
      <c r="J866" t="s">
        <v>33</v>
      </c>
      <c r="K866">
        <v>822</v>
      </c>
      <c r="L866">
        <v>2551089</v>
      </c>
      <c r="M866">
        <v>66.638201071664426</v>
      </c>
    </row>
    <row r="867" spans="1:13" hidden="1" x14ac:dyDescent="0.3">
      <c r="A867" t="s">
        <v>691</v>
      </c>
      <c r="B867" t="s">
        <v>51</v>
      </c>
      <c r="C867" t="s">
        <v>121</v>
      </c>
      <c r="D867">
        <v>2009</v>
      </c>
      <c r="E867" t="s">
        <v>31</v>
      </c>
      <c r="F867" t="s">
        <v>34</v>
      </c>
      <c r="G867" t="s">
        <v>31</v>
      </c>
      <c r="H867" t="s">
        <v>27</v>
      </c>
      <c r="I867" t="s">
        <v>27</v>
      </c>
      <c r="J867" t="s">
        <v>33</v>
      </c>
      <c r="K867">
        <v>1000</v>
      </c>
      <c r="L867" t="s">
        <v>31</v>
      </c>
      <c r="M867">
        <v>66.638201071664426</v>
      </c>
    </row>
    <row r="868" spans="1:13" hidden="1" x14ac:dyDescent="0.3">
      <c r="A868" t="s">
        <v>693</v>
      </c>
      <c r="B868" t="s">
        <v>51</v>
      </c>
      <c r="C868" t="s">
        <v>121</v>
      </c>
      <c r="D868">
        <v>2009</v>
      </c>
      <c r="E868" t="s">
        <v>31</v>
      </c>
      <c r="F868" t="s">
        <v>90</v>
      </c>
      <c r="G868" t="s">
        <v>31</v>
      </c>
      <c r="H868" t="s">
        <v>27</v>
      </c>
      <c r="I868" t="s">
        <v>27</v>
      </c>
      <c r="J868" t="s">
        <v>27</v>
      </c>
      <c r="K868">
        <v>10800</v>
      </c>
      <c r="L868" t="s">
        <v>31</v>
      </c>
      <c r="M868">
        <v>66.638201071664426</v>
      </c>
    </row>
    <row r="869" spans="1:13" hidden="1" x14ac:dyDescent="0.3">
      <c r="A869" t="s">
        <v>694</v>
      </c>
      <c r="B869" t="s">
        <v>28</v>
      </c>
      <c r="C869" t="s">
        <v>64</v>
      </c>
      <c r="D869">
        <v>2009</v>
      </c>
      <c r="E869">
        <v>240000</v>
      </c>
      <c r="F869" t="s">
        <v>34</v>
      </c>
      <c r="G869" t="s">
        <v>100</v>
      </c>
      <c r="H869" t="s">
        <v>27</v>
      </c>
      <c r="I869" t="s">
        <v>27</v>
      </c>
      <c r="J869" t="s">
        <v>27</v>
      </c>
      <c r="K869" t="s">
        <v>31</v>
      </c>
      <c r="L869">
        <v>360154</v>
      </c>
      <c r="M869">
        <v>66.638201071664426</v>
      </c>
    </row>
    <row r="870" spans="1:13" hidden="1" x14ac:dyDescent="0.3">
      <c r="A870" t="s">
        <v>695</v>
      </c>
      <c r="B870" t="s">
        <v>28</v>
      </c>
      <c r="C870" t="s">
        <v>97</v>
      </c>
      <c r="D870">
        <v>2009</v>
      </c>
      <c r="E870">
        <v>2500000</v>
      </c>
      <c r="F870" t="s">
        <v>34</v>
      </c>
      <c r="G870" t="s">
        <v>181</v>
      </c>
      <c r="H870" t="s">
        <v>27</v>
      </c>
      <c r="I870" t="s">
        <v>27</v>
      </c>
      <c r="J870" t="s">
        <v>27</v>
      </c>
      <c r="K870">
        <v>50</v>
      </c>
      <c r="L870">
        <v>3751602</v>
      </c>
      <c r="M870">
        <v>66.638201071664426</v>
      </c>
    </row>
    <row r="871" spans="1:13" hidden="1" x14ac:dyDescent="0.3">
      <c r="A871" t="s">
        <v>696</v>
      </c>
      <c r="B871" t="s">
        <v>28</v>
      </c>
      <c r="C871" t="s">
        <v>30</v>
      </c>
      <c r="D871">
        <v>2009</v>
      </c>
      <c r="E871" t="s">
        <v>31</v>
      </c>
      <c r="F871" t="s">
        <v>77</v>
      </c>
      <c r="G871" t="s">
        <v>31</v>
      </c>
      <c r="H871" t="s">
        <v>27</v>
      </c>
      <c r="I871" t="s">
        <v>27</v>
      </c>
      <c r="J871" t="s">
        <v>27</v>
      </c>
      <c r="K871">
        <v>3</v>
      </c>
      <c r="L871" t="s">
        <v>31</v>
      </c>
      <c r="M871">
        <v>66.638201071664426</v>
      </c>
    </row>
    <row r="872" spans="1:13" hidden="1" x14ac:dyDescent="0.3">
      <c r="A872" t="s">
        <v>697</v>
      </c>
      <c r="B872" t="s">
        <v>28</v>
      </c>
      <c r="C872" t="s">
        <v>30</v>
      </c>
      <c r="D872">
        <v>2009</v>
      </c>
      <c r="E872" t="s">
        <v>31</v>
      </c>
      <c r="F872" t="s">
        <v>34</v>
      </c>
      <c r="G872" t="s">
        <v>87</v>
      </c>
      <c r="H872" t="s">
        <v>27</v>
      </c>
      <c r="I872" t="s">
        <v>27</v>
      </c>
      <c r="J872" t="s">
        <v>27</v>
      </c>
      <c r="K872">
        <v>9</v>
      </c>
      <c r="L872" t="s">
        <v>31</v>
      </c>
      <c r="M872">
        <v>66.638201071664426</v>
      </c>
    </row>
    <row r="873" spans="1:13" hidden="1" x14ac:dyDescent="0.3">
      <c r="A873" t="s">
        <v>698</v>
      </c>
      <c r="B873" t="s">
        <v>28</v>
      </c>
      <c r="C873" t="s">
        <v>64</v>
      </c>
      <c r="D873">
        <v>2009</v>
      </c>
      <c r="E873" t="s">
        <v>31</v>
      </c>
      <c r="F873" t="s">
        <v>117</v>
      </c>
      <c r="G873" t="s">
        <v>31</v>
      </c>
      <c r="H873" t="s">
        <v>27</v>
      </c>
      <c r="I873" t="s">
        <v>27</v>
      </c>
      <c r="J873" t="s">
        <v>27</v>
      </c>
      <c r="K873">
        <v>700</v>
      </c>
      <c r="L873" t="s">
        <v>31</v>
      </c>
      <c r="M873">
        <v>66.638201071664426</v>
      </c>
    </row>
    <row r="874" spans="1:13" hidden="1" x14ac:dyDescent="0.3">
      <c r="A874" t="s">
        <v>699</v>
      </c>
      <c r="B874" t="s">
        <v>28</v>
      </c>
      <c r="C874" t="s">
        <v>30</v>
      </c>
      <c r="D874">
        <v>2009</v>
      </c>
      <c r="E874">
        <v>40000</v>
      </c>
      <c r="F874" t="s">
        <v>73</v>
      </c>
      <c r="G874" t="s">
        <v>82</v>
      </c>
      <c r="H874" t="s">
        <v>33</v>
      </c>
      <c r="I874" t="s">
        <v>27</v>
      </c>
      <c r="J874" t="s">
        <v>33</v>
      </c>
      <c r="K874">
        <v>72000</v>
      </c>
      <c r="L874">
        <v>60026</v>
      </c>
      <c r="M874">
        <v>66.638201071664426</v>
      </c>
    </row>
    <row r="875" spans="1:13" hidden="1" x14ac:dyDescent="0.3">
      <c r="A875" t="s">
        <v>700</v>
      </c>
      <c r="B875" t="s">
        <v>51</v>
      </c>
      <c r="C875" t="s">
        <v>121</v>
      </c>
      <c r="D875">
        <v>2009</v>
      </c>
      <c r="E875">
        <v>500000</v>
      </c>
      <c r="F875" t="s">
        <v>34</v>
      </c>
      <c r="G875" t="s">
        <v>31</v>
      </c>
      <c r="H875" t="s">
        <v>27</v>
      </c>
      <c r="I875" t="s">
        <v>27</v>
      </c>
      <c r="J875" t="s">
        <v>33</v>
      </c>
      <c r="K875">
        <v>3000</v>
      </c>
      <c r="L875">
        <v>750320</v>
      </c>
      <c r="M875">
        <v>66.638201071664426</v>
      </c>
    </row>
    <row r="876" spans="1:13" hidden="1" x14ac:dyDescent="0.3">
      <c r="A876" t="s">
        <v>701</v>
      </c>
      <c r="B876" t="s">
        <v>28</v>
      </c>
      <c r="C876" t="s">
        <v>30</v>
      </c>
      <c r="D876">
        <v>2009</v>
      </c>
      <c r="E876" t="s">
        <v>31</v>
      </c>
      <c r="F876" t="s">
        <v>81</v>
      </c>
      <c r="G876" t="s">
        <v>37</v>
      </c>
      <c r="H876" t="s">
        <v>27</v>
      </c>
      <c r="I876" t="s">
        <v>27</v>
      </c>
      <c r="J876" t="s">
        <v>27</v>
      </c>
      <c r="K876">
        <v>19897</v>
      </c>
      <c r="L876" t="s">
        <v>31</v>
      </c>
      <c r="M876">
        <v>66.638201071664426</v>
      </c>
    </row>
    <row r="877" spans="1:13" hidden="1" x14ac:dyDescent="0.3">
      <c r="A877" t="s">
        <v>702</v>
      </c>
      <c r="B877" t="s">
        <v>28</v>
      </c>
      <c r="C877" t="s">
        <v>30</v>
      </c>
      <c r="D877">
        <v>2009</v>
      </c>
      <c r="E877">
        <v>939000</v>
      </c>
      <c r="F877" t="s">
        <v>115</v>
      </c>
      <c r="G877" t="s">
        <v>82</v>
      </c>
      <c r="H877" t="s">
        <v>33</v>
      </c>
      <c r="I877" t="s">
        <v>33</v>
      </c>
      <c r="J877" t="s">
        <v>33</v>
      </c>
      <c r="K877">
        <v>90000</v>
      </c>
      <c r="L877">
        <v>1409102</v>
      </c>
      <c r="M877">
        <v>66.638201071664426</v>
      </c>
    </row>
    <row r="878" spans="1:13" hidden="1" x14ac:dyDescent="0.3">
      <c r="A878" t="s">
        <v>703</v>
      </c>
      <c r="B878" t="s">
        <v>43</v>
      </c>
      <c r="C878" t="s">
        <v>114</v>
      </c>
      <c r="D878">
        <v>2009</v>
      </c>
      <c r="E878" t="s">
        <v>31</v>
      </c>
      <c r="F878" t="s">
        <v>115</v>
      </c>
      <c r="G878" t="s">
        <v>31</v>
      </c>
      <c r="H878" t="s">
        <v>27</v>
      </c>
      <c r="I878" t="s">
        <v>27</v>
      </c>
      <c r="J878" t="s">
        <v>27</v>
      </c>
      <c r="K878">
        <v>4598</v>
      </c>
      <c r="L878" t="s">
        <v>31</v>
      </c>
      <c r="M878">
        <v>66.638201071664426</v>
      </c>
    </row>
    <row r="879" spans="1:13" hidden="1" x14ac:dyDescent="0.3">
      <c r="A879" t="s">
        <v>704</v>
      </c>
      <c r="B879" t="s">
        <v>39</v>
      </c>
      <c r="C879" t="s">
        <v>157</v>
      </c>
      <c r="D879">
        <v>2009</v>
      </c>
      <c r="E879">
        <v>1700</v>
      </c>
      <c r="F879" t="s">
        <v>109</v>
      </c>
      <c r="G879" t="s">
        <v>31</v>
      </c>
      <c r="H879" t="s">
        <v>27</v>
      </c>
      <c r="I879" t="s">
        <v>27</v>
      </c>
      <c r="J879" t="s">
        <v>33</v>
      </c>
      <c r="K879">
        <v>107500</v>
      </c>
      <c r="L879">
        <v>2551</v>
      </c>
      <c r="M879">
        <v>66.638201071664426</v>
      </c>
    </row>
    <row r="880" spans="1:13" hidden="1" x14ac:dyDescent="0.3">
      <c r="A880" t="s">
        <v>705</v>
      </c>
      <c r="B880" t="s">
        <v>39</v>
      </c>
      <c r="C880" t="s">
        <v>157</v>
      </c>
      <c r="D880">
        <v>2009</v>
      </c>
      <c r="E880">
        <v>27000</v>
      </c>
      <c r="F880" t="s">
        <v>115</v>
      </c>
      <c r="G880" t="s">
        <v>31</v>
      </c>
      <c r="H880" t="s">
        <v>27</v>
      </c>
      <c r="I880" t="s">
        <v>27</v>
      </c>
      <c r="J880" t="s">
        <v>27</v>
      </c>
      <c r="K880" t="s">
        <v>31</v>
      </c>
      <c r="L880">
        <v>40517</v>
      </c>
      <c r="M880">
        <v>66.638201071664426</v>
      </c>
    </row>
    <row r="881" spans="1:13" hidden="1" x14ac:dyDescent="0.3">
      <c r="A881" t="s">
        <v>1030</v>
      </c>
      <c r="B881" t="s">
        <v>51</v>
      </c>
      <c r="C881" t="s">
        <v>134</v>
      </c>
      <c r="D881">
        <v>2009</v>
      </c>
      <c r="E881" t="s">
        <v>31</v>
      </c>
      <c r="F881" t="s">
        <v>53</v>
      </c>
      <c r="G881" t="s">
        <v>31</v>
      </c>
      <c r="H881" t="s">
        <v>27</v>
      </c>
      <c r="I881" t="s">
        <v>27</v>
      </c>
      <c r="J881" t="s">
        <v>27</v>
      </c>
      <c r="K881">
        <v>1300</v>
      </c>
      <c r="L881" t="s">
        <v>31</v>
      </c>
      <c r="M881">
        <v>66.638201071664426</v>
      </c>
    </row>
    <row r="882" spans="1:13" hidden="1" x14ac:dyDescent="0.3">
      <c r="A882" t="s">
        <v>1031</v>
      </c>
      <c r="B882" t="s">
        <v>43</v>
      </c>
      <c r="C882" t="s">
        <v>114</v>
      </c>
      <c r="D882">
        <v>2009</v>
      </c>
      <c r="E882" t="s">
        <v>31</v>
      </c>
      <c r="F882" t="s">
        <v>130</v>
      </c>
      <c r="G882" t="s">
        <v>31</v>
      </c>
      <c r="H882" t="s">
        <v>27</v>
      </c>
      <c r="I882" t="s">
        <v>27</v>
      </c>
      <c r="J882" t="s">
        <v>27</v>
      </c>
      <c r="K882">
        <v>13366</v>
      </c>
      <c r="L882" t="s">
        <v>31</v>
      </c>
      <c r="M882">
        <v>66.638201071664426</v>
      </c>
    </row>
    <row r="883" spans="1:13" hidden="1" x14ac:dyDescent="0.3">
      <c r="A883" t="s">
        <v>1032</v>
      </c>
      <c r="B883" t="s">
        <v>51</v>
      </c>
      <c r="C883" t="s">
        <v>121</v>
      </c>
      <c r="D883">
        <v>2009</v>
      </c>
      <c r="E883" t="s">
        <v>31</v>
      </c>
      <c r="F883" t="s">
        <v>45</v>
      </c>
      <c r="G883" t="s">
        <v>31</v>
      </c>
      <c r="H883" t="s">
        <v>27</v>
      </c>
      <c r="I883" t="s">
        <v>27</v>
      </c>
      <c r="J883" t="s">
        <v>27</v>
      </c>
      <c r="K883">
        <v>9910</v>
      </c>
      <c r="L883" t="s">
        <v>31</v>
      </c>
      <c r="M883">
        <v>66.638201071664426</v>
      </c>
    </row>
    <row r="884" spans="1:13" hidden="1" x14ac:dyDescent="0.3">
      <c r="A884" t="s">
        <v>1033</v>
      </c>
      <c r="B884" t="s">
        <v>91</v>
      </c>
      <c r="C884" t="s">
        <v>93</v>
      </c>
      <c r="D884">
        <v>2009</v>
      </c>
      <c r="E884">
        <v>100000</v>
      </c>
      <c r="F884" t="s">
        <v>49</v>
      </c>
      <c r="G884" t="s">
        <v>54</v>
      </c>
      <c r="H884" t="s">
        <v>27</v>
      </c>
      <c r="I884" t="s">
        <v>27</v>
      </c>
      <c r="J884" t="s">
        <v>27</v>
      </c>
      <c r="K884">
        <v>50136</v>
      </c>
      <c r="L884">
        <v>150064</v>
      </c>
      <c r="M884">
        <v>66.638201071664426</v>
      </c>
    </row>
    <row r="885" spans="1:13" hidden="1" x14ac:dyDescent="0.3">
      <c r="A885" t="s">
        <v>1034</v>
      </c>
      <c r="B885" t="s">
        <v>51</v>
      </c>
      <c r="C885" t="s">
        <v>121</v>
      </c>
      <c r="D885">
        <v>2009</v>
      </c>
      <c r="E885" t="s">
        <v>31</v>
      </c>
      <c r="F885" t="s">
        <v>119</v>
      </c>
      <c r="G885" t="s">
        <v>402</v>
      </c>
      <c r="H885" t="s">
        <v>27</v>
      </c>
      <c r="I885" t="s">
        <v>27</v>
      </c>
      <c r="J885" t="s">
        <v>27</v>
      </c>
      <c r="K885">
        <v>2500</v>
      </c>
      <c r="L885" t="s">
        <v>31</v>
      </c>
      <c r="M885">
        <v>66.638201071664426</v>
      </c>
    </row>
    <row r="886" spans="1:13" hidden="1" x14ac:dyDescent="0.3">
      <c r="A886" t="s">
        <v>1035</v>
      </c>
      <c r="B886" t="s">
        <v>51</v>
      </c>
      <c r="C886" t="s">
        <v>121</v>
      </c>
      <c r="D886">
        <v>2009</v>
      </c>
      <c r="E886" t="s">
        <v>31</v>
      </c>
      <c r="F886" t="s">
        <v>81</v>
      </c>
      <c r="G886" t="s">
        <v>54</v>
      </c>
      <c r="H886" t="s">
        <v>27</v>
      </c>
      <c r="I886" t="s">
        <v>27</v>
      </c>
      <c r="J886" t="s">
        <v>27</v>
      </c>
      <c r="K886">
        <v>64</v>
      </c>
      <c r="L886" t="s">
        <v>31</v>
      </c>
      <c r="M886">
        <v>66.638201071664426</v>
      </c>
    </row>
    <row r="887" spans="1:13" x14ac:dyDescent="0.3">
      <c r="D887" s="2" t="s">
        <v>2571</v>
      </c>
      <c r="E887" s="2">
        <f>SUM(E789,E806)</f>
        <v>1110000</v>
      </c>
    </row>
    <row r="888" spans="1:13" x14ac:dyDescent="0.3">
      <c r="A888" t="s">
        <v>1036</v>
      </c>
      <c r="B888" t="s">
        <v>51</v>
      </c>
      <c r="C888" t="s">
        <v>121</v>
      </c>
      <c r="D888">
        <v>2009</v>
      </c>
      <c r="E888">
        <v>50000</v>
      </c>
      <c r="F888" t="s">
        <v>119</v>
      </c>
      <c r="G888" t="s">
        <v>31</v>
      </c>
      <c r="H888" t="s">
        <v>27</v>
      </c>
      <c r="I888" t="s">
        <v>27</v>
      </c>
      <c r="J888" t="s">
        <v>27</v>
      </c>
      <c r="K888">
        <v>10000</v>
      </c>
      <c r="L888">
        <v>75032</v>
      </c>
      <c r="M888">
        <v>66.638201071664426</v>
      </c>
    </row>
    <row r="889" spans="1:13" hidden="1" x14ac:dyDescent="0.3">
      <c r="A889" t="s">
        <v>1037</v>
      </c>
      <c r="B889" t="s">
        <v>28</v>
      </c>
      <c r="C889" t="s">
        <v>68</v>
      </c>
      <c r="D889">
        <v>2009</v>
      </c>
      <c r="E889" t="s">
        <v>31</v>
      </c>
      <c r="F889" t="s">
        <v>53</v>
      </c>
      <c r="G889" t="s">
        <v>31</v>
      </c>
      <c r="H889" t="s">
        <v>27</v>
      </c>
      <c r="I889" t="s">
        <v>27</v>
      </c>
      <c r="J889" t="s">
        <v>27</v>
      </c>
      <c r="K889">
        <v>24262</v>
      </c>
      <c r="L889" t="s">
        <v>31</v>
      </c>
      <c r="M889">
        <v>66.638201071664426</v>
      </c>
    </row>
    <row r="890" spans="1:13" hidden="1" x14ac:dyDescent="0.3">
      <c r="A890" t="s">
        <v>1038</v>
      </c>
      <c r="B890" t="s">
        <v>28</v>
      </c>
      <c r="C890" t="s">
        <v>64</v>
      </c>
      <c r="D890">
        <v>2009</v>
      </c>
      <c r="E890" t="s">
        <v>31</v>
      </c>
      <c r="F890" t="s">
        <v>130</v>
      </c>
      <c r="G890" t="s">
        <v>31</v>
      </c>
      <c r="H890" t="s">
        <v>27</v>
      </c>
      <c r="I890" t="s">
        <v>27</v>
      </c>
      <c r="J890" t="s">
        <v>27</v>
      </c>
      <c r="K890">
        <v>24</v>
      </c>
      <c r="L890" t="s">
        <v>31</v>
      </c>
      <c r="M890">
        <v>66.638201071664426</v>
      </c>
    </row>
    <row r="891" spans="1:13" hidden="1" x14ac:dyDescent="0.3">
      <c r="A891" t="s">
        <v>1039</v>
      </c>
      <c r="B891" t="s">
        <v>51</v>
      </c>
      <c r="C891" t="s">
        <v>121</v>
      </c>
      <c r="D891">
        <v>2009</v>
      </c>
      <c r="E891" t="s">
        <v>31</v>
      </c>
      <c r="F891" t="s">
        <v>73</v>
      </c>
      <c r="G891" t="s">
        <v>31</v>
      </c>
      <c r="H891" t="s">
        <v>27</v>
      </c>
      <c r="I891" t="s">
        <v>27</v>
      </c>
      <c r="J891" t="s">
        <v>33</v>
      </c>
      <c r="K891">
        <v>1500</v>
      </c>
      <c r="L891" t="s">
        <v>31</v>
      </c>
      <c r="M891">
        <v>66.638201071664426</v>
      </c>
    </row>
    <row r="892" spans="1:13" hidden="1" x14ac:dyDescent="0.3">
      <c r="A892" t="s">
        <v>1040</v>
      </c>
      <c r="B892" t="s">
        <v>28</v>
      </c>
      <c r="C892" t="s">
        <v>97</v>
      </c>
      <c r="D892">
        <v>2009</v>
      </c>
      <c r="E892">
        <v>850000</v>
      </c>
      <c r="F892" t="s">
        <v>34</v>
      </c>
      <c r="G892" t="s">
        <v>31</v>
      </c>
      <c r="H892" t="s">
        <v>27</v>
      </c>
      <c r="I892" t="s">
        <v>27</v>
      </c>
      <c r="J892" t="s">
        <v>27</v>
      </c>
      <c r="K892" t="s">
        <v>31</v>
      </c>
      <c r="L892">
        <v>1275545</v>
      </c>
      <c r="M892">
        <v>66.638201071664426</v>
      </c>
    </row>
    <row r="893" spans="1:13" hidden="1" x14ac:dyDescent="0.3">
      <c r="A893" t="s">
        <v>1042</v>
      </c>
      <c r="B893" t="s">
        <v>51</v>
      </c>
      <c r="C893" t="s">
        <v>121</v>
      </c>
      <c r="D893">
        <v>2009</v>
      </c>
      <c r="E893" t="s">
        <v>31</v>
      </c>
      <c r="F893" t="s">
        <v>130</v>
      </c>
      <c r="G893" t="s">
        <v>31</v>
      </c>
      <c r="H893" t="s">
        <v>27</v>
      </c>
      <c r="I893" t="s">
        <v>27</v>
      </c>
      <c r="J893" t="s">
        <v>33</v>
      </c>
      <c r="K893">
        <v>30618</v>
      </c>
      <c r="L893" t="s">
        <v>31</v>
      </c>
      <c r="M893">
        <v>66.638201071664426</v>
      </c>
    </row>
    <row r="894" spans="1:13" hidden="1" x14ac:dyDescent="0.3">
      <c r="A894" t="s">
        <v>1043</v>
      </c>
      <c r="B894" t="s">
        <v>43</v>
      </c>
      <c r="C894" t="s">
        <v>114</v>
      </c>
      <c r="D894">
        <v>2009</v>
      </c>
      <c r="E894" t="s">
        <v>31</v>
      </c>
      <c r="F894" t="s">
        <v>49</v>
      </c>
      <c r="G894" t="s">
        <v>31</v>
      </c>
      <c r="H894" t="s">
        <v>27</v>
      </c>
      <c r="I894" t="s">
        <v>27</v>
      </c>
      <c r="J894" t="s">
        <v>27</v>
      </c>
      <c r="K894">
        <v>11771</v>
      </c>
      <c r="L894" t="s">
        <v>31</v>
      </c>
      <c r="M894">
        <v>66.638201071664426</v>
      </c>
    </row>
    <row r="895" spans="1:13" hidden="1" x14ac:dyDescent="0.3">
      <c r="A895" t="s">
        <v>1044</v>
      </c>
      <c r="B895" t="s">
        <v>51</v>
      </c>
      <c r="C895" t="s">
        <v>121</v>
      </c>
      <c r="D895">
        <v>2009</v>
      </c>
      <c r="E895" t="s">
        <v>31</v>
      </c>
      <c r="F895" t="s">
        <v>119</v>
      </c>
      <c r="G895" t="s">
        <v>31</v>
      </c>
      <c r="H895" t="s">
        <v>27</v>
      </c>
      <c r="I895" t="s">
        <v>27</v>
      </c>
      <c r="J895" t="s">
        <v>27</v>
      </c>
      <c r="K895">
        <v>680000</v>
      </c>
      <c r="L895" t="s">
        <v>31</v>
      </c>
      <c r="M895">
        <v>66.638201071664426</v>
      </c>
    </row>
    <row r="896" spans="1:13" hidden="1" x14ac:dyDescent="0.3">
      <c r="A896" t="s">
        <v>1045</v>
      </c>
      <c r="B896" t="s">
        <v>51</v>
      </c>
      <c r="C896" t="s">
        <v>121</v>
      </c>
      <c r="D896">
        <v>2009</v>
      </c>
      <c r="E896" t="s">
        <v>31</v>
      </c>
      <c r="F896" t="s">
        <v>73</v>
      </c>
      <c r="G896" t="s">
        <v>31</v>
      </c>
      <c r="H896" t="s">
        <v>27</v>
      </c>
      <c r="I896" t="s">
        <v>27</v>
      </c>
      <c r="J896" t="s">
        <v>27</v>
      </c>
      <c r="K896">
        <v>13014</v>
      </c>
      <c r="L896" t="s">
        <v>31</v>
      </c>
      <c r="M896">
        <v>66.638201071664426</v>
      </c>
    </row>
    <row r="897" spans="1:13" hidden="1" x14ac:dyDescent="0.3">
      <c r="A897" t="s">
        <v>1046</v>
      </c>
      <c r="B897" t="s">
        <v>43</v>
      </c>
      <c r="C897" t="s">
        <v>114</v>
      </c>
      <c r="D897">
        <v>2009</v>
      </c>
      <c r="E897" t="s">
        <v>31</v>
      </c>
      <c r="F897" t="s">
        <v>81</v>
      </c>
      <c r="G897" t="s">
        <v>31</v>
      </c>
      <c r="H897" t="s">
        <v>27</v>
      </c>
      <c r="I897" t="s">
        <v>27</v>
      </c>
      <c r="J897" t="s">
        <v>27</v>
      </c>
      <c r="K897">
        <v>2050</v>
      </c>
      <c r="L897" t="s">
        <v>31</v>
      </c>
      <c r="M897">
        <v>66.638201071664426</v>
      </c>
    </row>
    <row r="898" spans="1:13" hidden="1" x14ac:dyDescent="0.3">
      <c r="A898" t="s">
        <v>1047</v>
      </c>
      <c r="B898" t="s">
        <v>43</v>
      </c>
      <c r="C898" t="s">
        <v>114</v>
      </c>
      <c r="D898">
        <v>2009</v>
      </c>
      <c r="E898" t="s">
        <v>31</v>
      </c>
      <c r="F898" t="s">
        <v>53</v>
      </c>
      <c r="G898" t="s">
        <v>31</v>
      </c>
      <c r="H898" t="s">
        <v>27</v>
      </c>
      <c r="I898" t="s">
        <v>27</v>
      </c>
      <c r="J898" t="s">
        <v>27</v>
      </c>
      <c r="K898">
        <v>14151</v>
      </c>
      <c r="L898" t="s">
        <v>31</v>
      </c>
      <c r="M898">
        <v>66.638201071664426</v>
      </c>
    </row>
    <row r="899" spans="1:13" hidden="1" x14ac:dyDescent="0.3">
      <c r="A899" t="s">
        <v>1048</v>
      </c>
      <c r="B899" t="s">
        <v>51</v>
      </c>
      <c r="C899" t="s">
        <v>134</v>
      </c>
      <c r="D899">
        <v>2009</v>
      </c>
      <c r="E899" t="s">
        <v>31</v>
      </c>
      <c r="F899" t="s">
        <v>53</v>
      </c>
      <c r="G899" t="s">
        <v>31</v>
      </c>
      <c r="H899" t="s">
        <v>27</v>
      </c>
      <c r="I899" t="s">
        <v>27</v>
      </c>
      <c r="J899" t="s">
        <v>33</v>
      </c>
      <c r="K899">
        <v>1153</v>
      </c>
      <c r="L899" t="s">
        <v>31</v>
      </c>
      <c r="M899">
        <v>66.638201071664426</v>
      </c>
    </row>
    <row r="900" spans="1:13" hidden="1" x14ac:dyDescent="0.3">
      <c r="A900" t="s">
        <v>1049</v>
      </c>
      <c r="B900" t="s">
        <v>28</v>
      </c>
      <c r="C900" t="s">
        <v>67</v>
      </c>
      <c r="D900">
        <v>2009</v>
      </c>
      <c r="E900" t="s">
        <v>31</v>
      </c>
      <c r="F900" t="s">
        <v>34</v>
      </c>
      <c r="G900" t="s">
        <v>31</v>
      </c>
      <c r="H900" t="s">
        <v>27</v>
      </c>
      <c r="I900" t="s">
        <v>27</v>
      </c>
      <c r="J900" t="s">
        <v>33</v>
      </c>
      <c r="K900" t="s">
        <v>31</v>
      </c>
      <c r="L900" t="s">
        <v>31</v>
      </c>
      <c r="M900">
        <v>66.638201071664426</v>
      </c>
    </row>
    <row r="901" spans="1:13" hidden="1" x14ac:dyDescent="0.3">
      <c r="A901" t="s">
        <v>1050</v>
      </c>
      <c r="B901" t="s">
        <v>28</v>
      </c>
      <c r="C901" t="s">
        <v>97</v>
      </c>
      <c r="D901">
        <v>2009</v>
      </c>
      <c r="E901">
        <v>2000000</v>
      </c>
      <c r="F901" t="s">
        <v>34</v>
      </c>
      <c r="G901" t="s">
        <v>100</v>
      </c>
      <c r="H901" t="s">
        <v>27</v>
      </c>
      <c r="I901" t="s">
        <v>27</v>
      </c>
      <c r="J901" t="s">
        <v>27</v>
      </c>
      <c r="K901">
        <v>2</v>
      </c>
      <c r="L901">
        <v>3001281</v>
      </c>
      <c r="M901">
        <v>66.638201071664426</v>
      </c>
    </row>
    <row r="902" spans="1:13" hidden="1" x14ac:dyDescent="0.3">
      <c r="A902" t="s">
        <v>1051</v>
      </c>
      <c r="B902" t="s">
        <v>51</v>
      </c>
      <c r="C902" t="s">
        <v>121</v>
      </c>
      <c r="D902">
        <v>2009</v>
      </c>
      <c r="E902" t="s">
        <v>31</v>
      </c>
      <c r="F902" t="s">
        <v>73</v>
      </c>
      <c r="G902" t="s">
        <v>31</v>
      </c>
      <c r="H902" t="s">
        <v>27</v>
      </c>
      <c r="I902" t="s">
        <v>27</v>
      </c>
      <c r="J902" t="s">
        <v>33</v>
      </c>
      <c r="K902" t="s">
        <v>31</v>
      </c>
      <c r="L902" t="s">
        <v>31</v>
      </c>
      <c r="M902">
        <v>66.638201071664426</v>
      </c>
    </row>
    <row r="903" spans="1:13" hidden="1" x14ac:dyDescent="0.3">
      <c r="A903" t="s">
        <v>1610</v>
      </c>
      <c r="B903" t="s">
        <v>51</v>
      </c>
      <c r="C903" t="s">
        <v>121</v>
      </c>
      <c r="D903">
        <v>2009</v>
      </c>
      <c r="E903" t="s">
        <v>31</v>
      </c>
      <c r="F903" t="s">
        <v>109</v>
      </c>
      <c r="G903" t="s">
        <v>31</v>
      </c>
      <c r="H903" t="s">
        <v>27</v>
      </c>
      <c r="I903" t="s">
        <v>27</v>
      </c>
      <c r="J903" t="s">
        <v>33</v>
      </c>
      <c r="K903">
        <v>11807</v>
      </c>
      <c r="L903" t="s">
        <v>31</v>
      </c>
      <c r="M903">
        <v>66.638201071664426</v>
      </c>
    </row>
    <row r="904" spans="1:13" hidden="1" x14ac:dyDescent="0.3">
      <c r="A904" t="s">
        <v>1616</v>
      </c>
      <c r="B904" t="s">
        <v>51</v>
      </c>
      <c r="C904" t="s">
        <v>134</v>
      </c>
      <c r="D904">
        <v>2009</v>
      </c>
      <c r="E904" t="s">
        <v>31</v>
      </c>
      <c r="F904" t="s">
        <v>53</v>
      </c>
      <c r="G904" t="s">
        <v>31</v>
      </c>
      <c r="H904" t="s">
        <v>27</v>
      </c>
      <c r="I904" t="s">
        <v>27</v>
      </c>
      <c r="J904" t="s">
        <v>27</v>
      </c>
      <c r="K904">
        <v>162</v>
      </c>
      <c r="L904" t="s">
        <v>31</v>
      </c>
      <c r="M904">
        <v>66.638201071664426</v>
      </c>
    </row>
    <row r="905" spans="1:13" x14ac:dyDescent="0.3">
      <c r="A905" t="s">
        <v>1617</v>
      </c>
      <c r="B905" t="s">
        <v>51</v>
      </c>
      <c r="C905" t="s">
        <v>121</v>
      </c>
      <c r="D905">
        <v>2009</v>
      </c>
      <c r="E905">
        <v>550000</v>
      </c>
      <c r="F905" t="s">
        <v>119</v>
      </c>
      <c r="G905" t="s">
        <v>473</v>
      </c>
      <c r="H905" t="s">
        <v>33</v>
      </c>
      <c r="I905" t="s">
        <v>27</v>
      </c>
      <c r="J905" t="s">
        <v>33</v>
      </c>
      <c r="K905">
        <v>1150900</v>
      </c>
      <c r="L905">
        <v>825352</v>
      </c>
      <c r="M905">
        <v>66.638201071664426</v>
      </c>
    </row>
    <row r="906" spans="1:13" hidden="1" x14ac:dyDescent="0.3">
      <c r="A906" t="s">
        <v>1618</v>
      </c>
      <c r="B906" t="s">
        <v>39</v>
      </c>
      <c r="C906" t="s">
        <v>59</v>
      </c>
      <c r="D906">
        <v>2009</v>
      </c>
      <c r="E906">
        <v>100000</v>
      </c>
      <c r="F906" t="s">
        <v>34</v>
      </c>
      <c r="G906" t="s">
        <v>31</v>
      </c>
      <c r="H906" t="s">
        <v>27</v>
      </c>
      <c r="I906" t="s">
        <v>27</v>
      </c>
      <c r="J906" t="s">
        <v>27</v>
      </c>
      <c r="K906">
        <v>263</v>
      </c>
      <c r="L906">
        <v>150064</v>
      </c>
      <c r="M906">
        <v>66.638201071664426</v>
      </c>
    </row>
    <row r="907" spans="1:13" hidden="1" x14ac:dyDescent="0.3">
      <c r="A907" t="s">
        <v>1619</v>
      </c>
      <c r="B907" t="s">
        <v>51</v>
      </c>
      <c r="C907" t="s">
        <v>121</v>
      </c>
      <c r="D907">
        <v>2009</v>
      </c>
      <c r="E907" t="s">
        <v>31</v>
      </c>
      <c r="F907" t="s">
        <v>34</v>
      </c>
      <c r="G907" t="s">
        <v>54</v>
      </c>
      <c r="H907" t="s">
        <v>27</v>
      </c>
      <c r="I907" t="s">
        <v>27</v>
      </c>
      <c r="J907" t="s">
        <v>33</v>
      </c>
      <c r="K907">
        <v>900</v>
      </c>
      <c r="L907" t="s">
        <v>31</v>
      </c>
      <c r="M907">
        <v>66.638201071664426</v>
      </c>
    </row>
    <row r="908" spans="1:13" hidden="1" x14ac:dyDescent="0.3">
      <c r="A908" t="s">
        <v>1620</v>
      </c>
      <c r="B908" t="s">
        <v>51</v>
      </c>
      <c r="C908" t="s">
        <v>121</v>
      </c>
      <c r="D908">
        <v>2009</v>
      </c>
      <c r="E908" t="s">
        <v>31</v>
      </c>
      <c r="F908" t="s">
        <v>77</v>
      </c>
      <c r="G908" t="s">
        <v>31</v>
      </c>
      <c r="H908" t="s">
        <v>27</v>
      </c>
      <c r="I908" t="s">
        <v>27</v>
      </c>
      <c r="J908" t="s">
        <v>27</v>
      </c>
      <c r="K908">
        <v>200</v>
      </c>
      <c r="L908" t="s">
        <v>31</v>
      </c>
      <c r="M908">
        <v>66.638201071664426</v>
      </c>
    </row>
    <row r="909" spans="1:13" hidden="1" x14ac:dyDescent="0.3">
      <c r="A909" t="s">
        <v>1621</v>
      </c>
      <c r="B909" t="s">
        <v>51</v>
      </c>
      <c r="C909" t="s">
        <v>121</v>
      </c>
      <c r="D909">
        <v>2009</v>
      </c>
      <c r="E909" t="s">
        <v>31</v>
      </c>
      <c r="F909" t="s">
        <v>119</v>
      </c>
      <c r="G909" t="s">
        <v>31</v>
      </c>
      <c r="H909" t="s">
        <v>27</v>
      </c>
      <c r="I909" t="s">
        <v>27</v>
      </c>
      <c r="J909" t="s">
        <v>27</v>
      </c>
      <c r="K909">
        <v>18000</v>
      </c>
      <c r="L909" t="s">
        <v>31</v>
      </c>
      <c r="M909">
        <v>66.638201071664426</v>
      </c>
    </row>
    <row r="910" spans="1:13" hidden="1" x14ac:dyDescent="0.3">
      <c r="A910" t="s">
        <v>1622</v>
      </c>
      <c r="B910" t="s">
        <v>51</v>
      </c>
      <c r="C910" t="s">
        <v>121</v>
      </c>
      <c r="D910">
        <v>2009</v>
      </c>
      <c r="E910" t="s">
        <v>31</v>
      </c>
      <c r="F910" t="s">
        <v>73</v>
      </c>
      <c r="G910" t="s">
        <v>31</v>
      </c>
      <c r="H910" t="s">
        <v>27</v>
      </c>
      <c r="I910" t="s">
        <v>27</v>
      </c>
      <c r="J910" t="s">
        <v>33</v>
      </c>
      <c r="K910">
        <v>107670</v>
      </c>
      <c r="L910" t="s">
        <v>31</v>
      </c>
      <c r="M910">
        <v>66.638201071664426</v>
      </c>
    </row>
    <row r="911" spans="1:13" hidden="1" x14ac:dyDescent="0.3">
      <c r="A911" t="s">
        <v>1623</v>
      </c>
      <c r="B911" t="s">
        <v>51</v>
      </c>
      <c r="C911" t="s">
        <v>121</v>
      </c>
      <c r="D911">
        <v>2009</v>
      </c>
      <c r="E911" t="s">
        <v>31</v>
      </c>
      <c r="F911" t="s">
        <v>73</v>
      </c>
      <c r="G911" t="s">
        <v>54</v>
      </c>
      <c r="H911" t="s">
        <v>27</v>
      </c>
      <c r="I911" t="s">
        <v>27</v>
      </c>
      <c r="J911" t="s">
        <v>27</v>
      </c>
      <c r="K911">
        <v>18000</v>
      </c>
      <c r="L911" t="s">
        <v>31</v>
      </c>
      <c r="M911">
        <v>66.638201071664426</v>
      </c>
    </row>
    <row r="912" spans="1:13" hidden="1" x14ac:dyDescent="0.3">
      <c r="A912" t="s">
        <v>1624</v>
      </c>
      <c r="B912" t="s">
        <v>51</v>
      </c>
      <c r="C912" t="s">
        <v>121</v>
      </c>
      <c r="D912">
        <v>2009</v>
      </c>
      <c r="E912" t="s">
        <v>31</v>
      </c>
      <c r="F912" t="s">
        <v>45</v>
      </c>
      <c r="G912" t="s">
        <v>54</v>
      </c>
      <c r="H912" t="s">
        <v>27</v>
      </c>
      <c r="I912" t="s">
        <v>27</v>
      </c>
      <c r="J912" t="s">
        <v>27</v>
      </c>
      <c r="K912">
        <v>2500</v>
      </c>
      <c r="L912" t="s">
        <v>31</v>
      </c>
      <c r="M912">
        <v>66.638201071664426</v>
      </c>
    </row>
    <row r="913" spans="1:13" hidden="1" x14ac:dyDescent="0.3">
      <c r="A913" t="s">
        <v>1625</v>
      </c>
      <c r="B913" t="s">
        <v>28</v>
      </c>
      <c r="C913" t="s">
        <v>30</v>
      </c>
      <c r="D913">
        <v>2009</v>
      </c>
      <c r="E913">
        <v>600000</v>
      </c>
      <c r="F913" t="s">
        <v>34</v>
      </c>
      <c r="G913" t="s">
        <v>37</v>
      </c>
      <c r="H913" t="s">
        <v>27</v>
      </c>
      <c r="I913" t="s">
        <v>27</v>
      </c>
      <c r="J913" t="s">
        <v>33</v>
      </c>
      <c r="K913" t="s">
        <v>31</v>
      </c>
      <c r="L913">
        <v>900384</v>
      </c>
      <c r="M913">
        <v>66.638201071664426</v>
      </c>
    </row>
    <row r="914" spans="1:13" hidden="1" x14ac:dyDescent="0.3">
      <c r="A914" t="s">
        <v>1627</v>
      </c>
      <c r="B914" t="s">
        <v>51</v>
      </c>
      <c r="C914" t="s">
        <v>121</v>
      </c>
      <c r="D914">
        <v>2009</v>
      </c>
      <c r="E914" t="s">
        <v>31</v>
      </c>
      <c r="F914" t="s">
        <v>119</v>
      </c>
      <c r="G914" t="s">
        <v>54</v>
      </c>
      <c r="H914" t="s">
        <v>27</v>
      </c>
      <c r="I914" t="s">
        <v>27</v>
      </c>
      <c r="J914" t="s">
        <v>33</v>
      </c>
      <c r="K914">
        <v>200</v>
      </c>
      <c r="L914" t="s">
        <v>31</v>
      </c>
      <c r="M914">
        <v>66.638201071664426</v>
      </c>
    </row>
    <row r="915" spans="1:13" hidden="1" x14ac:dyDescent="0.3">
      <c r="A915" t="s">
        <v>1628</v>
      </c>
      <c r="B915" t="s">
        <v>51</v>
      </c>
      <c r="C915" t="s">
        <v>121</v>
      </c>
      <c r="D915">
        <v>2009</v>
      </c>
      <c r="E915" t="s">
        <v>31</v>
      </c>
      <c r="F915" t="s">
        <v>166</v>
      </c>
      <c r="G915" t="s">
        <v>54</v>
      </c>
      <c r="H915" t="s">
        <v>27</v>
      </c>
      <c r="I915" t="s">
        <v>27</v>
      </c>
      <c r="J915" t="s">
        <v>27</v>
      </c>
      <c r="K915">
        <v>4248</v>
      </c>
      <c r="L915" t="s">
        <v>31</v>
      </c>
      <c r="M915">
        <v>66.638201071664426</v>
      </c>
    </row>
    <row r="916" spans="1:13" hidden="1" x14ac:dyDescent="0.3">
      <c r="A916" t="s">
        <v>1629</v>
      </c>
      <c r="B916" t="s">
        <v>51</v>
      </c>
      <c r="C916" t="s">
        <v>121</v>
      </c>
      <c r="D916">
        <v>2009</v>
      </c>
      <c r="E916" t="s">
        <v>31</v>
      </c>
      <c r="F916" t="s">
        <v>130</v>
      </c>
      <c r="G916" t="s">
        <v>31</v>
      </c>
      <c r="H916" t="s">
        <v>27</v>
      </c>
      <c r="I916" t="s">
        <v>27</v>
      </c>
      <c r="J916" t="s">
        <v>27</v>
      </c>
      <c r="K916">
        <v>3510</v>
      </c>
      <c r="L916" t="s">
        <v>31</v>
      </c>
      <c r="M916">
        <v>66.638201071664426</v>
      </c>
    </row>
    <row r="917" spans="1:13" hidden="1" x14ac:dyDescent="0.3">
      <c r="A917" t="s">
        <v>1630</v>
      </c>
      <c r="B917" t="s">
        <v>28</v>
      </c>
      <c r="C917" t="s">
        <v>64</v>
      </c>
      <c r="D917">
        <v>2009</v>
      </c>
      <c r="E917">
        <v>1000000</v>
      </c>
      <c r="F917" t="s">
        <v>34</v>
      </c>
      <c r="G917" t="s">
        <v>65</v>
      </c>
      <c r="H917" t="s">
        <v>27</v>
      </c>
      <c r="I917" t="s">
        <v>27</v>
      </c>
      <c r="J917" t="s">
        <v>27</v>
      </c>
      <c r="K917" t="s">
        <v>31</v>
      </c>
      <c r="L917">
        <v>1500641</v>
      </c>
      <c r="M917">
        <v>66.638201071664426</v>
      </c>
    </row>
    <row r="918" spans="1:13" hidden="1" x14ac:dyDescent="0.3">
      <c r="A918" t="s">
        <v>1631</v>
      </c>
      <c r="B918" t="s">
        <v>51</v>
      </c>
      <c r="C918" t="s">
        <v>134</v>
      </c>
      <c r="D918">
        <v>2009</v>
      </c>
      <c r="E918" t="s">
        <v>31</v>
      </c>
      <c r="F918" t="s">
        <v>47</v>
      </c>
      <c r="G918" t="s">
        <v>31</v>
      </c>
      <c r="H918" t="s">
        <v>27</v>
      </c>
      <c r="I918" t="s">
        <v>27</v>
      </c>
      <c r="J918" t="s">
        <v>27</v>
      </c>
      <c r="K918">
        <v>7</v>
      </c>
      <c r="L918" t="s">
        <v>31</v>
      </c>
      <c r="M918">
        <v>66.638201071664426</v>
      </c>
    </row>
    <row r="919" spans="1:13" hidden="1" x14ac:dyDescent="0.3">
      <c r="A919" t="s">
        <v>1632</v>
      </c>
      <c r="B919" t="s">
        <v>28</v>
      </c>
      <c r="C919" t="s">
        <v>99</v>
      </c>
      <c r="D919">
        <v>2009</v>
      </c>
      <c r="E919">
        <v>1500000</v>
      </c>
      <c r="F919" t="s">
        <v>34</v>
      </c>
      <c r="G919" t="s">
        <v>65</v>
      </c>
      <c r="H919" t="s">
        <v>27</v>
      </c>
      <c r="I919" t="s">
        <v>27</v>
      </c>
      <c r="J919" t="s">
        <v>27</v>
      </c>
      <c r="K919">
        <v>25</v>
      </c>
      <c r="L919">
        <v>2250961</v>
      </c>
      <c r="M919">
        <v>66.638201071664426</v>
      </c>
    </row>
    <row r="920" spans="1:13" hidden="1" x14ac:dyDescent="0.3">
      <c r="A920" t="s">
        <v>1635</v>
      </c>
      <c r="B920" t="s">
        <v>39</v>
      </c>
      <c r="C920" t="s">
        <v>157</v>
      </c>
      <c r="D920">
        <v>2009</v>
      </c>
      <c r="E920" t="s">
        <v>31</v>
      </c>
      <c r="F920" t="s">
        <v>90</v>
      </c>
      <c r="G920" t="s">
        <v>196</v>
      </c>
      <c r="H920" t="s">
        <v>27</v>
      </c>
      <c r="I920" t="s">
        <v>27</v>
      </c>
      <c r="J920" t="s">
        <v>33</v>
      </c>
      <c r="K920">
        <v>2500000</v>
      </c>
      <c r="L920" t="s">
        <v>31</v>
      </c>
      <c r="M920">
        <v>66.638201071664426</v>
      </c>
    </row>
    <row r="921" spans="1:13" hidden="1" x14ac:dyDescent="0.3">
      <c r="A921" t="s">
        <v>1636</v>
      </c>
      <c r="B921" t="s">
        <v>39</v>
      </c>
      <c r="C921" t="s">
        <v>157</v>
      </c>
      <c r="D921">
        <v>2009</v>
      </c>
      <c r="E921" t="s">
        <v>31</v>
      </c>
      <c r="F921" t="s">
        <v>70</v>
      </c>
      <c r="G921" t="s">
        <v>31</v>
      </c>
      <c r="H921" t="s">
        <v>27</v>
      </c>
      <c r="I921" t="s">
        <v>27</v>
      </c>
      <c r="J921" t="s">
        <v>33</v>
      </c>
      <c r="K921" t="s">
        <v>31</v>
      </c>
      <c r="L921" t="s">
        <v>31</v>
      </c>
      <c r="M921">
        <v>66.638201071664426</v>
      </c>
    </row>
    <row r="922" spans="1:13" hidden="1" x14ac:dyDescent="0.3">
      <c r="A922" t="s">
        <v>1637</v>
      </c>
      <c r="B922" t="s">
        <v>39</v>
      </c>
      <c r="C922" t="s">
        <v>157</v>
      </c>
      <c r="D922">
        <v>2009</v>
      </c>
      <c r="E922" t="s">
        <v>31</v>
      </c>
      <c r="F922" t="s">
        <v>49</v>
      </c>
      <c r="G922" t="s">
        <v>196</v>
      </c>
      <c r="H922" t="s">
        <v>27</v>
      </c>
      <c r="I922" t="s">
        <v>27</v>
      </c>
      <c r="J922" t="s">
        <v>33</v>
      </c>
      <c r="K922">
        <v>45000</v>
      </c>
      <c r="L922" t="s">
        <v>31</v>
      </c>
      <c r="M922">
        <v>66.638201071664426</v>
      </c>
    </row>
    <row r="923" spans="1:13" hidden="1" x14ac:dyDescent="0.3">
      <c r="A923" t="s">
        <v>2311</v>
      </c>
      <c r="B923" t="s">
        <v>51</v>
      </c>
      <c r="C923" t="s">
        <v>2312</v>
      </c>
      <c r="D923">
        <v>2009</v>
      </c>
      <c r="E923" t="s">
        <v>31</v>
      </c>
      <c r="F923" t="s">
        <v>53</v>
      </c>
      <c r="G923" t="s">
        <v>31</v>
      </c>
      <c r="H923" t="s">
        <v>27</v>
      </c>
      <c r="I923" t="s">
        <v>27</v>
      </c>
      <c r="J923" t="s">
        <v>27</v>
      </c>
      <c r="K923" t="s">
        <v>31</v>
      </c>
      <c r="L923" t="s">
        <v>31</v>
      </c>
      <c r="M923">
        <v>66.638201071664426</v>
      </c>
    </row>
    <row r="924" spans="1:13" hidden="1" x14ac:dyDescent="0.3">
      <c r="A924" t="s">
        <v>2322</v>
      </c>
      <c r="B924" t="s">
        <v>51</v>
      </c>
      <c r="C924" t="s">
        <v>134</v>
      </c>
      <c r="D924">
        <v>2009</v>
      </c>
      <c r="E924" t="s">
        <v>31</v>
      </c>
      <c r="F924" t="s">
        <v>47</v>
      </c>
      <c r="G924" t="s">
        <v>31</v>
      </c>
      <c r="H924" t="s">
        <v>27</v>
      </c>
      <c r="I924" t="s">
        <v>27</v>
      </c>
      <c r="J924" t="s">
        <v>27</v>
      </c>
      <c r="K924">
        <v>593</v>
      </c>
      <c r="L924" t="s">
        <v>31</v>
      </c>
      <c r="M924">
        <v>66.638201071664426</v>
      </c>
    </row>
    <row r="925" spans="1:13" hidden="1" x14ac:dyDescent="0.3">
      <c r="A925" t="s">
        <v>2334</v>
      </c>
      <c r="B925" t="s">
        <v>43</v>
      </c>
      <c r="C925" t="s">
        <v>114</v>
      </c>
      <c r="D925">
        <v>2009</v>
      </c>
      <c r="E925" t="s">
        <v>31</v>
      </c>
      <c r="F925" t="s">
        <v>119</v>
      </c>
      <c r="G925" t="s">
        <v>31</v>
      </c>
      <c r="H925" t="s">
        <v>27</v>
      </c>
      <c r="I925" t="s">
        <v>27</v>
      </c>
      <c r="J925" t="s">
        <v>27</v>
      </c>
      <c r="K925">
        <v>126139</v>
      </c>
      <c r="L925" t="s">
        <v>31</v>
      </c>
      <c r="M925">
        <v>66.638201071664426</v>
      </c>
    </row>
    <row r="926" spans="1:13" hidden="1" x14ac:dyDescent="0.3">
      <c r="A926" t="s">
        <v>2336</v>
      </c>
      <c r="B926" t="s">
        <v>51</v>
      </c>
      <c r="C926" t="s">
        <v>121</v>
      </c>
      <c r="D926">
        <v>2009</v>
      </c>
      <c r="E926">
        <v>44000</v>
      </c>
      <c r="F926" t="s">
        <v>75</v>
      </c>
      <c r="G926" t="s">
        <v>31</v>
      </c>
      <c r="H926" t="s">
        <v>27</v>
      </c>
      <c r="I926" t="s">
        <v>27</v>
      </c>
      <c r="J926" t="s">
        <v>27</v>
      </c>
      <c r="K926">
        <v>4565</v>
      </c>
      <c r="L926">
        <v>66028</v>
      </c>
      <c r="M926">
        <v>66.638201071664426</v>
      </c>
    </row>
    <row r="927" spans="1:13" hidden="1" x14ac:dyDescent="0.3">
      <c r="A927" t="s">
        <v>2337</v>
      </c>
      <c r="B927" t="s">
        <v>51</v>
      </c>
      <c r="C927" t="s">
        <v>121</v>
      </c>
      <c r="D927">
        <v>2009</v>
      </c>
      <c r="E927" t="s">
        <v>31</v>
      </c>
      <c r="F927" t="s">
        <v>119</v>
      </c>
      <c r="G927" t="s">
        <v>54</v>
      </c>
      <c r="H927" t="s">
        <v>27</v>
      </c>
      <c r="I927" t="s">
        <v>27</v>
      </c>
      <c r="J927" t="s">
        <v>27</v>
      </c>
      <c r="K927">
        <v>1048</v>
      </c>
      <c r="L927" t="s">
        <v>31</v>
      </c>
      <c r="M927">
        <v>66.638201071664426</v>
      </c>
    </row>
    <row r="928" spans="1:13" hidden="1" x14ac:dyDescent="0.3">
      <c r="A928" t="s">
        <v>2338</v>
      </c>
      <c r="B928" t="s">
        <v>51</v>
      </c>
      <c r="C928" t="s">
        <v>121</v>
      </c>
      <c r="D928">
        <v>2009</v>
      </c>
      <c r="E928" t="s">
        <v>31</v>
      </c>
      <c r="F928" t="s">
        <v>47</v>
      </c>
      <c r="G928" t="s">
        <v>54</v>
      </c>
      <c r="H928" t="s">
        <v>33</v>
      </c>
      <c r="I928" t="s">
        <v>27</v>
      </c>
      <c r="J928" t="s">
        <v>33</v>
      </c>
      <c r="K928">
        <v>31250</v>
      </c>
      <c r="L928" t="s">
        <v>31</v>
      </c>
      <c r="M928">
        <v>66.638201071664426</v>
      </c>
    </row>
    <row r="929" spans="1:13" hidden="1" x14ac:dyDescent="0.3">
      <c r="A929" t="s">
        <v>2339</v>
      </c>
      <c r="B929" t="s">
        <v>43</v>
      </c>
      <c r="C929" t="s">
        <v>114</v>
      </c>
      <c r="D929">
        <v>2009</v>
      </c>
      <c r="E929" t="s">
        <v>31</v>
      </c>
      <c r="F929" t="s">
        <v>75</v>
      </c>
      <c r="G929" t="s">
        <v>31</v>
      </c>
      <c r="H929" t="s">
        <v>27</v>
      </c>
      <c r="I929" t="s">
        <v>27</v>
      </c>
      <c r="J929" t="s">
        <v>27</v>
      </c>
      <c r="K929">
        <v>3270</v>
      </c>
      <c r="L929" t="s">
        <v>31</v>
      </c>
      <c r="M929">
        <v>66.638201071664426</v>
      </c>
    </row>
    <row r="930" spans="1:13" hidden="1" x14ac:dyDescent="0.3">
      <c r="A930" t="s">
        <v>2340</v>
      </c>
      <c r="B930" t="s">
        <v>51</v>
      </c>
      <c r="C930" t="s">
        <v>121</v>
      </c>
      <c r="D930">
        <v>2009</v>
      </c>
      <c r="E930">
        <v>8403</v>
      </c>
      <c r="F930" t="s">
        <v>75</v>
      </c>
      <c r="G930" t="s">
        <v>31</v>
      </c>
      <c r="H930" t="s">
        <v>27</v>
      </c>
      <c r="I930" t="s">
        <v>27</v>
      </c>
      <c r="J930" t="s">
        <v>27</v>
      </c>
      <c r="K930">
        <v>10000</v>
      </c>
      <c r="L930">
        <v>12610</v>
      </c>
      <c r="M930">
        <v>66.638201071664426</v>
      </c>
    </row>
    <row r="931" spans="1:13" hidden="1" x14ac:dyDescent="0.3">
      <c r="A931" t="s">
        <v>2341</v>
      </c>
      <c r="B931" t="s">
        <v>28</v>
      </c>
      <c r="C931" t="s">
        <v>68</v>
      </c>
      <c r="D931">
        <v>2009</v>
      </c>
      <c r="E931">
        <v>1100000</v>
      </c>
      <c r="F931" t="s">
        <v>34</v>
      </c>
      <c r="G931" t="s">
        <v>31</v>
      </c>
      <c r="H931" t="s">
        <v>27</v>
      </c>
      <c r="I931" t="s">
        <v>27</v>
      </c>
      <c r="J931" t="s">
        <v>27</v>
      </c>
      <c r="K931" t="s">
        <v>31</v>
      </c>
      <c r="L931">
        <v>1650705</v>
      </c>
      <c r="M931">
        <v>66.638201071664426</v>
      </c>
    </row>
    <row r="932" spans="1:13" hidden="1" x14ac:dyDescent="0.3">
      <c r="A932" t="s">
        <v>2342</v>
      </c>
      <c r="B932" t="s">
        <v>51</v>
      </c>
      <c r="C932" t="s">
        <v>121</v>
      </c>
      <c r="D932">
        <v>2009</v>
      </c>
      <c r="E932">
        <v>166000</v>
      </c>
      <c r="F932" t="s">
        <v>34</v>
      </c>
      <c r="G932" t="s">
        <v>31</v>
      </c>
      <c r="H932" t="s">
        <v>27</v>
      </c>
      <c r="I932" t="s">
        <v>27</v>
      </c>
      <c r="J932" t="s">
        <v>33</v>
      </c>
      <c r="K932">
        <v>5060</v>
      </c>
      <c r="L932">
        <v>249106</v>
      </c>
      <c r="M932">
        <v>66.638201071664426</v>
      </c>
    </row>
    <row r="933" spans="1:13" hidden="1" x14ac:dyDescent="0.3">
      <c r="A933" t="s">
        <v>2343</v>
      </c>
      <c r="B933" t="s">
        <v>51</v>
      </c>
      <c r="C933" t="s">
        <v>121</v>
      </c>
      <c r="D933">
        <v>2009</v>
      </c>
      <c r="E933" t="s">
        <v>31</v>
      </c>
      <c r="F933" t="s">
        <v>81</v>
      </c>
      <c r="G933" t="s">
        <v>31</v>
      </c>
      <c r="H933" t="s">
        <v>27</v>
      </c>
      <c r="I933" t="s">
        <v>27</v>
      </c>
      <c r="J933" t="s">
        <v>27</v>
      </c>
      <c r="K933">
        <v>6821</v>
      </c>
      <c r="L933" t="s">
        <v>31</v>
      </c>
      <c r="M933">
        <v>66.638201071664426</v>
      </c>
    </row>
    <row r="934" spans="1:13" hidden="1" x14ac:dyDescent="0.3">
      <c r="A934" t="s">
        <v>2344</v>
      </c>
      <c r="B934" t="s">
        <v>39</v>
      </c>
      <c r="C934" t="s">
        <v>59</v>
      </c>
      <c r="D934">
        <v>2009</v>
      </c>
      <c r="E934" t="s">
        <v>31</v>
      </c>
      <c r="F934" t="s">
        <v>34</v>
      </c>
      <c r="G934" t="s">
        <v>31</v>
      </c>
      <c r="H934" t="s">
        <v>27</v>
      </c>
      <c r="I934" t="s">
        <v>27</v>
      </c>
      <c r="J934" t="s">
        <v>33</v>
      </c>
      <c r="K934">
        <v>192</v>
      </c>
      <c r="L934" t="s">
        <v>31</v>
      </c>
      <c r="M934">
        <v>66.638201071664426</v>
      </c>
    </row>
    <row r="935" spans="1:13" hidden="1" x14ac:dyDescent="0.3">
      <c r="A935" t="s">
        <v>2345</v>
      </c>
      <c r="B935" t="s">
        <v>28</v>
      </c>
      <c r="C935" t="s">
        <v>64</v>
      </c>
      <c r="D935">
        <v>2009</v>
      </c>
      <c r="E935" t="s">
        <v>31</v>
      </c>
      <c r="F935" t="s">
        <v>119</v>
      </c>
      <c r="G935" t="s">
        <v>54</v>
      </c>
      <c r="H935" t="s">
        <v>27</v>
      </c>
      <c r="I935" t="s">
        <v>27</v>
      </c>
      <c r="J935" t="s">
        <v>27</v>
      </c>
      <c r="K935">
        <v>2364</v>
      </c>
      <c r="L935" t="s">
        <v>31</v>
      </c>
      <c r="M935">
        <v>66.638201071664426</v>
      </c>
    </row>
    <row r="936" spans="1:13" hidden="1" x14ac:dyDescent="0.3">
      <c r="A936" t="s">
        <v>2346</v>
      </c>
      <c r="B936" t="s">
        <v>51</v>
      </c>
      <c r="C936" t="s">
        <v>56</v>
      </c>
      <c r="D936">
        <v>2009</v>
      </c>
      <c r="E936" t="s">
        <v>31</v>
      </c>
      <c r="F936" t="s">
        <v>45</v>
      </c>
      <c r="G936" t="s">
        <v>54</v>
      </c>
      <c r="H936" t="s">
        <v>27</v>
      </c>
      <c r="I936" t="s">
        <v>27</v>
      </c>
      <c r="J936" t="s">
        <v>27</v>
      </c>
      <c r="K936">
        <v>296</v>
      </c>
      <c r="L936" t="s">
        <v>31</v>
      </c>
      <c r="M936">
        <v>66.638201071664426</v>
      </c>
    </row>
    <row r="937" spans="1:13" hidden="1" x14ac:dyDescent="0.3">
      <c r="A937" t="s">
        <v>2347</v>
      </c>
      <c r="B937" t="s">
        <v>51</v>
      </c>
      <c r="C937" t="s">
        <v>121</v>
      </c>
      <c r="D937">
        <v>2009</v>
      </c>
      <c r="E937">
        <v>820</v>
      </c>
      <c r="F937" t="s">
        <v>117</v>
      </c>
      <c r="G937" t="s">
        <v>31</v>
      </c>
      <c r="H937" t="s">
        <v>27</v>
      </c>
      <c r="I937" t="s">
        <v>27</v>
      </c>
      <c r="J937" t="s">
        <v>27</v>
      </c>
      <c r="K937">
        <v>12035</v>
      </c>
      <c r="L937">
        <v>1231</v>
      </c>
      <c r="M937">
        <v>66.638201071664426</v>
      </c>
    </row>
    <row r="938" spans="1:13" hidden="1" x14ac:dyDescent="0.3">
      <c r="A938" t="s">
        <v>2348</v>
      </c>
      <c r="B938" t="s">
        <v>28</v>
      </c>
      <c r="C938" t="s">
        <v>30</v>
      </c>
      <c r="D938">
        <v>2009</v>
      </c>
      <c r="E938" t="s">
        <v>31</v>
      </c>
      <c r="F938" t="s">
        <v>73</v>
      </c>
      <c r="G938" t="s">
        <v>31</v>
      </c>
      <c r="H938" t="s">
        <v>27</v>
      </c>
      <c r="I938" t="s">
        <v>27</v>
      </c>
      <c r="J938" t="s">
        <v>33</v>
      </c>
      <c r="K938">
        <v>40000</v>
      </c>
      <c r="L938" t="s">
        <v>31</v>
      </c>
      <c r="M938">
        <v>66.638201071664426</v>
      </c>
    </row>
    <row r="939" spans="1:13" hidden="1" x14ac:dyDescent="0.3">
      <c r="A939" t="s">
        <v>2350</v>
      </c>
      <c r="B939" t="s">
        <v>51</v>
      </c>
      <c r="C939" t="s">
        <v>121</v>
      </c>
      <c r="D939">
        <v>2009</v>
      </c>
      <c r="E939" t="s">
        <v>31</v>
      </c>
      <c r="F939" t="s">
        <v>57</v>
      </c>
      <c r="G939" t="s">
        <v>31</v>
      </c>
      <c r="H939" t="s">
        <v>27</v>
      </c>
      <c r="I939" t="s">
        <v>27</v>
      </c>
      <c r="J939" t="s">
        <v>27</v>
      </c>
      <c r="K939">
        <v>4000</v>
      </c>
      <c r="L939" t="s">
        <v>31</v>
      </c>
      <c r="M939">
        <v>66.638201071664426</v>
      </c>
    </row>
    <row r="940" spans="1:13" hidden="1" x14ac:dyDescent="0.3">
      <c r="A940" t="s">
        <v>2351</v>
      </c>
      <c r="B940" t="s">
        <v>43</v>
      </c>
      <c r="C940" t="s">
        <v>114</v>
      </c>
      <c r="D940">
        <v>2009</v>
      </c>
      <c r="E940" t="s">
        <v>31</v>
      </c>
      <c r="F940" t="s">
        <v>117</v>
      </c>
      <c r="G940" t="s">
        <v>31</v>
      </c>
      <c r="H940" t="s">
        <v>27</v>
      </c>
      <c r="I940" t="s">
        <v>27</v>
      </c>
      <c r="J940" t="s">
        <v>27</v>
      </c>
      <c r="K940">
        <v>24</v>
      </c>
      <c r="L940" t="s">
        <v>31</v>
      </c>
      <c r="M940">
        <v>66.638201071664426</v>
      </c>
    </row>
    <row r="941" spans="1:13" hidden="1" x14ac:dyDescent="0.3">
      <c r="A941" t="s">
        <v>2352</v>
      </c>
      <c r="B941" t="s">
        <v>43</v>
      </c>
      <c r="C941" t="s">
        <v>114</v>
      </c>
      <c r="D941">
        <v>2009</v>
      </c>
      <c r="E941" t="s">
        <v>31</v>
      </c>
      <c r="F941" t="s">
        <v>73</v>
      </c>
      <c r="G941" t="s">
        <v>31</v>
      </c>
      <c r="H941" t="s">
        <v>27</v>
      </c>
      <c r="I941" t="s">
        <v>27</v>
      </c>
      <c r="J941" t="s">
        <v>27</v>
      </c>
      <c r="K941">
        <v>41687</v>
      </c>
      <c r="L941" t="s">
        <v>31</v>
      </c>
      <c r="M941">
        <v>66.638201071664426</v>
      </c>
    </row>
    <row r="942" spans="1:13" hidden="1" x14ac:dyDescent="0.3">
      <c r="A942" t="s">
        <v>2353</v>
      </c>
      <c r="B942" t="s">
        <v>51</v>
      </c>
      <c r="C942" t="s">
        <v>150</v>
      </c>
      <c r="D942">
        <v>2009</v>
      </c>
      <c r="E942">
        <v>145000</v>
      </c>
      <c r="F942" t="s">
        <v>119</v>
      </c>
      <c r="G942" t="s">
        <v>382</v>
      </c>
      <c r="H942" t="s">
        <v>27</v>
      </c>
      <c r="I942" t="s">
        <v>27</v>
      </c>
      <c r="J942" t="s">
        <v>27</v>
      </c>
      <c r="K942">
        <v>1000</v>
      </c>
      <c r="L942">
        <v>217593</v>
      </c>
      <c r="M942">
        <v>66.638201071664426</v>
      </c>
    </row>
    <row r="943" spans="1:13" hidden="1" x14ac:dyDescent="0.3">
      <c r="A943" t="s">
        <v>2354</v>
      </c>
      <c r="B943" t="s">
        <v>28</v>
      </c>
      <c r="C943" t="s">
        <v>64</v>
      </c>
      <c r="D943">
        <v>2009</v>
      </c>
      <c r="E943">
        <v>500000</v>
      </c>
      <c r="F943" t="s">
        <v>77</v>
      </c>
      <c r="G943" t="s">
        <v>31</v>
      </c>
      <c r="H943" t="s">
        <v>27</v>
      </c>
      <c r="I943" t="s">
        <v>27</v>
      </c>
      <c r="J943" t="s">
        <v>27</v>
      </c>
      <c r="K943" t="s">
        <v>31</v>
      </c>
      <c r="L943">
        <v>750320</v>
      </c>
      <c r="M943">
        <v>66.638201071664426</v>
      </c>
    </row>
    <row r="944" spans="1:13" hidden="1" x14ac:dyDescent="0.3">
      <c r="A944" t="s">
        <v>2356</v>
      </c>
      <c r="B944" t="s">
        <v>51</v>
      </c>
      <c r="C944" t="s">
        <v>121</v>
      </c>
      <c r="D944">
        <v>2009</v>
      </c>
      <c r="E944" t="s">
        <v>31</v>
      </c>
      <c r="F944" t="s">
        <v>53</v>
      </c>
      <c r="G944" t="s">
        <v>54</v>
      </c>
      <c r="H944" t="s">
        <v>27</v>
      </c>
      <c r="I944" t="s">
        <v>27</v>
      </c>
      <c r="J944" t="s">
        <v>33</v>
      </c>
      <c r="K944">
        <v>236308</v>
      </c>
      <c r="L944" t="s">
        <v>31</v>
      </c>
      <c r="M944">
        <v>66.638201071664426</v>
      </c>
    </row>
    <row r="945" spans="1:13" hidden="1" x14ac:dyDescent="0.3">
      <c r="A945" t="s">
        <v>2357</v>
      </c>
      <c r="B945" t="s">
        <v>39</v>
      </c>
      <c r="C945" t="s">
        <v>157</v>
      </c>
      <c r="D945">
        <v>2009</v>
      </c>
      <c r="E945" t="s">
        <v>31</v>
      </c>
      <c r="F945" t="s">
        <v>130</v>
      </c>
      <c r="G945" t="s">
        <v>40</v>
      </c>
      <c r="H945" t="s">
        <v>27</v>
      </c>
      <c r="I945" t="s">
        <v>27</v>
      </c>
      <c r="J945" t="s">
        <v>33</v>
      </c>
      <c r="K945" t="s">
        <v>31</v>
      </c>
      <c r="L945" t="s">
        <v>31</v>
      </c>
      <c r="M945">
        <v>66.638201071664426</v>
      </c>
    </row>
    <row r="946" spans="1:13" hidden="1" x14ac:dyDescent="0.3">
      <c r="A946" t="s">
        <v>2358</v>
      </c>
      <c r="B946" t="s">
        <v>39</v>
      </c>
      <c r="C946" t="s">
        <v>157</v>
      </c>
      <c r="D946">
        <v>2009</v>
      </c>
      <c r="E946" t="s">
        <v>31</v>
      </c>
      <c r="F946" t="s">
        <v>117</v>
      </c>
      <c r="G946" t="s">
        <v>31</v>
      </c>
      <c r="H946" t="s">
        <v>27</v>
      </c>
      <c r="I946" t="s">
        <v>27</v>
      </c>
      <c r="J946" t="s">
        <v>33</v>
      </c>
      <c r="K946">
        <v>200000</v>
      </c>
      <c r="L946" t="s">
        <v>31</v>
      </c>
      <c r="M946">
        <v>66.638201071664426</v>
      </c>
    </row>
    <row r="947" spans="1:13" hidden="1" x14ac:dyDescent="0.3">
      <c r="A947" t="s">
        <v>706</v>
      </c>
      <c r="B947" t="s">
        <v>91</v>
      </c>
      <c r="C947" t="s">
        <v>93</v>
      </c>
      <c r="D947">
        <v>2010</v>
      </c>
      <c r="E947">
        <v>12500</v>
      </c>
      <c r="F947" t="s">
        <v>34</v>
      </c>
      <c r="G947" t="s">
        <v>31</v>
      </c>
      <c r="H947" t="s">
        <v>27</v>
      </c>
      <c r="I947" t="s">
        <v>27</v>
      </c>
      <c r="J947" t="s">
        <v>27</v>
      </c>
      <c r="K947">
        <v>630</v>
      </c>
      <c r="L947">
        <v>18455</v>
      </c>
      <c r="M947">
        <v>67.731094529177753</v>
      </c>
    </row>
    <row r="948" spans="1:13" hidden="1" x14ac:dyDescent="0.3">
      <c r="A948" t="s">
        <v>707</v>
      </c>
      <c r="B948" t="s">
        <v>51</v>
      </c>
      <c r="C948" t="s">
        <v>121</v>
      </c>
      <c r="D948">
        <v>2010</v>
      </c>
      <c r="E948" t="s">
        <v>31</v>
      </c>
      <c r="F948" t="s">
        <v>109</v>
      </c>
      <c r="G948" t="s">
        <v>54</v>
      </c>
      <c r="H948" t="s">
        <v>27</v>
      </c>
      <c r="I948" t="s">
        <v>27</v>
      </c>
      <c r="J948" t="s">
        <v>27</v>
      </c>
      <c r="K948">
        <v>500</v>
      </c>
      <c r="L948" t="s">
        <v>31</v>
      </c>
      <c r="M948">
        <v>67.731094529177753</v>
      </c>
    </row>
    <row r="949" spans="1:13" hidden="1" x14ac:dyDescent="0.3">
      <c r="A949" t="s">
        <v>708</v>
      </c>
      <c r="B949" t="s">
        <v>28</v>
      </c>
      <c r="C949" t="s">
        <v>95</v>
      </c>
      <c r="D949">
        <v>2010</v>
      </c>
      <c r="E949" t="s">
        <v>31</v>
      </c>
      <c r="F949" t="s">
        <v>119</v>
      </c>
      <c r="G949" t="s">
        <v>31</v>
      </c>
      <c r="H949" t="s">
        <v>27</v>
      </c>
      <c r="I949" t="s">
        <v>27</v>
      </c>
      <c r="J949" t="s">
        <v>27</v>
      </c>
      <c r="K949" t="s">
        <v>31</v>
      </c>
      <c r="L949" t="s">
        <v>31</v>
      </c>
      <c r="M949">
        <v>67.731094529177753</v>
      </c>
    </row>
    <row r="950" spans="1:13" hidden="1" x14ac:dyDescent="0.3">
      <c r="A950" t="s">
        <v>709</v>
      </c>
      <c r="B950" t="s">
        <v>28</v>
      </c>
      <c r="C950" t="s">
        <v>67</v>
      </c>
      <c r="D950">
        <v>2010</v>
      </c>
      <c r="E950">
        <v>500000</v>
      </c>
      <c r="F950" t="s">
        <v>34</v>
      </c>
      <c r="G950" t="s">
        <v>31</v>
      </c>
      <c r="H950" t="s">
        <v>27</v>
      </c>
      <c r="I950" t="s">
        <v>27</v>
      </c>
      <c r="J950" t="s">
        <v>33</v>
      </c>
      <c r="K950" t="s">
        <v>31</v>
      </c>
      <c r="L950">
        <v>738213</v>
      </c>
      <c r="M950">
        <v>67.731094529177753</v>
      </c>
    </row>
    <row r="951" spans="1:13" hidden="1" x14ac:dyDescent="0.3">
      <c r="A951" t="s">
        <v>710</v>
      </c>
      <c r="B951" t="s">
        <v>51</v>
      </c>
      <c r="C951" t="s">
        <v>134</v>
      </c>
      <c r="D951">
        <v>2010</v>
      </c>
      <c r="E951" t="s">
        <v>31</v>
      </c>
      <c r="F951" t="s">
        <v>53</v>
      </c>
      <c r="G951" t="s">
        <v>31</v>
      </c>
      <c r="H951" t="s">
        <v>27</v>
      </c>
      <c r="I951" t="s">
        <v>27</v>
      </c>
      <c r="J951" t="s">
        <v>27</v>
      </c>
      <c r="K951">
        <v>1054</v>
      </c>
      <c r="L951" t="s">
        <v>31</v>
      </c>
      <c r="M951">
        <v>67.731094529177753</v>
      </c>
    </row>
    <row r="952" spans="1:13" hidden="1" x14ac:dyDescent="0.3">
      <c r="A952" t="s">
        <v>711</v>
      </c>
      <c r="B952" t="s">
        <v>28</v>
      </c>
      <c r="C952" t="s">
        <v>30</v>
      </c>
      <c r="D952">
        <v>2010</v>
      </c>
      <c r="E952">
        <v>650000</v>
      </c>
      <c r="F952" t="s">
        <v>90</v>
      </c>
      <c r="G952" t="s">
        <v>54</v>
      </c>
      <c r="H952" t="s">
        <v>33</v>
      </c>
      <c r="I952" t="s">
        <v>27</v>
      </c>
      <c r="J952" t="s">
        <v>27</v>
      </c>
      <c r="K952">
        <v>397962</v>
      </c>
      <c r="L952">
        <v>959677</v>
      </c>
      <c r="M952">
        <v>67.731094529177753</v>
      </c>
    </row>
    <row r="953" spans="1:13" hidden="1" x14ac:dyDescent="0.3">
      <c r="A953" t="s">
        <v>712</v>
      </c>
      <c r="B953" t="s">
        <v>28</v>
      </c>
      <c r="C953" t="s">
        <v>30</v>
      </c>
      <c r="D953">
        <v>2010</v>
      </c>
      <c r="E953">
        <v>90000</v>
      </c>
      <c r="F953" t="s">
        <v>49</v>
      </c>
      <c r="G953" t="s">
        <v>31</v>
      </c>
      <c r="H953" t="s">
        <v>33</v>
      </c>
      <c r="I953" t="s">
        <v>27</v>
      </c>
      <c r="J953" t="s">
        <v>33</v>
      </c>
      <c r="K953">
        <v>24675</v>
      </c>
      <c r="L953">
        <v>132878</v>
      </c>
      <c r="M953">
        <v>67.731094529177753</v>
      </c>
    </row>
    <row r="954" spans="1:13" hidden="1" x14ac:dyDescent="0.3">
      <c r="A954" t="s">
        <v>713</v>
      </c>
      <c r="B954" t="s">
        <v>28</v>
      </c>
      <c r="C954" t="s">
        <v>30</v>
      </c>
      <c r="D954">
        <v>2010</v>
      </c>
      <c r="E954" t="s">
        <v>31</v>
      </c>
      <c r="F954" t="s">
        <v>90</v>
      </c>
      <c r="G954" t="s">
        <v>31</v>
      </c>
      <c r="H954" t="s">
        <v>27</v>
      </c>
      <c r="I954" t="s">
        <v>27</v>
      </c>
      <c r="J954" t="s">
        <v>27</v>
      </c>
      <c r="K954">
        <v>2180</v>
      </c>
      <c r="L954" t="s">
        <v>31</v>
      </c>
      <c r="M954">
        <v>67.731094529177753</v>
      </c>
    </row>
    <row r="955" spans="1:13" hidden="1" x14ac:dyDescent="0.3">
      <c r="A955" t="s">
        <v>714</v>
      </c>
      <c r="B955" t="s">
        <v>28</v>
      </c>
      <c r="C955" t="s">
        <v>30</v>
      </c>
      <c r="D955">
        <v>2010</v>
      </c>
      <c r="E955">
        <v>2000000</v>
      </c>
      <c r="F955" t="s">
        <v>73</v>
      </c>
      <c r="G955" t="s">
        <v>37</v>
      </c>
      <c r="H955" t="s">
        <v>33</v>
      </c>
      <c r="I955" t="s">
        <v>27</v>
      </c>
      <c r="J955" t="s">
        <v>33</v>
      </c>
      <c r="K955">
        <v>170000</v>
      </c>
      <c r="L955">
        <v>2952854</v>
      </c>
      <c r="M955">
        <v>67.731094529177753</v>
      </c>
    </row>
    <row r="956" spans="1:13" hidden="1" x14ac:dyDescent="0.3">
      <c r="A956" t="s">
        <v>715</v>
      </c>
      <c r="B956" t="s">
        <v>28</v>
      </c>
      <c r="C956" t="s">
        <v>30</v>
      </c>
      <c r="D956">
        <v>2010</v>
      </c>
      <c r="E956" t="s">
        <v>31</v>
      </c>
      <c r="F956" t="s">
        <v>115</v>
      </c>
      <c r="G956" t="s">
        <v>181</v>
      </c>
      <c r="H956" t="s">
        <v>27</v>
      </c>
      <c r="I956" t="s">
        <v>27</v>
      </c>
      <c r="J956" t="s">
        <v>27</v>
      </c>
      <c r="K956">
        <v>500</v>
      </c>
      <c r="L956" t="s">
        <v>31</v>
      </c>
      <c r="M956">
        <v>67.731094529177753</v>
      </c>
    </row>
    <row r="957" spans="1:13" hidden="1" x14ac:dyDescent="0.3">
      <c r="A957" t="s">
        <v>716</v>
      </c>
      <c r="B957" t="s">
        <v>43</v>
      </c>
      <c r="C957" t="s">
        <v>114</v>
      </c>
      <c r="D957">
        <v>2010</v>
      </c>
      <c r="E957" t="s">
        <v>31</v>
      </c>
      <c r="F957" t="s">
        <v>49</v>
      </c>
      <c r="G957" t="s">
        <v>31</v>
      </c>
      <c r="H957" t="s">
        <v>27</v>
      </c>
      <c r="I957" t="s">
        <v>27</v>
      </c>
      <c r="J957" t="s">
        <v>33</v>
      </c>
      <c r="K957">
        <v>27000</v>
      </c>
      <c r="L957" t="s">
        <v>31</v>
      </c>
      <c r="M957">
        <v>67.731094529177753</v>
      </c>
    </row>
    <row r="958" spans="1:13" hidden="1" x14ac:dyDescent="0.3">
      <c r="A958" t="s">
        <v>717</v>
      </c>
      <c r="B958" t="s">
        <v>28</v>
      </c>
      <c r="C958" t="s">
        <v>68</v>
      </c>
      <c r="D958">
        <v>2010</v>
      </c>
      <c r="E958" t="s">
        <v>31</v>
      </c>
      <c r="F958" t="s">
        <v>111</v>
      </c>
      <c r="G958" t="s">
        <v>31</v>
      </c>
      <c r="H958" t="s">
        <v>27</v>
      </c>
      <c r="I958" t="s">
        <v>27</v>
      </c>
      <c r="J958" t="s">
        <v>27</v>
      </c>
      <c r="K958" t="s">
        <v>31</v>
      </c>
      <c r="L958" t="s">
        <v>31</v>
      </c>
      <c r="M958">
        <v>67.731094529177753</v>
      </c>
    </row>
    <row r="959" spans="1:13" hidden="1" x14ac:dyDescent="0.3">
      <c r="A959" t="s">
        <v>718</v>
      </c>
      <c r="B959" t="s">
        <v>28</v>
      </c>
      <c r="C959" t="s">
        <v>68</v>
      </c>
      <c r="D959">
        <v>2010</v>
      </c>
      <c r="E959" t="s">
        <v>31</v>
      </c>
      <c r="F959" t="s">
        <v>117</v>
      </c>
      <c r="G959" t="s">
        <v>31</v>
      </c>
      <c r="H959" t="s">
        <v>27</v>
      </c>
      <c r="I959" t="s">
        <v>27</v>
      </c>
      <c r="J959" t="s">
        <v>27</v>
      </c>
      <c r="K959" t="s">
        <v>31</v>
      </c>
      <c r="L959" t="s">
        <v>31</v>
      </c>
      <c r="M959">
        <v>67.731094529177753</v>
      </c>
    </row>
    <row r="960" spans="1:13" hidden="1" x14ac:dyDescent="0.3">
      <c r="A960" t="s">
        <v>719</v>
      </c>
      <c r="B960" t="s">
        <v>51</v>
      </c>
      <c r="C960" t="s">
        <v>121</v>
      </c>
      <c r="D960">
        <v>2010</v>
      </c>
      <c r="E960" t="s">
        <v>31</v>
      </c>
      <c r="F960" t="s">
        <v>47</v>
      </c>
      <c r="G960" t="s">
        <v>31</v>
      </c>
      <c r="H960" t="s">
        <v>27</v>
      </c>
      <c r="I960" t="s">
        <v>27</v>
      </c>
      <c r="J960" t="s">
        <v>27</v>
      </c>
      <c r="K960">
        <v>3761</v>
      </c>
      <c r="L960" t="s">
        <v>31</v>
      </c>
      <c r="M960">
        <v>67.731094529177753</v>
      </c>
    </row>
    <row r="961" spans="1:13" hidden="1" x14ac:dyDescent="0.3">
      <c r="A961" t="s">
        <v>720</v>
      </c>
      <c r="B961" t="s">
        <v>43</v>
      </c>
      <c r="C961" t="s">
        <v>114</v>
      </c>
      <c r="D961">
        <v>2010</v>
      </c>
      <c r="E961" t="s">
        <v>31</v>
      </c>
      <c r="F961" t="s">
        <v>244</v>
      </c>
      <c r="G961" t="s">
        <v>31</v>
      </c>
      <c r="H961" t="s">
        <v>27</v>
      </c>
      <c r="I961" t="s">
        <v>27</v>
      </c>
      <c r="J961" t="s">
        <v>27</v>
      </c>
      <c r="K961">
        <v>29200</v>
      </c>
      <c r="L961" t="s">
        <v>31</v>
      </c>
      <c r="M961">
        <v>67.731094529177753</v>
      </c>
    </row>
    <row r="962" spans="1:13" hidden="1" x14ac:dyDescent="0.3">
      <c r="A962" t="s">
        <v>721</v>
      </c>
      <c r="B962" t="s">
        <v>28</v>
      </c>
      <c r="C962" t="s">
        <v>30</v>
      </c>
      <c r="D962">
        <v>2010</v>
      </c>
      <c r="E962">
        <v>100000</v>
      </c>
      <c r="F962" t="s">
        <v>34</v>
      </c>
      <c r="G962" t="s">
        <v>181</v>
      </c>
      <c r="H962" t="s">
        <v>27</v>
      </c>
      <c r="I962" t="s">
        <v>27</v>
      </c>
      <c r="J962" t="s">
        <v>33</v>
      </c>
      <c r="K962" t="s">
        <v>31</v>
      </c>
      <c r="L962">
        <v>147643</v>
      </c>
      <c r="M962">
        <v>67.731094529177753</v>
      </c>
    </row>
    <row r="963" spans="1:13" hidden="1" x14ac:dyDescent="0.3">
      <c r="A963" t="s">
        <v>722</v>
      </c>
      <c r="B963" t="s">
        <v>28</v>
      </c>
      <c r="C963" t="s">
        <v>30</v>
      </c>
      <c r="D963">
        <v>2010</v>
      </c>
      <c r="E963">
        <v>3900000</v>
      </c>
      <c r="F963" t="s">
        <v>73</v>
      </c>
      <c r="G963" t="s">
        <v>37</v>
      </c>
      <c r="H963" t="s">
        <v>27</v>
      </c>
      <c r="I963" t="s">
        <v>27</v>
      </c>
      <c r="J963" t="s">
        <v>33</v>
      </c>
      <c r="K963">
        <v>230000</v>
      </c>
      <c r="L963">
        <v>5758064</v>
      </c>
      <c r="M963">
        <v>67.731094529177753</v>
      </c>
    </row>
    <row r="964" spans="1:13" hidden="1" x14ac:dyDescent="0.3">
      <c r="A964" t="s">
        <v>723</v>
      </c>
      <c r="B964" t="s">
        <v>28</v>
      </c>
      <c r="C964" t="s">
        <v>30</v>
      </c>
      <c r="D964">
        <v>2010</v>
      </c>
      <c r="E964" t="s">
        <v>31</v>
      </c>
      <c r="F964" t="s">
        <v>32</v>
      </c>
      <c r="G964" t="s">
        <v>31</v>
      </c>
      <c r="H964" t="s">
        <v>27</v>
      </c>
      <c r="I964" t="s">
        <v>27</v>
      </c>
      <c r="J964" t="s">
        <v>27</v>
      </c>
      <c r="K964" t="s">
        <v>31</v>
      </c>
      <c r="L964" t="s">
        <v>31</v>
      </c>
      <c r="M964">
        <v>67.731094529177753</v>
      </c>
    </row>
    <row r="965" spans="1:13" hidden="1" x14ac:dyDescent="0.3">
      <c r="A965" t="s">
        <v>724</v>
      </c>
      <c r="B965" t="s">
        <v>28</v>
      </c>
      <c r="C965" t="s">
        <v>30</v>
      </c>
      <c r="D965">
        <v>2010</v>
      </c>
      <c r="E965" t="s">
        <v>31</v>
      </c>
      <c r="F965" t="s">
        <v>81</v>
      </c>
      <c r="G965" t="s">
        <v>31</v>
      </c>
      <c r="H965" t="s">
        <v>27</v>
      </c>
      <c r="I965" t="s">
        <v>27</v>
      </c>
      <c r="J965" t="s">
        <v>27</v>
      </c>
      <c r="K965" t="s">
        <v>31</v>
      </c>
      <c r="L965" t="s">
        <v>31</v>
      </c>
      <c r="M965">
        <v>67.731094529177753</v>
      </c>
    </row>
    <row r="966" spans="1:13" hidden="1" x14ac:dyDescent="0.3">
      <c r="A966" t="s">
        <v>725</v>
      </c>
      <c r="B966" t="s">
        <v>28</v>
      </c>
      <c r="C966" t="s">
        <v>30</v>
      </c>
      <c r="D966">
        <v>2010</v>
      </c>
      <c r="E966" t="s">
        <v>31</v>
      </c>
      <c r="F966" t="s">
        <v>70</v>
      </c>
      <c r="G966" t="s">
        <v>82</v>
      </c>
      <c r="H966" t="s">
        <v>27</v>
      </c>
      <c r="I966" t="s">
        <v>27</v>
      </c>
      <c r="J966" t="s">
        <v>27</v>
      </c>
      <c r="K966" t="s">
        <v>31</v>
      </c>
      <c r="L966" t="s">
        <v>31</v>
      </c>
      <c r="M966">
        <v>67.731094529177753</v>
      </c>
    </row>
    <row r="967" spans="1:13" hidden="1" x14ac:dyDescent="0.3">
      <c r="A967" t="s">
        <v>726</v>
      </c>
      <c r="B967" t="s">
        <v>51</v>
      </c>
      <c r="C967" t="s">
        <v>56</v>
      </c>
      <c r="D967">
        <v>2010</v>
      </c>
      <c r="E967" t="s">
        <v>31</v>
      </c>
      <c r="F967" t="s">
        <v>246</v>
      </c>
      <c r="G967" t="s">
        <v>31</v>
      </c>
      <c r="H967" t="s">
        <v>27</v>
      </c>
      <c r="I967" t="s">
        <v>27</v>
      </c>
      <c r="J967" t="s">
        <v>27</v>
      </c>
      <c r="K967">
        <v>2000</v>
      </c>
      <c r="L967" t="s">
        <v>31</v>
      </c>
      <c r="M967">
        <v>67.731094529177753</v>
      </c>
    </row>
    <row r="968" spans="1:13" hidden="1" x14ac:dyDescent="0.3">
      <c r="A968" t="s">
        <v>727</v>
      </c>
      <c r="B968" t="s">
        <v>28</v>
      </c>
      <c r="C968" t="s">
        <v>30</v>
      </c>
      <c r="D968">
        <v>2010</v>
      </c>
      <c r="E968" t="s">
        <v>31</v>
      </c>
      <c r="F968" t="s">
        <v>144</v>
      </c>
      <c r="G968" t="s">
        <v>31</v>
      </c>
      <c r="H968" t="s">
        <v>27</v>
      </c>
      <c r="I968" t="s">
        <v>27</v>
      </c>
      <c r="J968" t="s">
        <v>33</v>
      </c>
      <c r="K968">
        <v>2500</v>
      </c>
      <c r="L968" t="s">
        <v>31</v>
      </c>
      <c r="M968">
        <v>67.731094529177753</v>
      </c>
    </row>
    <row r="969" spans="1:13" hidden="1" x14ac:dyDescent="0.3">
      <c r="A969" t="s">
        <v>728</v>
      </c>
      <c r="B969" t="s">
        <v>28</v>
      </c>
      <c r="C969" t="s">
        <v>30</v>
      </c>
      <c r="D969">
        <v>2010</v>
      </c>
      <c r="E969" t="s">
        <v>31</v>
      </c>
      <c r="F969" t="s">
        <v>45</v>
      </c>
      <c r="G969" t="s">
        <v>37</v>
      </c>
      <c r="H969" t="s">
        <v>27</v>
      </c>
      <c r="I969" t="s">
        <v>27</v>
      </c>
      <c r="J969" t="s">
        <v>27</v>
      </c>
      <c r="K969">
        <v>5020</v>
      </c>
      <c r="L969" t="s">
        <v>31</v>
      </c>
      <c r="M969">
        <v>67.731094529177753</v>
      </c>
    </row>
    <row r="970" spans="1:13" hidden="1" x14ac:dyDescent="0.3">
      <c r="A970" t="s">
        <v>730</v>
      </c>
      <c r="B970" t="s">
        <v>51</v>
      </c>
      <c r="C970" t="s">
        <v>121</v>
      </c>
      <c r="D970">
        <v>2010</v>
      </c>
      <c r="E970" t="s">
        <v>31</v>
      </c>
      <c r="F970" t="s">
        <v>166</v>
      </c>
      <c r="G970" t="s">
        <v>54</v>
      </c>
      <c r="H970" t="s">
        <v>27</v>
      </c>
      <c r="I970" t="s">
        <v>27</v>
      </c>
      <c r="J970" t="s">
        <v>27</v>
      </c>
      <c r="K970">
        <v>6296</v>
      </c>
      <c r="L970" t="s">
        <v>31</v>
      </c>
      <c r="M970">
        <v>67.731094529177753</v>
      </c>
    </row>
    <row r="971" spans="1:13" hidden="1" x14ac:dyDescent="0.3">
      <c r="A971" t="s">
        <v>731</v>
      </c>
      <c r="B971" t="s">
        <v>43</v>
      </c>
      <c r="C971" t="s">
        <v>44</v>
      </c>
      <c r="D971">
        <v>2010</v>
      </c>
      <c r="E971" t="s">
        <v>31</v>
      </c>
      <c r="F971" t="s">
        <v>81</v>
      </c>
      <c r="G971" t="s">
        <v>31</v>
      </c>
      <c r="H971" t="s">
        <v>27</v>
      </c>
      <c r="I971" t="s">
        <v>27</v>
      </c>
      <c r="J971" t="s">
        <v>33</v>
      </c>
      <c r="K971">
        <v>395</v>
      </c>
      <c r="L971" t="s">
        <v>31</v>
      </c>
      <c r="M971">
        <v>67.731094529177753</v>
      </c>
    </row>
    <row r="972" spans="1:13" hidden="1" x14ac:dyDescent="0.3">
      <c r="A972" t="s">
        <v>732</v>
      </c>
      <c r="B972" t="s">
        <v>28</v>
      </c>
      <c r="C972" t="s">
        <v>189</v>
      </c>
      <c r="D972">
        <v>2010</v>
      </c>
      <c r="E972">
        <v>1500000</v>
      </c>
      <c r="F972" t="s">
        <v>34</v>
      </c>
      <c r="G972" t="s">
        <v>37</v>
      </c>
      <c r="H972" t="s">
        <v>27</v>
      </c>
      <c r="I972" t="s">
        <v>27</v>
      </c>
      <c r="J972" t="s">
        <v>27</v>
      </c>
      <c r="K972" t="s">
        <v>31</v>
      </c>
      <c r="L972">
        <v>2214640</v>
      </c>
      <c r="M972">
        <v>67.731094529177753</v>
      </c>
    </row>
    <row r="973" spans="1:13" hidden="1" x14ac:dyDescent="0.3">
      <c r="A973" t="s">
        <v>733</v>
      </c>
      <c r="B973" t="s">
        <v>51</v>
      </c>
      <c r="C973" t="s">
        <v>134</v>
      </c>
      <c r="D973">
        <v>2010</v>
      </c>
      <c r="E973" t="s">
        <v>31</v>
      </c>
      <c r="F973" t="s">
        <v>47</v>
      </c>
      <c r="G973" t="s">
        <v>31</v>
      </c>
      <c r="H973" t="s">
        <v>27</v>
      </c>
      <c r="I973" t="s">
        <v>27</v>
      </c>
      <c r="J973" t="s">
        <v>27</v>
      </c>
      <c r="K973" t="s">
        <v>31</v>
      </c>
      <c r="L973" t="s">
        <v>31</v>
      </c>
      <c r="M973">
        <v>67.731094529177753</v>
      </c>
    </row>
    <row r="974" spans="1:13" hidden="1" x14ac:dyDescent="0.3">
      <c r="A974" t="s">
        <v>734</v>
      </c>
      <c r="B974" t="s">
        <v>51</v>
      </c>
      <c r="C974" t="s">
        <v>121</v>
      </c>
      <c r="D974">
        <v>2010</v>
      </c>
      <c r="E974" t="s">
        <v>31</v>
      </c>
      <c r="F974" t="s">
        <v>166</v>
      </c>
      <c r="G974" t="s">
        <v>54</v>
      </c>
      <c r="H974" t="s">
        <v>33</v>
      </c>
      <c r="I974" t="s">
        <v>27</v>
      </c>
      <c r="J974" t="s">
        <v>27</v>
      </c>
      <c r="K974">
        <v>24610</v>
      </c>
      <c r="L974" t="s">
        <v>31</v>
      </c>
      <c r="M974">
        <v>67.731094529177753</v>
      </c>
    </row>
    <row r="975" spans="1:13" hidden="1" x14ac:dyDescent="0.3">
      <c r="A975" t="s">
        <v>736</v>
      </c>
      <c r="B975" t="s">
        <v>39</v>
      </c>
      <c r="C975" t="s">
        <v>157</v>
      </c>
      <c r="D975">
        <v>2010</v>
      </c>
      <c r="E975">
        <v>14700</v>
      </c>
      <c r="F975" t="s">
        <v>604</v>
      </c>
      <c r="G975" t="s">
        <v>31</v>
      </c>
      <c r="H975" t="s">
        <v>27</v>
      </c>
      <c r="I975" t="s">
        <v>27</v>
      </c>
      <c r="J975" t="s">
        <v>27</v>
      </c>
      <c r="K975" t="s">
        <v>31</v>
      </c>
      <c r="L975">
        <v>21703</v>
      </c>
      <c r="M975">
        <v>67.731094529177753</v>
      </c>
    </row>
    <row r="976" spans="1:13" hidden="1" x14ac:dyDescent="0.3">
      <c r="A976" t="s">
        <v>737</v>
      </c>
      <c r="B976" t="s">
        <v>39</v>
      </c>
      <c r="C976" t="s">
        <v>157</v>
      </c>
      <c r="D976">
        <v>2010</v>
      </c>
      <c r="E976" t="s">
        <v>31</v>
      </c>
      <c r="F976" t="s">
        <v>246</v>
      </c>
      <c r="G976" t="s">
        <v>447</v>
      </c>
      <c r="H976" t="s">
        <v>27</v>
      </c>
      <c r="I976" t="s">
        <v>27</v>
      </c>
      <c r="J976" t="s">
        <v>27</v>
      </c>
      <c r="K976" t="s">
        <v>31</v>
      </c>
      <c r="L976" t="s">
        <v>31</v>
      </c>
      <c r="M976">
        <v>67.731094529177753</v>
      </c>
    </row>
    <row r="977" spans="1:13" hidden="1" x14ac:dyDescent="0.3">
      <c r="A977" t="s">
        <v>738</v>
      </c>
      <c r="B977" t="s">
        <v>39</v>
      </c>
      <c r="C977" t="s">
        <v>157</v>
      </c>
      <c r="D977">
        <v>2010</v>
      </c>
      <c r="E977" t="s">
        <v>31</v>
      </c>
      <c r="F977" t="s">
        <v>561</v>
      </c>
      <c r="G977" t="s">
        <v>447</v>
      </c>
      <c r="H977" t="s">
        <v>27</v>
      </c>
      <c r="I977" t="s">
        <v>27</v>
      </c>
      <c r="J977" t="s">
        <v>33</v>
      </c>
      <c r="K977" t="s">
        <v>31</v>
      </c>
      <c r="L977" t="s">
        <v>31</v>
      </c>
      <c r="M977">
        <v>67.731094529177753</v>
      </c>
    </row>
    <row r="978" spans="1:13" hidden="1" x14ac:dyDescent="0.3">
      <c r="A978" t="s">
        <v>1041</v>
      </c>
      <c r="B978" t="s">
        <v>51</v>
      </c>
      <c r="C978" t="s">
        <v>121</v>
      </c>
      <c r="D978">
        <v>2010</v>
      </c>
      <c r="E978">
        <v>1000000</v>
      </c>
      <c r="F978" t="s">
        <v>47</v>
      </c>
      <c r="G978" t="s">
        <v>31</v>
      </c>
      <c r="H978" t="s">
        <v>27</v>
      </c>
      <c r="I978" t="s">
        <v>33</v>
      </c>
      <c r="J978" t="s">
        <v>33</v>
      </c>
      <c r="K978">
        <v>2791999</v>
      </c>
      <c r="L978">
        <v>1476427</v>
      </c>
      <c r="M978">
        <v>67.731094529177753</v>
      </c>
    </row>
    <row r="979" spans="1:13" hidden="1" x14ac:dyDescent="0.3">
      <c r="A979" t="s">
        <v>1052</v>
      </c>
      <c r="B979" t="s">
        <v>91</v>
      </c>
      <c r="C979" t="s">
        <v>93</v>
      </c>
      <c r="D979">
        <v>2010</v>
      </c>
      <c r="E979">
        <v>8000000</v>
      </c>
      <c r="F979" t="s">
        <v>45</v>
      </c>
      <c r="G979" t="s">
        <v>31</v>
      </c>
      <c r="H979" t="s">
        <v>33</v>
      </c>
      <c r="I979" t="s">
        <v>33</v>
      </c>
      <c r="J979" t="s">
        <v>27</v>
      </c>
      <c r="K979">
        <v>3700000</v>
      </c>
      <c r="L979">
        <v>11811414</v>
      </c>
      <c r="M979">
        <v>67.731094529177753</v>
      </c>
    </row>
    <row r="980" spans="1:13" hidden="1" x14ac:dyDescent="0.3">
      <c r="A980" t="s">
        <v>1053</v>
      </c>
      <c r="B980" t="s">
        <v>51</v>
      </c>
      <c r="C980" t="s">
        <v>121</v>
      </c>
      <c r="D980">
        <v>2010</v>
      </c>
      <c r="E980" t="s">
        <v>31</v>
      </c>
      <c r="F980" t="s">
        <v>53</v>
      </c>
      <c r="G980" t="s">
        <v>31</v>
      </c>
      <c r="H980" t="s">
        <v>27</v>
      </c>
      <c r="I980" t="s">
        <v>27</v>
      </c>
      <c r="J980" t="s">
        <v>27</v>
      </c>
      <c r="K980">
        <v>80000</v>
      </c>
      <c r="L980" t="s">
        <v>31</v>
      </c>
      <c r="M980">
        <v>67.731094529177753</v>
      </c>
    </row>
    <row r="981" spans="1:13" hidden="1" x14ac:dyDescent="0.3">
      <c r="A981" t="s">
        <v>1054</v>
      </c>
      <c r="B981" t="s">
        <v>91</v>
      </c>
      <c r="C981" t="s">
        <v>798</v>
      </c>
      <c r="D981">
        <v>2010</v>
      </c>
      <c r="E981">
        <v>30000000</v>
      </c>
      <c r="F981" t="s">
        <v>60</v>
      </c>
      <c r="G981" t="s">
        <v>173</v>
      </c>
      <c r="H981" t="s">
        <v>33</v>
      </c>
      <c r="I981" t="s">
        <v>33</v>
      </c>
      <c r="J981" t="s">
        <v>33</v>
      </c>
      <c r="K981">
        <v>2671556</v>
      </c>
      <c r="L981">
        <v>44292803</v>
      </c>
      <c r="M981">
        <v>67.731094529177753</v>
      </c>
    </row>
    <row r="982" spans="1:13" hidden="1" x14ac:dyDescent="0.3">
      <c r="A982" t="s">
        <v>1055</v>
      </c>
      <c r="B982" t="s">
        <v>51</v>
      </c>
      <c r="C982" t="s">
        <v>121</v>
      </c>
      <c r="D982">
        <v>2010</v>
      </c>
      <c r="E982" t="s">
        <v>31</v>
      </c>
      <c r="F982" t="s">
        <v>45</v>
      </c>
      <c r="G982" t="s">
        <v>54</v>
      </c>
      <c r="H982" t="s">
        <v>27</v>
      </c>
      <c r="I982" t="s">
        <v>27</v>
      </c>
      <c r="J982" t="s">
        <v>27</v>
      </c>
      <c r="K982">
        <v>22085</v>
      </c>
      <c r="L982" t="s">
        <v>31</v>
      </c>
      <c r="M982">
        <v>67.731094529177753</v>
      </c>
    </row>
    <row r="983" spans="1:13" hidden="1" x14ac:dyDescent="0.3">
      <c r="A983" t="s">
        <v>1056</v>
      </c>
      <c r="B983" t="s">
        <v>28</v>
      </c>
      <c r="C983" t="s">
        <v>97</v>
      </c>
      <c r="D983">
        <v>2010</v>
      </c>
      <c r="E983" t="s">
        <v>31</v>
      </c>
      <c r="F983" t="s">
        <v>34</v>
      </c>
      <c r="G983" t="s">
        <v>31</v>
      </c>
      <c r="H983" t="s">
        <v>27</v>
      </c>
      <c r="I983" t="s">
        <v>27</v>
      </c>
      <c r="J983" t="s">
        <v>33</v>
      </c>
      <c r="K983">
        <v>2770</v>
      </c>
      <c r="L983" t="s">
        <v>31</v>
      </c>
      <c r="M983">
        <v>67.731094529177753</v>
      </c>
    </row>
    <row r="984" spans="1:13" x14ac:dyDescent="0.3">
      <c r="D984" s="2" t="s">
        <v>2571</v>
      </c>
      <c r="E984" s="2">
        <f>SUM(E888,E905)</f>
        <v>600000</v>
      </c>
    </row>
    <row r="985" spans="1:13" x14ac:dyDescent="0.3">
      <c r="A985" t="s">
        <v>1057</v>
      </c>
      <c r="B985" t="s">
        <v>51</v>
      </c>
      <c r="C985" t="s">
        <v>121</v>
      </c>
      <c r="D985">
        <v>2010</v>
      </c>
      <c r="E985">
        <v>602000</v>
      </c>
      <c r="F985" t="s">
        <v>119</v>
      </c>
      <c r="G985" t="s">
        <v>54</v>
      </c>
      <c r="H985" t="s">
        <v>33</v>
      </c>
      <c r="I985" t="s">
        <v>27</v>
      </c>
      <c r="J985" t="s">
        <v>33</v>
      </c>
      <c r="K985">
        <v>157000</v>
      </c>
      <c r="L985">
        <v>888809</v>
      </c>
      <c r="M985">
        <v>67.731094529177753</v>
      </c>
    </row>
    <row r="986" spans="1:13" hidden="1" x14ac:dyDescent="0.3">
      <c r="A986" t="s">
        <v>1058</v>
      </c>
      <c r="B986" t="s">
        <v>91</v>
      </c>
      <c r="C986" t="s">
        <v>105</v>
      </c>
      <c r="D986">
        <v>2010</v>
      </c>
      <c r="E986" t="s">
        <v>31</v>
      </c>
      <c r="F986" t="s">
        <v>109</v>
      </c>
      <c r="G986" t="s">
        <v>31</v>
      </c>
      <c r="H986" t="s">
        <v>27</v>
      </c>
      <c r="I986" t="s">
        <v>27</v>
      </c>
      <c r="J986" t="s">
        <v>27</v>
      </c>
      <c r="K986">
        <v>2500</v>
      </c>
      <c r="L986" t="s">
        <v>31</v>
      </c>
      <c r="M986">
        <v>67.731094529177753</v>
      </c>
    </row>
    <row r="987" spans="1:13" hidden="1" x14ac:dyDescent="0.3">
      <c r="A987" t="s">
        <v>1059</v>
      </c>
      <c r="B987" t="s">
        <v>51</v>
      </c>
      <c r="C987" t="s">
        <v>121</v>
      </c>
      <c r="D987">
        <v>2010</v>
      </c>
      <c r="E987" t="s">
        <v>31</v>
      </c>
      <c r="F987" t="s">
        <v>75</v>
      </c>
      <c r="G987" t="s">
        <v>31</v>
      </c>
      <c r="H987" t="s">
        <v>27</v>
      </c>
      <c r="I987" t="s">
        <v>27</v>
      </c>
      <c r="J987" t="s">
        <v>27</v>
      </c>
      <c r="K987">
        <v>9500</v>
      </c>
      <c r="L987" t="s">
        <v>31</v>
      </c>
      <c r="M987">
        <v>67.731094529177753</v>
      </c>
    </row>
    <row r="988" spans="1:13" hidden="1" x14ac:dyDescent="0.3">
      <c r="A988" t="s">
        <v>1060</v>
      </c>
      <c r="B988" t="s">
        <v>28</v>
      </c>
      <c r="C988" t="s">
        <v>68</v>
      </c>
      <c r="D988">
        <v>2010</v>
      </c>
      <c r="E988" t="s">
        <v>31</v>
      </c>
      <c r="F988" t="s">
        <v>130</v>
      </c>
      <c r="G988" t="s">
        <v>31</v>
      </c>
      <c r="H988" t="s">
        <v>27</v>
      </c>
      <c r="I988" t="s">
        <v>27</v>
      </c>
      <c r="J988" t="s">
        <v>27</v>
      </c>
      <c r="K988" t="s">
        <v>31</v>
      </c>
      <c r="L988" t="s">
        <v>31</v>
      </c>
      <c r="M988">
        <v>67.731094529177753</v>
      </c>
    </row>
    <row r="989" spans="1:13" hidden="1" x14ac:dyDescent="0.3">
      <c r="A989" t="s">
        <v>1061</v>
      </c>
      <c r="B989" t="s">
        <v>28</v>
      </c>
      <c r="C989" t="s">
        <v>68</v>
      </c>
      <c r="D989">
        <v>2010</v>
      </c>
      <c r="E989" t="s">
        <v>31</v>
      </c>
      <c r="F989" t="s">
        <v>60</v>
      </c>
      <c r="G989" t="s">
        <v>31</v>
      </c>
      <c r="H989" t="s">
        <v>27</v>
      </c>
      <c r="I989" t="s">
        <v>27</v>
      </c>
      <c r="J989" t="s">
        <v>27</v>
      </c>
      <c r="K989">
        <v>150</v>
      </c>
      <c r="L989" t="s">
        <v>31</v>
      </c>
      <c r="M989">
        <v>67.731094529177753</v>
      </c>
    </row>
    <row r="990" spans="1:13" hidden="1" x14ac:dyDescent="0.3">
      <c r="A990" t="s">
        <v>1062</v>
      </c>
      <c r="B990" t="s">
        <v>51</v>
      </c>
      <c r="C990" t="s">
        <v>121</v>
      </c>
      <c r="D990">
        <v>2010</v>
      </c>
      <c r="E990" t="s">
        <v>31</v>
      </c>
      <c r="F990" t="s">
        <v>47</v>
      </c>
      <c r="G990" t="s">
        <v>31</v>
      </c>
      <c r="H990" t="s">
        <v>27</v>
      </c>
      <c r="I990" t="s">
        <v>27</v>
      </c>
      <c r="J990" t="s">
        <v>27</v>
      </c>
      <c r="K990">
        <v>800</v>
      </c>
      <c r="L990" t="s">
        <v>31</v>
      </c>
      <c r="M990">
        <v>67.731094529177753</v>
      </c>
    </row>
    <row r="991" spans="1:13" hidden="1" x14ac:dyDescent="0.3">
      <c r="A991" t="s">
        <v>1063</v>
      </c>
      <c r="B991" t="s">
        <v>39</v>
      </c>
      <c r="C991" t="s">
        <v>41</v>
      </c>
      <c r="D991">
        <v>2010</v>
      </c>
      <c r="E991" t="s">
        <v>31</v>
      </c>
      <c r="F991" t="s">
        <v>111</v>
      </c>
      <c r="G991" t="s">
        <v>31</v>
      </c>
      <c r="H991" t="s">
        <v>27</v>
      </c>
      <c r="I991" t="s">
        <v>27</v>
      </c>
      <c r="J991" t="s">
        <v>33</v>
      </c>
      <c r="K991">
        <v>300</v>
      </c>
      <c r="L991" t="s">
        <v>31</v>
      </c>
      <c r="M991">
        <v>67.731094529177753</v>
      </c>
    </row>
    <row r="992" spans="1:13" hidden="1" x14ac:dyDescent="0.3">
      <c r="A992" t="s">
        <v>1064</v>
      </c>
      <c r="B992" t="s">
        <v>51</v>
      </c>
      <c r="C992" t="s">
        <v>121</v>
      </c>
      <c r="D992">
        <v>2010</v>
      </c>
      <c r="E992" t="s">
        <v>31</v>
      </c>
      <c r="F992" t="s">
        <v>90</v>
      </c>
      <c r="G992" t="s">
        <v>54</v>
      </c>
      <c r="H992" t="s">
        <v>27</v>
      </c>
      <c r="I992" t="s">
        <v>27</v>
      </c>
      <c r="J992" t="s">
        <v>27</v>
      </c>
      <c r="K992">
        <v>3270</v>
      </c>
      <c r="L992" t="s">
        <v>31</v>
      </c>
      <c r="M992">
        <v>67.731094529177753</v>
      </c>
    </row>
    <row r="993" spans="1:13" hidden="1" x14ac:dyDescent="0.3">
      <c r="A993" t="s">
        <v>1065</v>
      </c>
      <c r="B993" t="s">
        <v>28</v>
      </c>
      <c r="C993" t="s">
        <v>189</v>
      </c>
      <c r="D993">
        <v>2010</v>
      </c>
      <c r="E993" t="s">
        <v>31</v>
      </c>
      <c r="F993" t="s">
        <v>45</v>
      </c>
      <c r="G993" t="s">
        <v>37</v>
      </c>
      <c r="H993" t="s">
        <v>27</v>
      </c>
      <c r="I993" t="s">
        <v>27</v>
      </c>
      <c r="J993" t="s">
        <v>27</v>
      </c>
      <c r="K993">
        <v>73122</v>
      </c>
      <c r="L993" t="s">
        <v>31</v>
      </c>
      <c r="M993">
        <v>67.731094529177753</v>
      </c>
    </row>
    <row r="994" spans="1:13" hidden="1" x14ac:dyDescent="0.3">
      <c r="A994" t="s">
        <v>1066</v>
      </c>
      <c r="B994" t="s">
        <v>51</v>
      </c>
      <c r="C994" t="s">
        <v>134</v>
      </c>
      <c r="D994">
        <v>2010</v>
      </c>
      <c r="E994" t="s">
        <v>31</v>
      </c>
      <c r="F994" t="s">
        <v>47</v>
      </c>
      <c r="G994" t="s">
        <v>31</v>
      </c>
      <c r="H994" t="s">
        <v>27</v>
      </c>
      <c r="I994" t="s">
        <v>27</v>
      </c>
      <c r="J994" t="s">
        <v>27</v>
      </c>
      <c r="K994" t="s">
        <v>31</v>
      </c>
      <c r="L994" t="s">
        <v>31</v>
      </c>
      <c r="M994">
        <v>67.731094529177753</v>
      </c>
    </row>
    <row r="995" spans="1:13" hidden="1" x14ac:dyDescent="0.3">
      <c r="A995" t="s">
        <v>1067</v>
      </c>
      <c r="B995" t="s">
        <v>28</v>
      </c>
      <c r="C995" t="s">
        <v>30</v>
      </c>
      <c r="D995">
        <v>2010</v>
      </c>
      <c r="E995" t="s">
        <v>31</v>
      </c>
      <c r="F995" t="s">
        <v>90</v>
      </c>
      <c r="G995" t="s">
        <v>82</v>
      </c>
      <c r="H995" t="s">
        <v>27</v>
      </c>
      <c r="I995" t="s">
        <v>27</v>
      </c>
      <c r="J995" t="s">
        <v>27</v>
      </c>
      <c r="K995" t="s">
        <v>31</v>
      </c>
      <c r="L995" t="s">
        <v>31</v>
      </c>
      <c r="M995">
        <v>67.731094529177753</v>
      </c>
    </row>
    <row r="996" spans="1:13" hidden="1" x14ac:dyDescent="0.3">
      <c r="A996" t="s">
        <v>1068</v>
      </c>
      <c r="B996" t="s">
        <v>51</v>
      </c>
      <c r="C996" t="s">
        <v>134</v>
      </c>
      <c r="D996">
        <v>2010</v>
      </c>
      <c r="E996" t="s">
        <v>31</v>
      </c>
      <c r="F996" t="s">
        <v>73</v>
      </c>
      <c r="G996" t="s">
        <v>31</v>
      </c>
      <c r="H996" t="s">
        <v>27</v>
      </c>
      <c r="I996" t="s">
        <v>27</v>
      </c>
      <c r="J996" t="s">
        <v>27</v>
      </c>
      <c r="K996" t="s">
        <v>31</v>
      </c>
      <c r="L996" t="s">
        <v>31</v>
      </c>
      <c r="M996">
        <v>67.731094529177753</v>
      </c>
    </row>
    <row r="997" spans="1:13" hidden="1" x14ac:dyDescent="0.3">
      <c r="A997" t="s">
        <v>1069</v>
      </c>
      <c r="B997" t="s">
        <v>28</v>
      </c>
      <c r="C997" t="s">
        <v>30</v>
      </c>
      <c r="D997">
        <v>2010</v>
      </c>
      <c r="E997">
        <v>240000</v>
      </c>
      <c r="F997" t="s">
        <v>34</v>
      </c>
      <c r="G997" t="s">
        <v>37</v>
      </c>
      <c r="H997" t="s">
        <v>27</v>
      </c>
      <c r="I997" t="s">
        <v>27</v>
      </c>
      <c r="J997" t="s">
        <v>27</v>
      </c>
      <c r="K997" t="s">
        <v>31</v>
      </c>
      <c r="L997">
        <v>354342</v>
      </c>
      <c r="M997">
        <v>67.731094529177753</v>
      </c>
    </row>
    <row r="998" spans="1:13" hidden="1" x14ac:dyDescent="0.3">
      <c r="A998" t="s">
        <v>1070</v>
      </c>
      <c r="B998" t="s">
        <v>51</v>
      </c>
      <c r="C998" t="s">
        <v>121</v>
      </c>
      <c r="D998">
        <v>2010</v>
      </c>
      <c r="E998" t="s">
        <v>31</v>
      </c>
      <c r="F998" t="s">
        <v>45</v>
      </c>
      <c r="G998" t="s">
        <v>31</v>
      </c>
      <c r="H998" t="s">
        <v>27</v>
      </c>
      <c r="I998" t="s">
        <v>27</v>
      </c>
      <c r="J998" t="s">
        <v>27</v>
      </c>
      <c r="K998" t="s">
        <v>31</v>
      </c>
      <c r="L998" t="s">
        <v>31</v>
      </c>
      <c r="M998">
        <v>67.731094529177753</v>
      </c>
    </row>
    <row r="999" spans="1:13" hidden="1" x14ac:dyDescent="0.3">
      <c r="A999" t="s">
        <v>1071</v>
      </c>
      <c r="B999" t="s">
        <v>43</v>
      </c>
      <c r="C999" t="s">
        <v>44</v>
      </c>
      <c r="D999">
        <v>2010</v>
      </c>
      <c r="E999" t="s">
        <v>31</v>
      </c>
      <c r="F999" t="s">
        <v>45</v>
      </c>
      <c r="G999" t="s">
        <v>31</v>
      </c>
      <c r="H999" t="s">
        <v>33</v>
      </c>
      <c r="I999" t="s">
        <v>27</v>
      </c>
      <c r="J999" t="s">
        <v>33</v>
      </c>
      <c r="K999">
        <v>513997</v>
      </c>
      <c r="L999" t="s">
        <v>31</v>
      </c>
      <c r="M999">
        <v>67.731094529177753</v>
      </c>
    </row>
    <row r="1000" spans="1:13" hidden="1" x14ac:dyDescent="0.3">
      <c r="A1000" t="s">
        <v>1074</v>
      </c>
      <c r="B1000" t="s">
        <v>39</v>
      </c>
      <c r="C1000" t="s">
        <v>157</v>
      </c>
      <c r="D1000">
        <v>2010</v>
      </c>
      <c r="E1000" t="s">
        <v>31</v>
      </c>
      <c r="F1000" t="s">
        <v>446</v>
      </c>
      <c r="G1000" t="s">
        <v>40</v>
      </c>
      <c r="H1000" t="s">
        <v>27</v>
      </c>
      <c r="I1000" t="s">
        <v>27</v>
      </c>
      <c r="J1000" t="s">
        <v>27</v>
      </c>
      <c r="K1000" t="s">
        <v>31</v>
      </c>
      <c r="L1000" t="s">
        <v>31</v>
      </c>
      <c r="M1000">
        <v>67.731094529177753</v>
      </c>
    </row>
    <row r="1001" spans="1:13" hidden="1" x14ac:dyDescent="0.3">
      <c r="A1001" t="s">
        <v>1076</v>
      </c>
      <c r="B1001" t="s">
        <v>39</v>
      </c>
      <c r="C1001" t="s">
        <v>157</v>
      </c>
      <c r="D1001">
        <v>2010</v>
      </c>
      <c r="E1001" t="s">
        <v>31</v>
      </c>
      <c r="F1001" t="s">
        <v>119</v>
      </c>
      <c r="G1001" t="s">
        <v>31</v>
      </c>
      <c r="H1001" t="s">
        <v>27</v>
      </c>
      <c r="I1001" t="s">
        <v>27</v>
      </c>
      <c r="J1001" t="s">
        <v>33</v>
      </c>
      <c r="K1001">
        <v>62000</v>
      </c>
      <c r="L1001" t="s">
        <v>31</v>
      </c>
      <c r="M1001">
        <v>67.731094529177753</v>
      </c>
    </row>
    <row r="1002" spans="1:13" hidden="1" x14ac:dyDescent="0.3">
      <c r="A1002" t="s">
        <v>1626</v>
      </c>
      <c r="B1002" t="s">
        <v>43</v>
      </c>
      <c r="C1002" t="s">
        <v>114</v>
      </c>
      <c r="D1002">
        <v>2010</v>
      </c>
      <c r="E1002" t="s">
        <v>31</v>
      </c>
      <c r="F1002" t="s">
        <v>211</v>
      </c>
      <c r="G1002" t="s">
        <v>31</v>
      </c>
      <c r="H1002" t="s">
        <v>27</v>
      </c>
      <c r="I1002" t="s">
        <v>27</v>
      </c>
      <c r="J1002" t="s">
        <v>27</v>
      </c>
      <c r="K1002">
        <v>33000</v>
      </c>
      <c r="L1002" t="s">
        <v>31</v>
      </c>
      <c r="M1002">
        <v>67.731094529177753</v>
      </c>
    </row>
    <row r="1003" spans="1:13" hidden="1" x14ac:dyDescent="0.3">
      <c r="A1003" t="s">
        <v>1633</v>
      </c>
      <c r="B1003" t="s">
        <v>51</v>
      </c>
      <c r="C1003" t="s">
        <v>121</v>
      </c>
      <c r="D1003">
        <v>2010</v>
      </c>
      <c r="E1003">
        <v>16000</v>
      </c>
      <c r="F1003" t="s">
        <v>73</v>
      </c>
      <c r="G1003" t="s">
        <v>1634</v>
      </c>
      <c r="H1003" t="s">
        <v>27</v>
      </c>
      <c r="I1003" t="s">
        <v>27</v>
      </c>
      <c r="J1003" t="s">
        <v>27</v>
      </c>
      <c r="K1003">
        <v>20000</v>
      </c>
      <c r="L1003">
        <v>23623</v>
      </c>
      <c r="M1003">
        <v>67.731094529177753</v>
      </c>
    </row>
    <row r="1004" spans="1:13" hidden="1" x14ac:dyDescent="0.3">
      <c r="A1004" t="s">
        <v>1638</v>
      </c>
      <c r="B1004" t="s">
        <v>51</v>
      </c>
      <c r="C1004" t="s">
        <v>56</v>
      </c>
      <c r="D1004">
        <v>2010</v>
      </c>
      <c r="E1004" t="s">
        <v>31</v>
      </c>
      <c r="F1004" t="s">
        <v>75</v>
      </c>
      <c r="G1004" t="s">
        <v>31</v>
      </c>
      <c r="H1004" t="s">
        <v>27</v>
      </c>
      <c r="I1004" t="s">
        <v>27</v>
      </c>
      <c r="J1004" t="s">
        <v>27</v>
      </c>
      <c r="K1004">
        <v>25700</v>
      </c>
      <c r="L1004" t="s">
        <v>31</v>
      </c>
      <c r="M1004">
        <v>67.731094529177753</v>
      </c>
    </row>
    <row r="1005" spans="1:13" hidden="1" x14ac:dyDescent="0.3">
      <c r="A1005" t="s">
        <v>1639</v>
      </c>
      <c r="B1005" t="s">
        <v>51</v>
      </c>
      <c r="C1005" t="s">
        <v>56</v>
      </c>
      <c r="D1005">
        <v>2010</v>
      </c>
      <c r="E1005" t="s">
        <v>31</v>
      </c>
      <c r="F1005" t="s">
        <v>45</v>
      </c>
      <c r="G1005" t="s">
        <v>54</v>
      </c>
      <c r="H1005" t="s">
        <v>27</v>
      </c>
      <c r="I1005" t="s">
        <v>27</v>
      </c>
      <c r="J1005" t="s">
        <v>27</v>
      </c>
      <c r="K1005">
        <v>2</v>
      </c>
      <c r="L1005" t="s">
        <v>31</v>
      </c>
      <c r="M1005">
        <v>67.731094529177753</v>
      </c>
    </row>
    <row r="1006" spans="1:13" x14ac:dyDescent="0.3">
      <c r="A1006" t="s">
        <v>1640</v>
      </c>
      <c r="B1006" t="s">
        <v>51</v>
      </c>
      <c r="C1006" t="s">
        <v>121</v>
      </c>
      <c r="D1006">
        <v>2010</v>
      </c>
      <c r="E1006">
        <v>200000</v>
      </c>
      <c r="F1006" t="s">
        <v>119</v>
      </c>
      <c r="G1006" t="s">
        <v>54</v>
      </c>
      <c r="H1006" t="s">
        <v>33</v>
      </c>
      <c r="I1006" t="s">
        <v>27</v>
      </c>
      <c r="J1006" t="s">
        <v>27</v>
      </c>
      <c r="K1006">
        <v>74938</v>
      </c>
      <c r="L1006">
        <v>295285</v>
      </c>
      <c r="M1006">
        <v>67.731094529177753</v>
      </c>
    </row>
    <row r="1007" spans="1:13" hidden="1" x14ac:dyDescent="0.3">
      <c r="A1007" t="s">
        <v>1641</v>
      </c>
      <c r="B1007" t="s">
        <v>28</v>
      </c>
      <c r="C1007" t="s">
        <v>64</v>
      </c>
      <c r="D1007">
        <v>2010</v>
      </c>
      <c r="E1007">
        <v>2350000</v>
      </c>
      <c r="F1007" t="s">
        <v>34</v>
      </c>
      <c r="G1007" t="s">
        <v>37</v>
      </c>
      <c r="H1007" t="s">
        <v>27</v>
      </c>
      <c r="I1007" t="s">
        <v>27</v>
      </c>
      <c r="J1007" t="s">
        <v>27</v>
      </c>
      <c r="K1007">
        <v>8000</v>
      </c>
      <c r="L1007">
        <v>3469603</v>
      </c>
      <c r="M1007">
        <v>67.731094529177753</v>
      </c>
    </row>
    <row r="1008" spans="1:13" hidden="1" x14ac:dyDescent="0.3">
      <c r="A1008" t="s">
        <v>1642</v>
      </c>
      <c r="B1008" t="s">
        <v>91</v>
      </c>
      <c r="C1008" t="s">
        <v>105</v>
      </c>
      <c r="D1008">
        <v>2010</v>
      </c>
      <c r="E1008" t="s">
        <v>31</v>
      </c>
      <c r="F1008" t="s">
        <v>90</v>
      </c>
      <c r="G1008" t="s">
        <v>31</v>
      </c>
      <c r="H1008" t="s">
        <v>33</v>
      </c>
      <c r="I1008" t="s">
        <v>27</v>
      </c>
      <c r="J1008" t="s">
        <v>33</v>
      </c>
      <c r="K1008">
        <v>1800</v>
      </c>
      <c r="L1008" t="s">
        <v>31</v>
      </c>
      <c r="M1008">
        <v>67.731094529177753</v>
      </c>
    </row>
    <row r="1009" spans="1:13" hidden="1" x14ac:dyDescent="0.3">
      <c r="A1009" t="s">
        <v>1643</v>
      </c>
      <c r="B1009" t="s">
        <v>51</v>
      </c>
      <c r="C1009" t="s">
        <v>121</v>
      </c>
      <c r="D1009">
        <v>2010</v>
      </c>
      <c r="E1009" t="s">
        <v>31</v>
      </c>
      <c r="F1009" t="s">
        <v>166</v>
      </c>
      <c r="G1009" t="s">
        <v>54</v>
      </c>
      <c r="H1009" t="s">
        <v>27</v>
      </c>
      <c r="I1009" t="s">
        <v>27</v>
      </c>
      <c r="J1009" t="s">
        <v>33</v>
      </c>
      <c r="K1009">
        <v>1035</v>
      </c>
      <c r="L1009" t="s">
        <v>31</v>
      </c>
      <c r="M1009">
        <v>67.731094529177753</v>
      </c>
    </row>
    <row r="1010" spans="1:13" hidden="1" x14ac:dyDescent="0.3">
      <c r="A1010" t="s">
        <v>1644</v>
      </c>
      <c r="B1010" t="s">
        <v>51</v>
      </c>
      <c r="C1010" t="s">
        <v>121</v>
      </c>
      <c r="D1010">
        <v>2010</v>
      </c>
      <c r="E1010" t="s">
        <v>31</v>
      </c>
      <c r="F1010" t="s">
        <v>109</v>
      </c>
      <c r="G1010" t="s">
        <v>31</v>
      </c>
      <c r="H1010" t="s">
        <v>27</v>
      </c>
      <c r="I1010" t="s">
        <v>27</v>
      </c>
      <c r="J1010" t="s">
        <v>33</v>
      </c>
      <c r="K1010">
        <v>6440</v>
      </c>
      <c r="L1010" t="s">
        <v>31</v>
      </c>
      <c r="M1010">
        <v>67.731094529177753</v>
      </c>
    </row>
    <row r="1011" spans="1:13" hidden="1" x14ac:dyDescent="0.3">
      <c r="A1011" t="s">
        <v>1645</v>
      </c>
      <c r="B1011" t="s">
        <v>51</v>
      </c>
      <c r="C1011" t="s">
        <v>121</v>
      </c>
      <c r="D1011">
        <v>2010</v>
      </c>
      <c r="E1011" t="s">
        <v>31</v>
      </c>
      <c r="F1011" t="s">
        <v>81</v>
      </c>
      <c r="G1011" t="s">
        <v>31</v>
      </c>
      <c r="H1011" t="s">
        <v>27</v>
      </c>
      <c r="I1011" t="s">
        <v>27</v>
      </c>
      <c r="J1011" t="s">
        <v>27</v>
      </c>
      <c r="K1011">
        <v>4860</v>
      </c>
      <c r="L1011" t="s">
        <v>31</v>
      </c>
      <c r="M1011">
        <v>67.731094529177753</v>
      </c>
    </row>
    <row r="1012" spans="1:13" hidden="1" x14ac:dyDescent="0.3">
      <c r="A1012" t="s">
        <v>1646</v>
      </c>
      <c r="B1012" t="s">
        <v>51</v>
      </c>
      <c r="C1012" t="s">
        <v>121</v>
      </c>
      <c r="D1012">
        <v>2010</v>
      </c>
      <c r="E1012" t="s">
        <v>31</v>
      </c>
      <c r="F1012" t="s">
        <v>49</v>
      </c>
      <c r="G1012" t="s">
        <v>54</v>
      </c>
      <c r="H1012" t="s">
        <v>27</v>
      </c>
      <c r="I1012" t="s">
        <v>27</v>
      </c>
      <c r="J1012" t="s">
        <v>27</v>
      </c>
      <c r="K1012">
        <v>1610</v>
      </c>
      <c r="L1012" t="s">
        <v>31</v>
      </c>
      <c r="M1012">
        <v>67.731094529177753</v>
      </c>
    </row>
    <row r="1013" spans="1:13" hidden="1" x14ac:dyDescent="0.3">
      <c r="A1013" t="s">
        <v>1647</v>
      </c>
      <c r="B1013" t="s">
        <v>51</v>
      </c>
      <c r="C1013" t="s">
        <v>134</v>
      </c>
      <c r="D1013">
        <v>2010</v>
      </c>
      <c r="E1013">
        <v>500000</v>
      </c>
      <c r="F1013" t="s">
        <v>90</v>
      </c>
      <c r="G1013" t="s">
        <v>31</v>
      </c>
      <c r="H1013" t="s">
        <v>33</v>
      </c>
      <c r="I1013" t="s">
        <v>27</v>
      </c>
      <c r="J1013" t="s">
        <v>33</v>
      </c>
      <c r="K1013">
        <v>50696</v>
      </c>
      <c r="L1013">
        <v>738213</v>
      </c>
      <c r="M1013">
        <v>67.731094529177753</v>
      </c>
    </row>
    <row r="1014" spans="1:13" hidden="1" x14ac:dyDescent="0.3">
      <c r="A1014" t="s">
        <v>1648</v>
      </c>
      <c r="B1014" t="s">
        <v>51</v>
      </c>
      <c r="C1014" t="s">
        <v>121</v>
      </c>
      <c r="D1014">
        <v>2010</v>
      </c>
      <c r="E1014" t="s">
        <v>31</v>
      </c>
      <c r="F1014" t="s">
        <v>73</v>
      </c>
      <c r="G1014" t="s">
        <v>54</v>
      </c>
      <c r="H1014" t="s">
        <v>27</v>
      </c>
      <c r="I1014" t="s">
        <v>27</v>
      </c>
      <c r="J1014" t="s">
        <v>33</v>
      </c>
      <c r="K1014">
        <v>1000000</v>
      </c>
      <c r="L1014" t="s">
        <v>31</v>
      </c>
      <c r="M1014">
        <v>67.731094529177753</v>
      </c>
    </row>
    <row r="1015" spans="1:13" hidden="1" x14ac:dyDescent="0.3">
      <c r="A1015" t="s">
        <v>1649</v>
      </c>
      <c r="B1015" t="s">
        <v>51</v>
      </c>
      <c r="C1015" t="s">
        <v>134</v>
      </c>
      <c r="D1015">
        <v>2010</v>
      </c>
      <c r="E1015" t="s">
        <v>31</v>
      </c>
      <c r="F1015" t="s">
        <v>73</v>
      </c>
      <c r="G1015" t="s">
        <v>31</v>
      </c>
      <c r="H1015" t="s">
        <v>27</v>
      </c>
      <c r="I1015" t="s">
        <v>27</v>
      </c>
      <c r="J1015" t="s">
        <v>27</v>
      </c>
      <c r="K1015" t="s">
        <v>31</v>
      </c>
      <c r="L1015" t="s">
        <v>31</v>
      </c>
      <c r="M1015">
        <v>67.731094529177753</v>
      </c>
    </row>
    <row r="1016" spans="1:13" hidden="1" x14ac:dyDescent="0.3">
      <c r="A1016" t="s">
        <v>1650</v>
      </c>
      <c r="B1016" t="s">
        <v>28</v>
      </c>
      <c r="C1016" t="s">
        <v>30</v>
      </c>
      <c r="D1016">
        <v>2010</v>
      </c>
      <c r="E1016">
        <v>12600</v>
      </c>
      <c r="F1016" t="s">
        <v>219</v>
      </c>
      <c r="G1016" t="s">
        <v>37</v>
      </c>
      <c r="H1016" t="s">
        <v>27</v>
      </c>
      <c r="I1016" t="s">
        <v>27</v>
      </c>
      <c r="J1016" t="s">
        <v>27</v>
      </c>
      <c r="K1016">
        <v>5000</v>
      </c>
      <c r="L1016">
        <v>18603</v>
      </c>
      <c r="M1016">
        <v>67.731094529177753</v>
      </c>
    </row>
    <row r="1017" spans="1:13" hidden="1" x14ac:dyDescent="0.3">
      <c r="A1017" t="s">
        <v>1651</v>
      </c>
      <c r="B1017" t="s">
        <v>51</v>
      </c>
      <c r="C1017" t="s">
        <v>121</v>
      </c>
      <c r="D1017">
        <v>2010</v>
      </c>
      <c r="E1017" t="s">
        <v>31</v>
      </c>
      <c r="F1017" t="s">
        <v>81</v>
      </c>
      <c r="G1017" t="s">
        <v>31</v>
      </c>
      <c r="H1017" t="s">
        <v>27</v>
      </c>
      <c r="I1017" t="s">
        <v>27</v>
      </c>
      <c r="J1017" t="s">
        <v>27</v>
      </c>
      <c r="K1017">
        <v>71000</v>
      </c>
      <c r="L1017" t="s">
        <v>31</v>
      </c>
      <c r="M1017">
        <v>67.731094529177753</v>
      </c>
    </row>
    <row r="1018" spans="1:13" hidden="1" x14ac:dyDescent="0.3">
      <c r="A1018" t="s">
        <v>1652</v>
      </c>
      <c r="B1018" t="s">
        <v>28</v>
      </c>
      <c r="C1018" t="s">
        <v>30</v>
      </c>
      <c r="D1018">
        <v>2010</v>
      </c>
      <c r="E1018">
        <v>150000</v>
      </c>
      <c r="F1018" t="s">
        <v>234</v>
      </c>
      <c r="G1018" t="s">
        <v>82</v>
      </c>
      <c r="H1018" t="s">
        <v>33</v>
      </c>
      <c r="I1018" t="s">
        <v>27</v>
      </c>
      <c r="J1018" t="s">
        <v>27</v>
      </c>
      <c r="K1018">
        <v>2506</v>
      </c>
      <c r="L1018">
        <v>221464</v>
      </c>
      <c r="M1018">
        <v>67.731094529177753</v>
      </c>
    </row>
    <row r="1019" spans="1:13" hidden="1" x14ac:dyDescent="0.3">
      <c r="A1019" t="s">
        <v>1653</v>
      </c>
      <c r="B1019" t="s">
        <v>28</v>
      </c>
      <c r="C1019" t="s">
        <v>30</v>
      </c>
      <c r="D1019">
        <v>2010</v>
      </c>
      <c r="E1019" t="s">
        <v>31</v>
      </c>
      <c r="F1019" t="s">
        <v>49</v>
      </c>
      <c r="G1019" t="s">
        <v>37</v>
      </c>
      <c r="H1019" t="s">
        <v>27</v>
      </c>
      <c r="I1019" t="s">
        <v>27</v>
      </c>
      <c r="J1019" t="s">
        <v>27</v>
      </c>
      <c r="K1019" t="s">
        <v>31</v>
      </c>
      <c r="L1019" t="s">
        <v>31</v>
      </c>
      <c r="M1019">
        <v>67.731094529177753</v>
      </c>
    </row>
    <row r="1020" spans="1:13" hidden="1" x14ac:dyDescent="0.3">
      <c r="A1020" t="s">
        <v>1654</v>
      </c>
      <c r="B1020" t="s">
        <v>28</v>
      </c>
      <c r="C1020" t="s">
        <v>30</v>
      </c>
      <c r="D1020">
        <v>2010</v>
      </c>
      <c r="E1020" t="s">
        <v>31</v>
      </c>
      <c r="F1020" t="s">
        <v>73</v>
      </c>
      <c r="G1020" t="s">
        <v>82</v>
      </c>
      <c r="H1020" t="s">
        <v>27</v>
      </c>
      <c r="I1020" t="s">
        <v>27</v>
      </c>
      <c r="J1020" t="s">
        <v>27</v>
      </c>
      <c r="K1020">
        <v>1075</v>
      </c>
      <c r="L1020" t="s">
        <v>31</v>
      </c>
      <c r="M1020">
        <v>67.731094529177753</v>
      </c>
    </row>
    <row r="1021" spans="1:13" hidden="1" x14ac:dyDescent="0.3">
      <c r="A1021" t="s">
        <v>1655</v>
      </c>
      <c r="B1021" t="s">
        <v>28</v>
      </c>
      <c r="C1021" t="s">
        <v>30</v>
      </c>
      <c r="D1021">
        <v>2010</v>
      </c>
      <c r="E1021" t="s">
        <v>31</v>
      </c>
      <c r="F1021" t="s">
        <v>115</v>
      </c>
      <c r="G1021" t="s">
        <v>31</v>
      </c>
      <c r="H1021" t="s">
        <v>27</v>
      </c>
      <c r="I1021" t="s">
        <v>27</v>
      </c>
      <c r="J1021" t="s">
        <v>27</v>
      </c>
      <c r="K1021" t="s">
        <v>31</v>
      </c>
      <c r="L1021" t="s">
        <v>31</v>
      </c>
      <c r="M1021">
        <v>67.731094529177753</v>
      </c>
    </row>
    <row r="1022" spans="1:13" hidden="1" x14ac:dyDescent="0.3">
      <c r="A1022" t="s">
        <v>1656</v>
      </c>
      <c r="B1022" t="s">
        <v>43</v>
      </c>
      <c r="C1022" t="s">
        <v>44</v>
      </c>
      <c r="D1022">
        <v>2010</v>
      </c>
      <c r="E1022" t="s">
        <v>31</v>
      </c>
      <c r="F1022" t="s">
        <v>75</v>
      </c>
      <c r="G1022" t="s">
        <v>31</v>
      </c>
      <c r="H1022" t="s">
        <v>27</v>
      </c>
      <c r="I1022" t="s">
        <v>27</v>
      </c>
      <c r="J1022" t="s">
        <v>27</v>
      </c>
      <c r="K1022">
        <v>17321</v>
      </c>
      <c r="L1022" t="s">
        <v>31</v>
      </c>
      <c r="M1022">
        <v>67.731094529177753</v>
      </c>
    </row>
    <row r="1023" spans="1:13" hidden="1" x14ac:dyDescent="0.3">
      <c r="A1023" t="s">
        <v>1658</v>
      </c>
      <c r="B1023" t="s">
        <v>28</v>
      </c>
      <c r="C1023" t="s">
        <v>30</v>
      </c>
      <c r="D1023">
        <v>2010</v>
      </c>
      <c r="E1023" t="s">
        <v>31</v>
      </c>
      <c r="F1023" t="s">
        <v>75</v>
      </c>
      <c r="G1023" t="s">
        <v>54</v>
      </c>
      <c r="H1023" t="s">
        <v>27</v>
      </c>
      <c r="I1023" t="s">
        <v>27</v>
      </c>
      <c r="J1023" t="s">
        <v>27</v>
      </c>
      <c r="K1023">
        <v>12000</v>
      </c>
      <c r="L1023" t="s">
        <v>31</v>
      </c>
      <c r="M1023">
        <v>67.731094529177753</v>
      </c>
    </row>
    <row r="1024" spans="1:13" hidden="1" x14ac:dyDescent="0.3">
      <c r="A1024" t="s">
        <v>1659</v>
      </c>
      <c r="B1024" t="s">
        <v>51</v>
      </c>
      <c r="C1024" t="s">
        <v>121</v>
      </c>
      <c r="D1024">
        <v>2010</v>
      </c>
      <c r="E1024">
        <v>170000</v>
      </c>
      <c r="F1024" t="s">
        <v>70</v>
      </c>
      <c r="G1024" t="s">
        <v>54</v>
      </c>
      <c r="H1024" t="s">
        <v>27</v>
      </c>
      <c r="I1024" t="s">
        <v>27</v>
      </c>
      <c r="J1024" t="s">
        <v>33</v>
      </c>
      <c r="K1024">
        <v>94800</v>
      </c>
      <c r="L1024">
        <v>250993</v>
      </c>
      <c r="M1024">
        <v>67.731094529177753</v>
      </c>
    </row>
    <row r="1025" spans="1:13" hidden="1" x14ac:dyDescent="0.3">
      <c r="A1025" t="s">
        <v>1660</v>
      </c>
      <c r="B1025" t="s">
        <v>51</v>
      </c>
      <c r="C1025" t="s">
        <v>121</v>
      </c>
      <c r="D1025">
        <v>2010</v>
      </c>
      <c r="E1025" t="s">
        <v>31</v>
      </c>
      <c r="F1025" t="s">
        <v>119</v>
      </c>
      <c r="G1025" t="s">
        <v>402</v>
      </c>
      <c r="H1025" t="s">
        <v>27</v>
      </c>
      <c r="I1025" t="s">
        <v>27</v>
      </c>
      <c r="J1025" t="s">
        <v>33</v>
      </c>
      <c r="K1025">
        <v>13000</v>
      </c>
      <c r="L1025" t="s">
        <v>31</v>
      </c>
      <c r="M1025">
        <v>67.731094529177753</v>
      </c>
    </row>
    <row r="1026" spans="1:13" hidden="1" x14ac:dyDescent="0.3">
      <c r="A1026" t="s">
        <v>1661</v>
      </c>
      <c r="B1026" t="s">
        <v>51</v>
      </c>
      <c r="C1026" t="s">
        <v>121</v>
      </c>
      <c r="D1026">
        <v>2010</v>
      </c>
      <c r="E1026" t="s">
        <v>31</v>
      </c>
      <c r="F1026" t="s">
        <v>34</v>
      </c>
      <c r="G1026" t="s">
        <v>31</v>
      </c>
      <c r="H1026" t="s">
        <v>27</v>
      </c>
      <c r="I1026" t="s">
        <v>27</v>
      </c>
      <c r="J1026" t="s">
        <v>33</v>
      </c>
      <c r="K1026">
        <v>1000</v>
      </c>
      <c r="L1026" t="s">
        <v>31</v>
      </c>
      <c r="M1026">
        <v>67.731094529177753</v>
      </c>
    </row>
    <row r="1027" spans="1:13" hidden="1" x14ac:dyDescent="0.3">
      <c r="A1027" t="s">
        <v>1662</v>
      </c>
      <c r="B1027" t="s">
        <v>43</v>
      </c>
      <c r="C1027" t="s">
        <v>114</v>
      </c>
      <c r="D1027">
        <v>2010</v>
      </c>
      <c r="E1027" t="s">
        <v>31</v>
      </c>
      <c r="F1027" t="s">
        <v>111</v>
      </c>
      <c r="G1027" t="s">
        <v>31</v>
      </c>
      <c r="H1027" t="s">
        <v>27</v>
      </c>
      <c r="I1027" t="s">
        <v>27</v>
      </c>
      <c r="J1027" t="s">
        <v>27</v>
      </c>
      <c r="K1027">
        <v>25236</v>
      </c>
      <c r="L1027" t="s">
        <v>31</v>
      </c>
      <c r="M1027">
        <v>67.731094529177753</v>
      </c>
    </row>
    <row r="1028" spans="1:13" hidden="1" x14ac:dyDescent="0.3">
      <c r="A1028" t="s">
        <v>1663</v>
      </c>
      <c r="B1028" t="s">
        <v>43</v>
      </c>
      <c r="C1028" t="s">
        <v>114</v>
      </c>
      <c r="D1028">
        <v>2010</v>
      </c>
      <c r="E1028" t="s">
        <v>31</v>
      </c>
      <c r="F1028" t="s">
        <v>53</v>
      </c>
      <c r="G1028" t="s">
        <v>31</v>
      </c>
      <c r="H1028" t="s">
        <v>27</v>
      </c>
      <c r="I1028" t="s">
        <v>27</v>
      </c>
      <c r="J1028" t="s">
        <v>27</v>
      </c>
      <c r="K1028">
        <v>31703</v>
      </c>
      <c r="L1028" t="s">
        <v>31</v>
      </c>
      <c r="M1028">
        <v>67.731094529177753</v>
      </c>
    </row>
    <row r="1029" spans="1:13" hidden="1" x14ac:dyDescent="0.3">
      <c r="A1029" t="s">
        <v>1664</v>
      </c>
      <c r="B1029" t="s">
        <v>28</v>
      </c>
      <c r="C1029" t="s">
        <v>99</v>
      </c>
      <c r="D1029">
        <v>2010</v>
      </c>
      <c r="E1029" t="s">
        <v>31</v>
      </c>
      <c r="F1029" t="s">
        <v>34</v>
      </c>
      <c r="G1029" t="s">
        <v>37</v>
      </c>
      <c r="H1029" t="s">
        <v>27</v>
      </c>
      <c r="I1029" t="s">
        <v>27</v>
      </c>
      <c r="J1029" t="s">
        <v>27</v>
      </c>
      <c r="K1029">
        <v>100</v>
      </c>
      <c r="L1029" t="s">
        <v>31</v>
      </c>
      <c r="M1029">
        <v>67.731094529177753</v>
      </c>
    </row>
    <row r="1030" spans="1:13" hidden="1" x14ac:dyDescent="0.3">
      <c r="A1030" t="s">
        <v>1665</v>
      </c>
      <c r="B1030" t="s">
        <v>43</v>
      </c>
      <c r="C1030" t="s">
        <v>114</v>
      </c>
      <c r="D1030">
        <v>2010</v>
      </c>
      <c r="E1030" t="s">
        <v>31</v>
      </c>
      <c r="F1030" t="s">
        <v>109</v>
      </c>
      <c r="G1030" t="s">
        <v>31</v>
      </c>
      <c r="H1030" t="s">
        <v>27</v>
      </c>
      <c r="I1030" t="s">
        <v>27</v>
      </c>
      <c r="J1030" t="s">
        <v>27</v>
      </c>
      <c r="K1030">
        <v>4000</v>
      </c>
      <c r="L1030" t="s">
        <v>31</v>
      </c>
      <c r="M1030">
        <v>67.731094529177753</v>
      </c>
    </row>
    <row r="1031" spans="1:13" hidden="1" x14ac:dyDescent="0.3">
      <c r="A1031" t="s">
        <v>1666</v>
      </c>
      <c r="B1031" t="s">
        <v>39</v>
      </c>
      <c r="C1031" t="s">
        <v>157</v>
      </c>
      <c r="D1031">
        <v>2010</v>
      </c>
      <c r="E1031" t="s">
        <v>31</v>
      </c>
      <c r="F1031" t="s">
        <v>144</v>
      </c>
      <c r="G1031" t="s">
        <v>31</v>
      </c>
      <c r="H1031" t="s">
        <v>27</v>
      </c>
      <c r="I1031" t="s">
        <v>27</v>
      </c>
      <c r="J1031" t="s">
        <v>27</v>
      </c>
      <c r="K1031" t="s">
        <v>31</v>
      </c>
      <c r="L1031" t="s">
        <v>31</v>
      </c>
      <c r="M1031">
        <v>67.731094529177753</v>
      </c>
    </row>
    <row r="1032" spans="1:13" hidden="1" x14ac:dyDescent="0.3">
      <c r="A1032" t="s">
        <v>2349</v>
      </c>
      <c r="B1032" t="s">
        <v>91</v>
      </c>
      <c r="C1032" t="s">
        <v>93</v>
      </c>
      <c r="D1032">
        <v>2010</v>
      </c>
      <c r="E1032">
        <v>1150000</v>
      </c>
      <c r="F1032" t="s">
        <v>73</v>
      </c>
      <c r="G1032" t="s">
        <v>31</v>
      </c>
      <c r="H1032" t="s">
        <v>27</v>
      </c>
      <c r="I1032" t="s">
        <v>27</v>
      </c>
      <c r="J1032" t="s">
        <v>33</v>
      </c>
      <c r="K1032">
        <v>25232</v>
      </c>
      <c r="L1032">
        <v>1697891</v>
      </c>
      <c r="M1032">
        <v>67.731094529177753</v>
      </c>
    </row>
    <row r="1033" spans="1:13" hidden="1" x14ac:dyDescent="0.3">
      <c r="A1033" t="s">
        <v>2355</v>
      </c>
      <c r="B1033" t="s">
        <v>51</v>
      </c>
      <c r="C1033" t="s">
        <v>121</v>
      </c>
      <c r="D1033">
        <v>2010</v>
      </c>
      <c r="E1033" t="s">
        <v>31</v>
      </c>
      <c r="F1033" t="s">
        <v>34</v>
      </c>
      <c r="G1033" t="s">
        <v>31</v>
      </c>
      <c r="H1033" t="s">
        <v>27</v>
      </c>
      <c r="I1033" t="s">
        <v>27</v>
      </c>
      <c r="J1033" t="s">
        <v>33</v>
      </c>
      <c r="K1033" t="s">
        <v>31</v>
      </c>
      <c r="L1033" t="s">
        <v>31</v>
      </c>
      <c r="M1033">
        <v>67.731094529177753</v>
      </c>
    </row>
    <row r="1034" spans="1:13" hidden="1" x14ac:dyDescent="0.3">
      <c r="A1034" t="s">
        <v>2359</v>
      </c>
      <c r="B1034" t="s">
        <v>51</v>
      </c>
      <c r="C1034" t="s">
        <v>121</v>
      </c>
      <c r="D1034">
        <v>2010</v>
      </c>
      <c r="E1034" t="s">
        <v>31</v>
      </c>
      <c r="F1034" t="s">
        <v>111</v>
      </c>
      <c r="G1034" t="s">
        <v>31</v>
      </c>
      <c r="H1034" t="s">
        <v>27</v>
      </c>
      <c r="I1034" t="s">
        <v>27</v>
      </c>
      <c r="J1034" t="s">
        <v>33</v>
      </c>
      <c r="K1034">
        <v>227860</v>
      </c>
      <c r="L1034" t="s">
        <v>31</v>
      </c>
      <c r="M1034">
        <v>67.731094529177753</v>
      </c>
    </row>
    <row r="1035" spans="1:13" hidden="1" x14ac:dyDescent="0.3">
      <c r="A1035" t="s">
        <v>2360</v>
      </c>
      <c r="B1035" t="s">
        <v>51</v>
      </c>
      <c r="C1035" t="s">
        <v>121</v>
      </c>
      <c r="D1035">
        <v>2010</v>
      </c>
      <c r="E1035" t="s">
        <v>31</v>
      </c>
      <c r="F1035" t="s">
        <v>166</v>
      </c>
      <c r="G1035" t="s">
        <v>31</v>
      </c>
      <c r="H1035" t="s">
        <v>27</v>
      </c>
      <c r="I1035" t="s">
        <v>27</v>
      </c>
      <c r="J1035" t="s">
        <v>27</v>
      </c>
      <c r="K1035">
        <v>1000</v>
      </c>
      <c r="L1035" t="s">
        <v>31</v>
      </c>
      <c r="M1035">
        <v>67.731094529177753</v>
      </c>
    </row>
    <row r="1036" spans="1:13" hidden="1" x14ac:dyDescent="0.3">
      <c r="A1036" t="s">
        <v>2361</v>
      </c>
      <c r="B1036" t="s">
        <v>28</v>
      </c>
      <c r="C1036" t="s">
        <v>67</v>
      </c>
      <c r="D1036">
        <v>2010</v>
      </c>
      <c r="E1036">
        <v>2000000</v>
      </c>
      <c r="F1036" t="s">
        <v>34</v>
      </c>
      <c r="G1036" t="s">
        <v>31</v>
      </c>
      <c r="H1036" t="s">
        <v>27</v>
      </c>
      <c r="I1036" t="s">
        <v>27</v>
      </c>
      <c r="J1036" t="s">
        <v>33</v>
      </c>
      <c r="K1036" t="s">
        <v>31</v>
      </c>
      <c r="L1036">
        <v>2952854</v>
      </c>
      <c r="M1036">
        <v>67.731094529177753</v>
      </c>
    </row>
    <row r="1037" spans="1:13" hidden="1" x14ac:dyDescent="0.3">
      <c r="A1037" t="s">
        <v>2362</v>
      </c>
      <c r="B1037" t="s">
        <v>28</v>
      </c>
      <c r="C1037" t="s">
        <v>97</v>
      </c>
      <c r="D1037">
        <v>2010</v>
      </c>
      <c r="E1037">
        <v>2700000</v>
      </c>
      <c r="F1037" t="s">
        <v>34</v>
      </c>
      <c r="G1037" t="s">
        <v>65</v>
      </c>
      <c r="H1037" t="s">
        <v>27</v>
      </c>
      <c r="I1037" t="s">
        <v>27</v>
      </c>
      <c r="J1037" t="s">
        <v>27</v>
      </c>
      <c r="K1037">
        <v>58</v>
      </c>
      <c r="L1037">
        <v>3986352</v>
      </c>
      <c r="M1037">
        <v>67.731094529177753</v>
      </c>
    </row>
    <row r="1038" spans="1:13" hidden="1" x14ac:dyDescent="0.3">
      <c r="A1038" t="s">
        <v>2363</v>
      </c>
      <c r="B1038" t="s">
        <v>28</v>
      </c>
      <c r="C1038" t="s">
        <v>30</v>
      </c>
      <c r="D1038">
        <v>2010</v>
      </c>
      <c r="E1038">
        <v>20000</v>
      </c>
      <c r="F1038" t="s">
        <v>115</v>
      </c>
      <c r="G1038" t="s">
        <v>82</v>
      </c>
      <c r="H1038" t="s">
        <v>33</v>
      </c>
      <c r="I1038" t="s">
        <v>27</v>
      </c>
      <c r="J1038" t="s">
        <v>33</v>
      </c>
      <c r="K1038">
        <v>11253</v>
      </c>
      <c r="L1038">
        <v>29529</v>
      </c>
      <c r="M1038">
        <v>67.731094529177753</v>
      </c>
    </row>
    <row r="1039" spans="1:13" hidden="1" x14ac:dyDescent="0.3">
      <c r="A1039" t="s">
        <v>2364</v>
      </c>
      <c r="B1039" t="s">
        <v>51</v>
      </c>
      <c r="C1039" t="s">
        <v>121</v>
      </c>
      <c r="D1039">
        <v>2010</v>
      </c>
      <c r="E1039" t="s">
        <v>31</v>
      </c>
      <c r="F1039" t="s">
        <v>34</v>
      </c>
      <c r="G1039" t="s">
        <v>31</v>
      </c>
      <c r="H1039" t="s">
        <v>27</v>
      </c>
      <c r="I1039" t="s">
        <v>27</v>
      </c>
      <c r="J1039" t="s">
        <v>27</v>
      </c>
      <c r="K1039" t="s">
        <v>31</v>
      </c>
      <c r="L1039" t="s">
        <v>31</v>
      </c>
      <c r="M1039">
        <v>67.731094529177753</v>
      </c>
    </row>
    <row r="1040" spans="1:13" hidden="1" x14ac:dyDescent="0.3">
      <c r="A1040" t="s">
        <v>2365</v>
      </c>
      <c r="B1040" t="s">
        <v>28</v>
      </c>
      <c r="C1040" t="s">
        <v>30</v>
      </c>
      <c r="D1040">
        <v>2010</v>
      </c>
      <c r="E1040" t="s">
        <v>31</v>
      </c>
      <c r="F1040" t="s">
        <v>81</v>
      </c>
      <c r="G1040" t="s">
        <v>31</v>
      </c>
      <c r="H1040" t="s">
        <v>27</v>
      </c>
      <c r="I1040" t="s">
        <v>27</v>
      </c>
      <c r="J1040" t="s">
        <v>27</v>
      </c>
      <c r="K1040" t="s">
        <v>31</v>
      </c>
      <c r="L1040" t="s">
        <v>31</v>
      </c>
      <c r="M1040">
        <v>67.731094529177753</v>
      </c>
    </row>
    <row r="1041" spans="1:13" hidden="1" x14ac:dyDescent="0.3">
      <c r="A1041" t="s">
        <v>2366</v>
      </c>
      <c r="B1041" t="s">
        <v>39</v>
      </c>
      <c r="C1041" t="s">
        <v>142</v>
      </c>
      <c r="D1041">
        <v>2010</v>
      </c>
      <c r="E1041" t="s">
        <v>31</v>
      </c>
      <c r="F1041" t="s">
        <v>47</v>
      </c>
      <c r="G1041" t="s">
        <v>31</v>
      </c>
      <c r="H1041" t="s">
        <v>33</v>
      </c>
      <c r="I1041" t="s">
        <v>27</v>
      </c>
      <c r="J1041" t="s">
        <v>27</v>
      </c>
      <c r="K1041">
        <v>200</v>
      </c>
      <c r="L1041" t="s">
        <v>31</v>
      </c>
      <c r="M1041">
        <v>67.731094529177753</v>
      </c>
    </row>
    <row r="1042" spans="1:13" hidden="1" x14ac:dyDescent="0.3">
      <c r="A1042" t="s">
        <v>2367</v>
      </c>
      <c r="B1042" t="s">
        <v>28</v>
      </c>
      <c r="C1042" t="s">
        <v>68</v>
      </c>
      <c r="D1042">
        <v>2010</v>
      </c>
      <c r="E1042" t="s">
        <v>31</v>
      </c>
      <c r="F1042" t="s">
        <v>57</v>
      </c>
      <c r="G1042" t="s">
        <v>31</v>
      </c>
      <c r="H1042" t="s">
        <v>27</v>
      </c>
      <c r="I1042" t="s">
        <v>27</v>
      </c>
      <c r="J1042" t="s">
        <v>27</v>
      </c>
      <c r="K1042" t="s">
        <v>31</v>
      </c>
      <c r="L1042" t="s">
        <v>31</v>
      </c>
      <c r="M1042">
        <v>67.731094529177753</v>
      </c>
    </row>
    <row r="1043" spans="1:13" hidden="1" x14ac:dyDescent="0.3">
      <c r="A1043" t="s">
        <v>2369</v>
      </c>
      <c r="B1043" t="s">
        <v>28</v>
      </c>
      <c r="C1043" t="s">
        <v>68</v>
      </c>
      <c r="D1043">
        <v>2010</v>
      </c>
      <c r="E1043" t="s">
        <v>31</v>
      </c>
      <c r="F1043" t="s">
        <v>53</v>
      </c>
      <c r="G1043" t="s">
        <v>31</v>
      </c>
      <c r="H1043" t="s">
        <v>27</v>
      </c>
      <c r="I1043" t="s">
        <v>27</v>
      </c>
      <c r="J1043" t="s">
        <v>33</v>
      </c>
      <c r="K1043">
        <v>57600</v>
      </c>
      <c r="L1043" t="s">
        <v>31</v>
      </c>
      <c r="M1043">
        <v>67.731094529177753</v>
      </c>
    </row>
    <row r="1044" spans="1:13" hidden="1" x14ac:dyDescent="0.3">
      <c r="A1044" t="s">
        <v>2370</v>
      </c>
      <c r="B1044" t="s">
        <v>28</v>
      </c>
      <c r="C1044" t="s">
        <v>30</v>
      </c>
      <c r="D1044">
        <v>2010</v>
      </c>
      <c r="E1044" t="s">
        <v>31</v>
      </c>
      <c r="F1044" t="s">
        <v>73</v>
      </c>
      <c r="G1044" t="s">
        <v>82</v>
      </c>
      <c r="H1044" t="s">
        <v>27</v>
      </c>
      <c r="I1044" t="s">
        <v>27</v>
      </c>
      <c r="J1044" t="s">
        <v>33</v>
      </c>
      <c r="K1044">
        <v>154000</v>
      </c>
      <c r="L1044" t="s">
        <v>31</v>
      </c>
      <c r="M1044">
        <v>67.731094529177753</v>
      </c>
    </row>
    <row r="1045" spans="1:13" hidden="1" x14ac:dyDescent="0.3">
      <c r="A1045" t="s">
        <v>2371</v>
      </c>
      <c r="B1045" t="s">
        <v>51</v>
      </c>
      <c r="C1045" t="s">
        <v>121</v>
      </c>
      <c r="D1045">
        <v>2010</v>
      </c>
      <c r="E1045" t="s">
        <v>31</v>
      </c>
      <c r="F1045" t="s">
        <v>49</v>
      </c>
      <c r="G1045" t="s">
        <v>31</v>
      </c>
      <c r="H1045" t="s">
        <v>27</v>
      </c>
      <c r="I1045" t="s">
        <v>27</v>
      </c>
      <c r="J1045" t="s">
        <v>27</v>
      </c>
      <c r="K1045">
        <v>3400</v>
      </c>
      <c r="L1045" t="s">
        <v>31</v>
      </c>
      <c r="M1045">
        <v>67.731094529177753</v>
      </c>
    </row>
    <row r="1046" spans="1:13" hidden="1" x14ac:dyDescent="0.3">
      <c r="A1046" t="s">
        <v>2372</v>
      </c>
      <c r="B1046" t="s">
        <v>51</v>
      </c>
      <c r="C1046" t="s">
        <v>121</v>
      </c>
      <c r="D1046">
        <v>2010</v>
      </c>
      <c r="E1046" t="s">
        <v>31</v>
      </c>
      <c r="F1046" t="s">
        <v>161</v>
      </c>
      <c r="G1046" t="s">
        <v>54</v>
      </c>
      <c r="H1046" t="s">
        <v>27</v>
      </c>
      <c r="I1046" t="s">
        <v>27</v>
      </c>
      <c r="J1046" t="s">
        <v>27</v>
      </c>
      <c r="K1046">
        <v>106</v>
      </c>
      <c r="L1046" t="s">
        <v>31</v>
      </c>
      <c r="M1046">
        <v>67.731094529177753</v>
      </c>
    </row>
    <row r="1047" spans="1:13" hidden="1" x14ac:dyDescent="0.3">
      <c r="A1047" t="s">
        <v>2373</v>
      </c>
      <c r="B1047" t="s">
        <v>28</v>
      </c>
      <c r="C1047" t="s">
        <v>30</v>
      </c>
      <c r="D1047">
        <v>2010</v>
      </c>
      <c r="E1047">
        <v>500</v>
      </c>
      <c r="F1047" t="s">
        <v>246</v>
      </c>
      <c r="G1047" t="s">
        <v>82</v>
      </c>
      <c r="H1047" t="s">
        <v>33</v>
      </c>
      <c r="I1047" t="s">
        <v>27</v>
      </c>
      <c r="J1047" t="s">
        <v>33</v>
      </c>
      <c r="K1047">
        <v>181000</v>
      </c>
      <c r="L1047">
        <v>738</v>
      </c>
      <c r="M1047">
        <v>67.731094529177753</v>
      </c>
    </row>
    <row r="1048" spans="1:13" hidden="1" x14ac:dyDescent="0.3">
      <c r="A1048" t="s">
        <v>2374</v>
      </c>
      <c r="B1048" t="s">
        <v>28</v>
      </c>
      <c r="C1048" t="s">
        <v>30</v>
      </c>
      <c r="D1048">
        <v>2010</v>
      </c>
      <c r="E1048">
        <v>48000</v>
      </c>
      <c r="F1048" t="s">
        <v>148</v>
      </c>
      <c r="G1048" t="s">
        <v>31</v>
      </c>
      <c r="H1048" t="s">
        <v>33</v>
      </c>
      <c r="I1048" t="s">
        <v>27</v>
      </c>
      <c r="J1048" t="s">
        <v>33</v>
      </c>
      <c r="K1048">
        <v>6100</v>
      </c>
      <c r="L1048">
        <v>70868</v>
      </c>
      <c r="M1048">
        <v>67.731094529177753</v>
      </c>
    </row>
    <row r="1049" spans="1:13" hidden="1" x14ac:dyDescent="0.3">
      <c r="A1049" t="s">
        <v>2375</v>
      </c>
      <c r="B1049" t="s">
        <v>51</v>
      </c>
      <c r="C1049" t="s">
        <v>121</v>
      </c>
      <c r="D1049">
        <v>2010</v>
      </c>
      <c r="E1049" t="s">
        <v>31</v>
      </c>
      <c r="F1049" t="s">
        <v>161</v>
      </c>
      <c r="G1049" t="s">
        <v>54</v>
      </c>
      <c r="H1049" t="s">
        <v>33</v>
      </c>
      <c r="I1049" t="s">
        <v>27</v>
      </c>
      <c r="J1049" t="s">
        <v>33</v>
      </c>
      <c r="K1049">
        <v>3000</v>
      </c>
      <c r="L1049" t="s">
        <v>31</v>
      </c>
      <c r="M1049">
        <v>67.731094529177753</v>
      </c>
    </row>
    <row r="1050" spans="1:13" hidden="1" x14ac:dyDescent="0.3">
      <c r="A1050" t="s">
        <v>2376</v>
      </c>
      <c r="B1050" t="s">
        <v>28</v>
      </c>
      <c r="C1050" t="s">
        <v>97</v>
      </c>
      <c r="D1050">
        <v>2010</v>
      </c>
      <c r="E1050" t="s">
        <v>31</v>
      </c>
      <c r="F1050" t="s">
        <v>34</v>
      </c>
      <c r="G1050" t="s">
        <v>31</v>
      </c>
      <c r="H1050" t="s">
        <v>27</v>
      </c>
      <c r="I1050" t="s">
        <v>27</v>
      </c>
      <c r="J1050" t="s">
        <v>27</v>
      </c>
      <c r="K1050">
        <v>13</v>
      </c>
      <c r="L1050" t="s">
        <v>31</v>
      </c>
      <c r="M1050">
        <v>67.731094529177753</v>
      </c>
    </row>
    <row r="1051" spans="1:13" hidden="1" x14ac:dyDescent="0.3">
      <c r="A1051" t="s">
        <v>2377</v>
      </c>
      <c r="B1051" t="s">
        <v>28</v>
      </c>
      <c r="C1051" t="s">
        <v>64</v>
      </c>
      <c r="D1051">
        <v>2010</v>
      </c>
      <c r="E1051" t="s">
        <v>31</v>
      </c>
      <c r="F1051" t="s">
        <v>34</v>
      </c>
      <c r="G1051" t="s">
        <v>100</v>
      </c>
      <c r="H1051" t="s">
        <v>27</v>
      </c>
      <c r="I1051" t="s">
        <v>27</v>
      </c>
      <c r="J1051" t="s">
        <v>27</v>
      </c>
      <c r="K1051" t="s">
        <v>31</v>
      </c>
      <c r="L1051" t="s">
        <v>31</v>
      </c>
      <c r="M1051">
        <v>67.731094529177753</v>
      </c>
    </row>
    <row r="1052" spans="1:13" hidden="1" x14ac:dyDescent="0.3">
      <c r="A1052" t="s">
        <v>2378</v>
      </c>
      <c r="B1052" t="s">
        <v>39</v>
      </c>
      <c r="C1052" t="s">
        <v>157</v>
      </c>
      <c r="D1052">
        <v>2010</v>
      </c>
      <c r="E1052" t="s">
        <v>31</v>
      </c>
      <c r="F1052" t="s">
        <v>148</v>
      </c>
      <c r="G1052" t="s">
        <v>31</v>
      </c>
      <c r="H1052" t="s">
        <v>27</v>
      </c>
      <c r="I1052" t="s">
        <v>27</v>
      </c>
      <c r="J1052" t="s">
        <v>27</v>
      </c>
      <c r="K1052" t="s">
        <v>31</v>
      </c>
      <c r="L1052" t="s">
        <v>31</v>
      </c>
      <c r="M1052">
        <v>67.731094529177753</v>
      </c>
    </row>
    <row r="1053" spans="1:13" hidden="1" x14ac:dyDescent="0.3">
      <c r="A1053" t="s">
        <v>2380</v>
      </c>
      <c r="B1053" t="s">
        <v>39</v>
      </c>
      <c r="C1053" t="s">
        <v>157</v>
      </c>
      <c r="D1053">
        <v>2010</v>
      </c>
      <c r="E1053">
        <v>100000</v>
      </c>
      <c r="F1053" t="s">
        <v>111</v>
      </c>
      <c r="G1053" t="s">
        <v>31</v>
      </c>
      <c r="H1053" t="s">
        <v>27</v>
      </c>
      <c r="I1053" t="s">
        <v>27</v>
      </c>
      <c r="J1053" t="s">
        <v>33</v>
      </c>
      <c r="K1053">
        <v>62500</v>
      </c>
      <c r="L1053">
        <v>147643</v>
      </c>
      <c r="M1053">
        <v>67.731094529177753</v>
      </c>
    </row>
    <row r="1054" spans="1:13" hidden="1" x14ac:dyDescent="0.3">
      <c r="A1054" t="s">
        <v>735</v>
      </c>
      <c r="B1054" t="s">
        <v>43</v>
      </c>
      <c r="C1054" t="s">
        <v>114</v>
      </c>
      <c r="D1054">
        <v>2011</v>
      </c>
      <c r="E1054" t="s">
        <v>31</v>
      </c>
      <c r="F1054" t="s">
        <v>119</v>
      </c>
      <c r="G1054" t="s">
        <v>31</v>
      </c>
      <c r="H1054" t="s">
        <v>27</v>
      </c>
      <c r="I1054" t="s">
        <v>27</v>
      </c>
      <c r="J1054" t="s">
        <v>27</v>
      </c>
      <c r="K1054">
        <v>942153</v>
      </c>
      <c r="L1054" t="s">
        <v>31</v>
      </c>
      <c r="M1054">
        <v>69.869263508865032</v>
      </c>
    </row>
    <row r="1055" spans="1:13" x14ac:dyDescent="0.3">
      <c r="D1055" s="2" t="s">
        <v>2571</v>
      </c>
      <c r="E1055" s="2">
        <f>SUM(E985,E1006)</f>
        <v>802000</v>
      </c>
    </row>
    <row r="1056" spans="1:13" x14ac:dyDescent="0.3">
      <c r="A1056" t="s">
        <v>739</v>
      </c>
      <c r="B1056" t="s">
        <v>51</v>
      </c>
      <c r="C1056" t="s">
        <v>121</v>
      </c>
      <c r="D1056">
        <v>2011</v>
      </c>
      <c r="E1056">
        <v>1000000</v>
      </c>
      <c r="F1056" t="s">
        <v>119</v>
      </c>
      <c r="G1056" t="s">
        <v>54</v>
      </c>
      <c r="H1056" t="s">
        <v>33</v>
      </c>
      <c r="I1056" t="s">
        <v>27</v>
      </c>
      <c r="J1056" t="s">
        <v>33</v>
      </c>
      <c r="K1056">
        <v>45000</v>
      </c>
      <c r="L1056">
        <v>1431245</v>
      </c>
      <c r="M1056">
        <v>69.869263508865032</v>
      </c>
    </row>
    <row r="1057" spans="1:13" hidden="1" x14ac:dyDescent="0.3">
      <c r="A1057" t="s">
        <v>740</v>
      </c>
      <c r="B1057" t="s">
        <v>28</v>
      </c>
      <c r="C1057" t="s">
        <v>67</v>
      </c>
      <c r="D1057">
        <v>2011</v>
      </c>
      <c r="E1057">
        <v>1900000</v>
      </c>
      <c r="F1057" t="s">
        <v>34</v>
      </c>
      <c r="G1057" t="s">
        <v>68</v>
      </c>
      <c r="H1057" t="s">
        <v>27</v>
      </c>
      <c r="I1057" t="s">
        <v>27</v>
      </c>
      <c r="J1057" t="s">
        <v>27</v>
      </c>
      <c r="K1057" t="s">
        <v>31</v>
      </c>
      <c r="L1057">
        <v>2719365</v>
      </c>
      <c r="M1057">
        <v>69.869263508865032</v>
      </c>
    </row>
    <row r="1058" spans="1:13" hidden="1" x14ac:dyDescent="0.3">
      <c r="A1058" t="s">
        <v>741</v>
      </c>
      <c r="B1058" t="s">
        <v>28</v>
      </c>
      <c r="C1058" t="s">
        <v>97</v>
      </c>
      <c r="D1058">
        <v>2011</v>
      </c>
      <c r="E1058">
        <v>14000000</v>
      </c>
      <c r="F1058" t="s">
        <v>34</v>
      </c>
      <c r="G1058" t="s">
        <v>31</v>
      </c>
      <c r="H1058" t="s">
        <v>27</v>
      </c>
      <c r="I1058" t="s">
        <v>27</v>
      </c>
      <c r="J1058" t="s">
        <v>27</v>
      </c>
      <c r="K1058">
        <v>1150</v>
      </c>
      <c r="L1058">
        <v>20037423</v>
      </c>
      <c r="M1058">
        <v>69.869263508865032</v>
      </c>
    </row>
    <row r="1059" spans="1:13" hidden="1" x14ac:dyDescent="0.3">
      <c r="A1059" t="s">
        <v>742</v>
      </c>
      <c r="B1059" t="s">
        <v>39</v>
      </c>
      <c r="C1059" t="s">
        <v>59</v>
      </c>
      <c r="D1059">
        <v>2011</v>
      </c>
      <c r="E1059" t="s">
        <v>31</v>
      </c>
      <c r="F1059" t="s">
        <v>60</v>
      </c>
      <c r="G1059" t="s">
        <v>31</v>
      </c>
      <c r="H1059" t="s">
        <v>27</v>
      </c>
      <c r="I1059" t="s">
        <v>27</v>
      </c>
      <c r="J1059" t="s">
        <v>27</v>
      </c>
      <c r="K1059">
        <v>400</v>
      </c>
      <c r="L1059" t="s">
        <v>31</v>
      </c>
      <c r="M1059">
        <v>69.869263508865032</v>
      </c>
    </row>
    <row r="1060" spans="1:13" hidden="1" x14ac:dyDescent="0.3">
      <c r="A1060" t="s">
        <v>743</v>
      </c>
      <c r="B1060" t="s">
        <v>51</v>
      </c>
      <c r="C1060" t="s">
        <v>121</v>
      </c>
      <c r="D1060">
        <v>2011</v>
      </c>
      <c r="E1060">
        <v>1030000</v>
      </c>
      <c r="F1060" t="s">
        <v>47</v>
      </c>
      <c r="G1060" t="s">
        <v>54</v>
      </c>
      <c r="H1060" t="s">
        <v>33</v>
      </c>
      <c r="I1060" t="s">
        <v>27</v>
      </c>
      <c r="J1060" t="s">
        <v>33</v>
      </c>
      <c r="K1060">
        <v>988599</v>
      </c>
      <c r="L1060">
        <v>1474182</v>
      </c>
      <c r="M1060">
        <v>69.869263508865032</v>
      </c>
    </row>
    <row r="1061" spans="1:13" hidden="1" x14ac:dyDescent="0.3">
      <c r="A1061" t="s">
        <v>744</v>
      </c>
      <c r="B1061" t="s">
        <v>51</v>
      </c>
      <c r="C1061" t="s">
        <v>121</v>
      </c>
      <c r="D1061">
        <v>2011</v>
      </c>
      <c r="E1061" t="s">
        <v>31</v>
      </c>
      <c r="F1061" t="s">
        <v>119</v>
      </c>
      <c r="G1061" t="s">
        <v>54</v>
      </c>
      <c r="H1061" t="s">
        <v>27</v>
      </c>
      <c r="I1061" t="s">
        <v>27</v>
      </c>
      <c r="J1061" t="s">
        <v>27</v>
      </c>
      <c r="K1061">
        <v>31600</v>
      </c>
      <c r="L1061" t="s">
        <v>31</v>
      </c>
      <c r="M1061">
        <v>69.869263508865032</v>
      </c>
    </row>
    <row r="1062" spans="1:13" hidden="1" x14ac:dyDescent="0.3">
      <c r="A1062" t="s">
        <v>745</v>
      </c>
      <c r="B1062" t="s">
        <v>28</v>
      </c>
      <c r="C1062" t="s">
        <v>97</v>
      </c>
      <c r="D1062">
        <v>2011</v>
      </c>
      <c r="E1062">
        <v>11000000</v>
      </c>
      <c r="F1062" t="s">
        <v>34</v>
      </c>
      <c r="G1062" t="s">
        <v>37</v>
      </c>
      <c r="H1062" t="s">
        <v>27</v>
      </c>
      <c r="I1062" t="s">
        <v>27</v>
      </c>
      <c r="J1062" t="s">
        <v>33</v>
      </c>
      <c r="K1062">
        <v>17200</v>
      </c>
      <c r="L1062">
        <v>15743690</v>
      </c>
      <c r="M1062">
        <v>69.869263508865032</v>
      </c>
    </row>
    <row r="1063" spans="1:13" hidden="1" x14ac:dyDescent="0.3">
      <c r="A1063" t="s">
        <v>746</v>
      </c>
      <c r="B1063" t="s">
        <v>28</v>
      </c>
      <c r="C1063" t="s">
        <v>30</v>
      </c>
      <c r="D1063">
        <v>2011</v>
      </c>
      <c r="E1063" t="s">
        <v>31</v>
      </c>
      <c r="F1063" t="s">
        <v>73</v>
      </c>
      <c r="G1063" t="s">
        <v>82</v>
      </c>
      <c r="H1063" t="s">
        <v>27</v>
      </c>
      <c r="I1063" t="s">
        <v>27</v>
      </c>
      <c r="J1063" t="s">
        <v>27</v>
      </c>
      <c r="K1063">
        <v>450</v>
      </c>
      <c r="L1063" t="s">
        <v>31</v>
      </c>
      <c r="M1063">
        <v>69.869263508865032</v>
      </c>
    </row>
    <row r="1064" spans="1:13" hidden="1" x14ac:dyDescent="0.3">
      <c r="A1064" t="s">
        <v>747</v>
      </c>
      <c r="B1064" t="s">
        <v>51</v>
      </c>
      <c r="C1064" t="s">
        <v>121</v>
      </c>
      <c r="D1064">
        <v>2011</v>
      </c>
      <c r="E1064" t="s">
        <v>31</v>
      </c>
      <c r="F1064" t="s">
        <v>90</v>
      </c>
      <c r="G1064" t="s">
        <v>31</v>
      </c>
      <c r="H1064" t="s">
        <v>27</v>
      </c>
      <c r="I1064" t="s">
        <v>27</v>
      </c>
      <c r="J1064" t="s">
        <v>27</v>
      </c>
      <c r="K1064">
        <v>6075</v>
      </c>
      <c r="L1064" t="s">
        <v>31</v>
      </c>
      <c r="M1064">
        <v>69.869263508865032</v>
      </c>
    </row>
    <row r="1065" spans="1:13" hidden="1" x14ac:dyDescent="0.3">
      <c r="A1065" t="s">
        <v>748</v>
      </c>
      <c r="B1065" t="s">
        <v>91</v>
      </c>
      <c r="C1065" t="s">
        <v>93</v>
      </c>
      <c r="D1065">
        <v>2011</v>
      </c>
      <c r="E1065" t="s">
        <v>31</v>
      </c>
      <c r="F1065" t="s">
        <v>90</v>
      </c>
      <c r="G1065" t="s">
        <v>31</v>
      </c>
      <c r="H1065" t="s">
        <v>27</v>
      </c>
      <c r="I1065" t="s">
        <v>27</v>
      </c>
      <c r="J1065" t="s">
        <v>27</v>
      </c>
      <c r="K1065">
        <v>400</v>
      </c>
      <c r="L1065" t="s">
        <v>31</v>
      </c>
      <c r="M1065">
        <v>69.869263508865032</v>
      </c>
    </row>
    <row r="1066" spans="1:13" hidden="1" x14ac:dyDescent="0.3">
      <c r="A1066" t="s">
        <v>749</v>
      </c>
      <c r="B1066" t="s">
        <v>28</v>
      </c>
      <c r="C1066" t="s">
        <v>30</v>
      </c>
      <c r="D1066">
        <v>2011</v>
      </c>
      <c r="E1066">
        <v>27700</v>
      </c>
      <c r="F1066" t="s">
        <v>73</v>
      </c>
      <c r="G1066" t="s">
        <v>82</v>
      </c>
      <c r="H1066" t="s">
        <v>27</v>
      </c>
      <c r="I1066" t="s">
        <v>27</v>
      </c>
      <c r="J1066" t="s">
        <v>27</v>
      </c>
      <c r="K1066">
        <v>50000</v>
      </c>
      <c r="L1066">
        <v>39645</v>
      </c>
      <c r="M1066">
        <v>69.869263508865032</v>
      </c>
    </row>
    <row r="1067" spans="1:13" hidden="1" x14ac:dyDescent="0.3">
      <c r="A1067" t="s">
        <v>750</v>
      </c>
      <c r="B1067" t="s">
        <v>51</v>
      </c>
      <c r="C1067" t="s">
        <v>121</v>
      </c>
      <c r="D1067">
        <v>2011</v>
      </c>
      <c r="E1067">
        <v>1290000</v>
      </c>
      <c r="F1067" t="s">
        <v>47</v>
      </c>
      <c r="G1067" t="s">
        <v>54</v>
      </c>
      <c r="H1067" t="s">
        <v>27</v>
      </c>
      <c r="I1067" t="s">
        <v>27</v>
      </c>
      <c r="J1067" t="s">
        <v>27</v>
      </c>
      <c r="K1067">
        <v>498924</v>
      </c>
      <c r="L1067">
        <v>1846305</v>
      </c>
      <c r="M1067">
        <v>69.869263508865032</v>
      </c>
    </row>
    <row r="1068" spans="1:13" hidden="1" x14ac:dyDescent="0.3">
      <c r="A1068" t="s">
        <v>751</v>
      </c>
      <c r="B1068" t="s">
        <v>51</v>
      </c>
      <c r="C1068" t="s">
        <v>121</v>
      </c>
      <c r="D1068">
        <v>2011</v>
      </c>
      <c r="E1068">
        <v>61913</v>
      </c>
      <c r="F1068" t="s">
        <v>90</v>
      </c>
      <c r="G1068" t="s">
        <v>54</v>
      </c>
      <c r="H1068" t="s">
        <v>33</v>
      </c>
      <c r="I1068" t="s">
        <v>27</v>
      </c>
      <c r="J1068" t="s">
        <v>33</v>
      </c>
      <c r="K1068">
        <v>528753</v>
      </c>
      <c r="L1068">
        <v>88613</v>
      </c>
      <c r="M1068">
        <v>69.869263508865032</v>
      </c>
    </row>
    <row r="1069" spans="1:13" hidden="1" x14ac:dyDescent="0.3">
      <c r="A1069" t="s">
        <v>752</v>
      </c>
      <c r="B1069" t="s">
        <v>51</v>
      </c>
      <c r="C1069" t="s">
        <v>121</v>
      </c>
      <c r="D1069">
        <v>2011</v>
      </c>
      <c r="E1069" t="s">
        <v>31</v>
      </c>
      <c r="F1069" t="s">
        <v>73</v>
      </c>
      <c r="G1069" t="s">
        <v>31</v>
      </c>
      <c r="H1069" t="s">
        <v>27</v>
      </c>
      <c r="I1069" t="s">
        <v>27</v>
      </c>
      <c r="J1069" t="s">
        <v>33</v>
      </c>
      <c r="K1069">
        <v>250000</v>
      </c>
      <c r="L1069" t="s">
        <v>31</v>
      </c>
      <c r="M1069">
        <v>69.869263508865032</v>
      </c>
    </row>
    <row r="1070" spans="1:13" hidden="1" x14ac:dyDescent="0.3">
      <c r="A1070" t="s">
        <v>753</v>
      </c>
      <c r="B1070" t="s">
        <v>51</v>
      </c>
      <c r="C1070" t="s">
        <v>134</v>
      </c>
      <c r="D1070">
        <v>2011</v>
      </c>
      <c r="E1070" t="s">
        <v>31</v>
      </c>
      <c r="F1070" t="s">
        <v>47</v>
      </c>
      <c r="G1070" t="s">
        <v>31</v>
      </c>
      <c r="H1070" t="s">
        <v>27</v>
      </c>
      <c r="I1070" t="s">
        <v>27</v>
      </c>
      <c r="J1070" t="s">
        <v>27</v>
      </c>
      <c r="K1070">
        <v>175</v>
      </c>
      <c r="L1070" t="s">
        <v>31</v>
      </c>
      <c r="M1070">
        <v>69.869263508865032</v>
      </c>
    </row>
    <row r="1071" spans="1:13" hidden="1" x14ac:dyDescent="0.3">
      <c r="A1071" t="s">
        <v>754</v>
      </c>
      <c r="B1071" t="s">
        <v>43</v>
      </c>
      <c r="C1071" t="s">
        <v>44</v>
      </c>
      <c r="D1071">
        <v>2011</v>
      </c>
      <c r="E1071" t="s">
        <v>31</v>
      </c>
      <c r="F1071" t="s">
        <v>75</v>
      </c>
      <c r="G1071" t="s">
        <v>31</v>
      </c>
      <c r="H1071" t="s">
        <v>27</v>
      </c>
      <c r="I1071" t="s">
        <v>27</v>
      </c>
      <c r="J1071" t="s">
        <v>27</v>
      </c>
      <c r="K1071">
        <v>220</v>
      </c>
      <c r="L1071" t="s">
        <v>31</v>
      </c>
      <c r="M1071">
        <v>69.869263508865032</v>
      </c>
    </row>
    <row r="1072" spans="1:13" hidden="1" x14ac:dyDescent="0.3">
      <c r="A1072" t="s">
        <v>755</v>
      </c>
      <c r="B1072" t="s">
        <v>51</v>
      </c>
      <c r="C1072" t="s">
        <v>121</v>
      </c>
      <c r="D1072">
        <v>2011</v>
      </c>
      <c r="E1072" t="s">
        <v>31</v>
      </c>
      <c r="F1072" t="s">
        <v>53</v>
      </c>
      <c r="G1072" t="s">
        <v>31</v>
      </c>
      <c r="H1072" t="s">
        <v>27</v>
      </c>
      <c r="I1072" t="s">
        <v>27</v>
      </c>
      <c r="J1072" t="s">
        <v>27</v>
      </c>
      <c r="K1072">
        <v>3000</v>
      </c>
      <c r="L1072" t="s">
        <v>31</v>
      </c>
      <c r="M1072">
        <v>69.869263508865032</v>
      </c>
    </row>
    <row r="1073" spans="1:13" hidden="1" x14ac:dyDescent="0.3">
      <c r="A1073" t="s">
        <v>756</v>
      </c>
      <c r="B1073" t="s">
        <v>51</v>
      </c>
      <c r="C1073" t="s">
        <v>121</v>
      </c>
      <c r="D1073">
        <v>2011</v>
      </c>
      <c r="E1073" t="s">
        <v>31</v>
      </c>
      <c r="F1073" t="s">
        <v>70</v>
      </c>
      <c r="G1073" t="s">
        <v>31</v>
      </c>
      <c r="H1073" t="s">
        <v>27</v>
      </c>
      <c r="I1073" t="s">
        <v>27</v>
      </c>
      <c r="J1073" t="s">
        <v>27</v>
      </c>
      <c r="K1073">
        <v>1668</v>
      </c>
      <c r="L1073" t="s">
        <v>31</v>
      </c>
      <c r="M1073">
        <v>69.869263508865032</v>
      </c>
    </row>
    <row r="1074" spans="1:13" hidden="1" x14ac:dyDescent="0.3">
      <c r="A1074" t="s">
        <v>757</v>
      </c>
      <c r="B1074" t="s">
        <v>51</v>
      </c>
      <c r="C1074" t="s">
        <v>121</v>
      </c>
      <c r="D1074">
        <v>2011</v>
      </c>
      <c r="E1074" t="s">
        <v>31</v>
      </c>
      <c r="F1074" t="s">
        <v>166</v>
      </c>
      <c r="G1074" t="s">
        <v>54</v>
      </c>
      <c r="H1074" t="s">
        <v>27</v>
      </c>
      <c r="I1074" t="s">
        <v>27</v>
      </c>
      <c r="J1074" t="s">
        <v>27</v>
      </c>
      <c r="K1074">
        <v>2000</v>
      </c>
      <c r="L1074" t="s">
        <v>31</v>
      </c>
      <c r="M1074">
        <v>69.869263508865032</v>
      </c>
    </row>
    <row r="1075" spans="1:13" hidden="1" x14ac:dyDescent="0.3">
      <c r="A1075" t="s">
        <v>758</v>
      </c>
      <c r="B1075" t="s">
        <v>28</v>
      </c>
      <c r="C1075" t="s">
        <v>67</v>
      </c>
      <c r="D1075">
        <v>2011</v>
      </c>
      <c r="E1075" t="s">
        <v>31</v>
      </c>
      <c r="F1075" t="s">
        <v>53</v>
      </c>
      <c r="G1075" t="s">
        <v>31</v>
      </c>
      <c r="H1075" t="s">
        <v>27</v>
      </c>
      <c r="I1075" t="s">
        <v>27</v>
      </c>
      <c r="J1075" t="s">
        <v>27</v>
      </c>
      <c r="K1075" t="s">
        <v>31</v>
      </c>
      <c r="L1075" t="s">
        <v>31</v>
      </c>
      <c r="M1075">
        <v>69.869263508865032</v>
      </c>
    </row>
    <row r="1076" spans="1:13" x14ac:dyDescent="0.3">
      <c r="A1076" t="s">
        <v>759</v>
      </c>
      <c r="B1076" t="s">
        <v>51</v>
      </c>
      <c r="C1076" t="s">
        <v>121</v>
      </c>
      <c r="D1076">
        <v>2011</v>
      </c>
      <c r="E1076">
        <v>2000</v>
      </c>
      <c r="F1076" t="s">
        <v>119</v>
      </c>
      <c r="G1076" t="s">
        <v>54</v>
      </c>
      <c r="H1076" t="s">
        <v>27</v>
      </c>
      <c r="I1076" t="s">
        <v>27</v>
      </c>
      <c r="J1076" t="s">
        <v>27</v>
      </c>
      <c r="K1076">
        <v>14000</v>
      </c>
      <c r="L1076">
        <v>2862</v>
      </c>
      <c r="M1076">
        <v>69.869263508865032</v>
      </c>
    </row>
    <row r="1077" spans="1:13" hidden="1" x14ac:dyDescent="0.3">
      <c r="A1077" t="s">
        <v>760</v>
      </c>
      <c r="B1077" t="s">
        <v>51</v>
      </c>
      <c r="C1077" t="s">
        <v>121</v>
      </c>
      <c r="D1077">
        <v>2011</v>
      </c>
      <c r="E1077" t="s">
        <v>31</v>
      </c>
      <c r="F1077" t="s">
        <v>73</v>
      </c>
      <c r="G1077" t="s">
        <v>31</v>
      </c>
      <c r="H1077" t="s">
        <v>27</v>
      </c>
      <c r="I1077" t="s">
        <v>27</v>
      </c>
      <c r="J1077" t="s">
        <v>27</v>
      </c>
      <c r="K1077">
        <v>40000</v>
      </c>
      <c r="L1077" t="s">
        <v>31</v>
      </c>
      <c r="M1077">
        <v>69.869263508865032</v>
      </c>
    </row>
    <row r="1078" spans="1:13" hidden="1" x14ac:dyDescent="0.3">
      <c r="A1078" t="s">
        <v>761</v>
      </c>
      <c r="B1078" t="s">
        <v>28</v>
      </c>
      <c r="C1078" t="s">
        <v>65</v>
      </c>
      <c r="D1078">
        <v>2011</v>
      </c>
      <c r="E1078" t="s">
        <v>31</v>
      </c>
      <c r="F1078" t="s">
        <v>117</v>
      </c>
      <c r="G1078" t="s">
        <v>31</v>
      </c>
      <c r="H1078" t="s">
        <v>27</v>
      </c>
      <c r="I1078" t="s">
        <v>27</v>
      </c>
      <c r="J1078" t="s">
        <v>27</v>
      </c>
      <c r="K1078">
        <v>2000</v>
      </c>
      <c r="L1078" t="s">
        <v>31</v>
      </c>
      <c r="M1078">
        <v>69.869263508865032</v>
      </c>
    </row>
    <row r="1079" spans="1:13" hidden="1" x14ac:dyDescent="0.3">
      <c r="A1079" t="s">
        <v>762</v>
      </c>
      <c r="B1079" t="s">
        <v>28</v>
      </c>
      <c r="C1079" t="s">
        <v>278</v>
      </c>
      <c r="D1079">
        <v>2011</v>
      </c>
      <c r="E1079" t="s">
        <v>31</v>
      </c>
      <c r="F1079" t="s">
        <v>60</v>
      </c>
      <c r="G1079" t="s">
        <v>31</v>
      </c>
      <c r="H1079" t="s">
        <v>27</v>
      </c>
      <c r="I1079" t="s">
        <v>27</v>
      </c>
      <c r="J1079" t="s">
        <v>27</v>
      </c>
      <c r="K1079">
        <v>25475</v>
      </c>
      <c r="L1079" t="s">
        <v>31</v>
      </c>
      <c r="M1079">
        <v>69.869263508865032</v>
      </c>
    </row>
    <row r="1080" spans="1:13" hidden="1" x14ac:dyDescent="0.3">
      <c r="A1080" t="s">
        <v>763</v>
      </c>
      <c r="B1080" t="s">
        <v>39</v>
      </c>
      <c r="C1080" t="s">
        <v>157</v>
      </c>
      <c r="D1080">
        <v>2011</v>
      </c>
      <c r="E1080">
        <v>8000000</v>
      </c>
      <c r="F1080" t="s">
        <v>34</v>
      </c>
      <c r="G1080" t="s">
        <v>31</v>
      </c>
      <c r="H1080" t="s">
        <v>27</v>
      </c>
      <c r="I1080" t="s">
        <v>27</v>
      </c>
      <c r="J1080" t="s">
        <v>27</v>
      </c>
      <c r="K1080" t="s">
        <v>31</v>
      </c>
      <c r="L1080">
        <v>11449956</v>
      </c>
      <c r="M1080">
        <v>69.869263508865032</v>
      </c>
    </row>
    <row r="1081" spans="1:13" hidden="1" x14ac:dyDescent="0.3">
      <c r="A1081" t="s">
        <v>1072</v>
      </c>
      <c r="B1081" t="s">
        <v>43</v>
      </c>
      <c r="C1081" t="s">
        <v>44</v>
      </c>
      <c r="D1081">
        <v>2011</v>
      </c>
      <c r="E1081" t="s">
        <v>31</v>
      </c>
      <c r="F1081" t="s">
        <v>70</v>
      </c>
      <c r="G1081" t="s">
        <v>31</v>
      </c>
      <c r="H1081" t="s">
        <v>27</v>
      </c>
      <c r="I1081" t="s">
        <v>27</v>
      </c>
      <c r="J1081" t="s">
        <v>27</v>
      </c>
      <c r="K1081">
        <v>118</v>
      </c>
      <c r="L1081" t="s">
        <v>31</v>
      </c>
      <c r="M1081">
        <v>69.869263508865032</v>
      </c>
    </row>
    <row r="1082" spans="1:13" hidden="1" x14ac:dyDescent="0.3">
      <c r="A1082" t="s">
        <v>1073</v>
      </c>
      <c r="B1082" t="s">
        <v>43</v>
      </c>
      <c r="C1082" t="s">
        <v>114</v>
      </c>
      <c r="D1082">
        <v>2011</v>
      </c>
      <c r="E1082" t="s">
        <v>31</v>
      </c>
      <c r="F1082" t="s">
        <v>117</v>
      </c>
      <c r="G1082" t="s">
        <v>31</v>
      </c>
      <c r="H1082" t="s">
        <v>27</v>
      </c>
      <c r="I1082" t="s">
        <v>27</v>
      </c>
      <c r="J1082" t="s">
        <v>27</v>
      </c>
      <c r="K1082">
        <v>13681</v>
      </c>
      <c r="L1082" t="s">
        <v>31</v>
      </c>
      <c r="M1082">
        <v>69.869263508865032</v>
      </c>
    </row>
    <row r="1083" spans="1:13" hidden="1" x14ac:dyDescent="0.3">
      <c r="A1083" t="s">
        <v>1075</v>
      </c>
      <c r="B1083" t="s">
        <v>43</v>
      </c>
      <c r="C1083" t="s">
        <v>114</v>
      </c>
      <c r="D1083">
        <v>2011</v>
      </c>
      <c r="E1083" t="s">
        <v>31</v>
      </c>
      <c r="F1083" t="s">
        <v>117</v>
      </c>
      <c r="G1083" t="s">
        <v>31</v>
      </c>
      <c r="H1083" t="s">
        <v>27</v>
      </c>
      <c r="I1083" t="s">
        <v>27</v>
      </c>
      <c r="J1083" t="s">
        <v>27</v>
      </c>
      <c r="K1083">
        <v>16264</v>
      </c>
      <c r="L1083" t="s">
        <v>31</v>
      </c>
      <c r="M1083">
        <v>69.869263508865032</v>
      </c>
    </row>
    <row r="1084" spans="1:13" hidden="1" x14ac:dyDescent="0.3">
      <c r="A1084" t="s">
        <v>1077</v>
      </c>
      <c r="B1084" t="s">
        <v>28</v>
      </c>
      <c r="C1084" t="s">
        <v>68</v>
      </c>
      <c r="D1084">
        <v>2011</v>
      </c>
      <c r="E1084">
        <v>500000</v>
      </c>
      <c r="F1084" t="s">
        <v>73</v>
      </c>
      <c r="G1084" t="s">
        <v>31</v>
      </c>
      <c r="H1084" t="s">
        <v>27</v>
      </c>
      <c r="I1084" t="s">
        <v>27</v>
      </c>
      <c r="J1084" t="s">
        <v>33</v>
      </c>
      <c r="K1084">
        <v>120000</v>
      </c>
      <c r="L1084">
        <v>715622</v>
      </c>
      <c r="M1084">
        <v>69.869263508865032</v>
      </c>
    </row>
    <row r="1085" spans="1:13" hidden="1" x14ac:dyDescent="0.3">
      <c r="A1085" t="s">
        <v>1078</v>
      </c>
      <c r="B1085" t="s">
        <v>39</v>
      </c>
      <c r="C1085" t="s">
        <v>59</v>
      </c>
      <c r="D1085">
        <v>2011</v>
      </c>
      <c r="E1085">
        <v>183000</v>
      </c>
      <c r="F1085" t="s">
        <v>34</v>
      </c>
      <c r="G1085" t="s">
        <v>31</v>
      </c>
      <c r="H1085" t="s">
        <v>27</v>
      </c>
      <c r="I1085" t="s">
        <v>27</v>
      </c>
      <c r="J1085" t="s">
        <v>27</v>
      </c>
      <c r="K1085">
        <v>1305</v>
      </c>
      <c r="L1085">
        <v>261918</v>
      </c>
      <c r="M1085">
        <v>69.869263508865032</v>
      </c>
    </row>
    <row r="1086" spans="1:13" hidden="1" x14ac:dyDescent="0.3">
      <c r="A1086" t="s">
        <v>1079</v>
      </c>
      <c r="B1086" t="s">
        <v>51</v>
      </c>
      <c r="C1086" t="s">
        <v>121</v>
      </c>
      <c r="D1086">
        <v>2011</v>
      </c>
      <c r="E1086" t="s">
        <v>31</v>
      </c>
      <c r="F1086" t="s">
        <v>34</v>
      </c>
      <c r="G1086" t="s">
        <v>31</v>
      </c>
      <c r="H1086" t="s">
        <v>27</v>
      </c>
      <c r="I1086" t="s">
        <v>27</v>
      </c>
      <c r="J1086" t="s">
        <v>27</v>
      </c>
      <c r="K1086">
        <v>25000</v>
      </c>
      <c r="L1086" t="s">
        <v>31</v>
      </c>
      <c r="M1086">
        <v>69.869263508865032</v>
      </c>
    </row>
    <row r="1087" spans="1:13" hidden="1" x14ac:dyDescent="0.3">
      <c r="A1087" t="s">
        <v>1080</v>
      </c>
      <c r="B1087" t="s">
        <v>28</v>
      </c>
      <c r="C1087" t="s">
        <v>97</v>
      </c>
      <c r="D1087">
        <v>2011</v>
      </c>
      <c r="E1087" t="s">
        <v>31</v>
      </c>
      <c r="F1087" t="s">
        <v>34</v>
      </c>
      <c r="G1087" t="s">
        <v>31</v>
      </c>
      <c r="H1087" t="s">
        <v>27</v>
      </c>
      <c r="I1087" t="s">
        <v>27</v>
      </c>
      <c r="J1087" t="s">
        <v>27</v>
      </c>
      <c r="K1087" t="s">
        <v>31</v>
      </c>
      <c r="L1087" t="s">
        <v>31</v>
      </c>
      <c r="M1087">
        <v>69.869263508865032</v>
      </c>
    </row>
    <row r="1088" spans="1:13" hidden="1" x14ac:dyDescent="0.3">
      <c r="A1088" t="s">
        <v>1081</v>
      </c>
      <c r="B1088" t="s">
        <v>51</v>
      </c>
      <c r="C1088" t="s">
        <v>134</v>
      </c>
      <c r="D1088">
        <v>2011</v>
      </c>
      <c r="E1088" t="s">
        <v>31</v>
      </c>
      <c r="F1088" t="s">
        <v>109</v>
      </c>
      <c r="G1088" t="s">
        <v>31</v>
      </c>
      <c r="H1088" t="s">
        <v>27</v>
      </c>
      <c r="I1088" t="s">
        <v>27</v>
      </c>
      <c r="J1088" t="s">
        <v>33</v>
      </c>
      <c r="K1088">
        <v>150</v>
      </c>
      <c r="L1088" t="s">
        <v>31</v>
      </c>
      <c r="M1088">
        <v>69.869263508865032</v>
      </c>
    </row>
    <row r="1089" spans="1:13" hidden="1" x14ac:dyDescent="0.3">
      <c r="A1089" t="s">
        <v>1082</v>
      </c>
      <c r="B1089" t="s">
        <v>51</v>
      </c>
      <c r="C1089" t="s">
        <v>121</v>
      </c>
      <c r="D1089">
        <v>2011</v>
      </c>
      <c r="E1089" t="s">
        <v>31</v>
      </c>
      <c r="F1089" t="s">
        <v>75</v>
      </c>
      <c r="G1089" t="s">
        <v>31</v>
      </c>
      <c r="H1089" t="s">
        <v>27</v>
      </c>
      <c r="I1089" t="s">
        <v>27</v>
      </c>
      <c r="J1089" t="s">
        <v>27</v>
      </c>
      <c r="K1089">
        <v>11200</v>
      </c>
      <c r="L1089" t="s">
        <v>31</v>
      </c>
      <c r="M1089">
        <v>69.869263508865032</v>
      </c>
    </row>
    <row r="1090" spans="1:13" hidden="1" x14ac:dyDescent="0.3">
      <c r="A1090" t="s">
        <v>1083</v>
      </c>
      <c r="B1090" t="s">
        <v>28</v>
      </c>
      <c r="C1090" t="s">
        <v>30</v>
      </c>
      <c r="D1090">
        <v>2011</v>
      </c>
      <c r="E1090" t="s">
        <v>31</v>
      </c>
      <c r="F1090" t="s">
        <v>75</v>
      </c>
      <c r="G1090" t="s">
        <v>31</v>
      </c>
      <c r="H1090" t="s">
        <v>27</v>
      </c>
      <c r="I1090" t="s">
        <v>27</v>
      </c>
      <c r="J1090" t="s">
        <v>27</v>
      </c>
      <c r="K1090">
        <v>7000</v>
      </c>
      <c r="L1090" t="s">
        <v>31</v>
      </c>
      <c r="M1090">
        <v>69.869263508865032</v>
      </c>
    </row>
    <row r="1091" spans="1:13" hidden="1" x14ac:dyDescent="0.3">
      <c r="A1091" t="s">
        <v>1084</v>
      </c>
      <c r="B1091" t="s">
        <v>28</v>
      </c>
      <c r="C1091" t="s">
        <v>30</v>
      </c>
      <c r="D1091">
        <v>2011</v>
      </c>
      <c r="E1091" t="s">
        <v>31</v>
      </c>
      <c r="F1091" t="s">
        <v>62</v>
      </c>
      <c r="G1091" t="s">
        <v>31</v>
      </c>
      <c r="H1091" t="s">
        <v>27</v>
      </c>
      <c r="I1091" t="s">
        <v>27</v>
      </c>
      <c r="J1091" t="s">
        <v>27</v>
      </c>
      <c r="K1091" t="s">
        <v>31</v>
      </c>
      <c r="L1091" t="s">
        <v>31</v>
      </c>
      <c r="M1091">
        <v>69.869263508865032</v>
      </c>
    </row>
    <row r="1092" spans="1:13" hidden="1" x14ac:dyDescent="0.3">
      <c r="A1092" t="s">
        <v>1085</v>
      </c>
      <c r="B1092" t="s">
        <v>28</v>
      </c>
      <c r="C1092" t="s">
        <v>30</v>
      </c>
      <c r="D1092">
        <v>2011</v>
      </c>
      <c r="E1092" t="s">
        <v>31</v>
      </c>
      <c r="F1092" t="s">
        <v>73</v>
      </c>
      <c r="G1092" t="s">
        <v>290</v>
      </c>
      <c r="H1092" t="s">
        <v>27</v>
      </c>
      <c r="I1092" t="s">
        <v>27</v>
      </c>
      <c r="J1092" t="s">
        <v>27</v>
      </c>
      <c r="K1092" t="s">
        <v>31</v>
      </c>
      <c r="L1092" t="s">
        <v>31</v>
      </c>
      <c r="M1092">
        <v>69.869263508865032</v>
      </c>
    </row>
    <row r="1093" spans="1:13" hidden="1" x14ac:dyDescent="0.3">
      <c r="A1093" t="s">
        <v>1086</v>
      </c>
      <c r="B1093" t="s">
        <v>51</v>
      </c>
      <c r="C1093" t="s">
        <v>121</v>
      </c>
      <c r="D1093">
        <v>2011</v>
      </c>
      <c r="E1093" t="s">
        <v>31</v>
      </c>
      <c r="F1093" t="s">
        <v>45</v>
      </c>
      <c r="G1093" t="s">
        <v>31</v>
      </c>
      <c r="H1093" t="s">
        <v>27</v>
      </c>
      <c r="I1093" t="s">
        <v>27</v>
      </c>
      <c r="J1093" t="s">
        <v>27</v>
      </c>
      <c r="K1093">
        <v>2080</v>
      </c>
      <c r="L1093" t="s">
        <v>31</v>
      </c>
      <c r="M1093">
        <v>69.869263508865032</v>
      </c>
    </row>
    <row r="1094" spans="1:13" hidden="1" x14ac:dyDescent="0.3">
      <c r="A1094" t="s">
        <v>1087</v>
      </c>
      <c r="B1094" t="s">
        <v>51</v>
      </c>
      <c r="C1094" t="s">
        <v>121</v>
      </c>
      <c r="D1094">
        <v>2011</v>
      </c>
      <c r="E1094" t="s">
        <v>31</v>
      </c>
      <c r="F1094" t="s">
        <v>166</v>
      </c>
      <c r="G1094" t="s">
        <v>54</v>
      </c>
      <c r="H1094" t="s">
        <v>27</v>
      </c>
      <c r="I1094" t="s">
        <v>27</v>
      </c>
      <c r="J1094" t="s">
        <v>27</v>
      </c>
      <c r="K1094">
        <v>2000</v>
      </c>
      <c r="L1094" t="s">
        <v>31</v>
      </c>
      <c r="M1094">
        <v>69.869263508865032</v>
      </c>
    </row>
    <row r="1095" spans="1:13" hidden="1" x14ac:dyDescent="0.3">
      <c r="A1095" t="s">
        <v>1088</v>
      </c>
      <c r="B1095" t="s">
        <v>51</v>
      </c>
      <c r="C1095" t="s">
        <v>121</v>
      </c>
      <c r="D1095">
        <v>2011</v>
      </c>
      <c r="E1095" t="s">
        <v>31</v>
      </c>
      <c r="F1095" t="s">
        <v>119</v>
      </c>
      <c r="G1095" t="s">
        <v>31</v>
      </c>
      <c r="H1095" t="s">
        <v>27</v>
      </c>
      <c r="I1095" t="s">
        <v>27</v>
      </c>
      <c r="J1095" t="s">
        <v>27</v>
      </c>
      <c r="K1095">
        <v>3000</v>
      </c>
      <c r="L1095" t="s">
        <v>31</v>
      </c>
      <c r="M1095">
        <v>69.869263508865032</v>
      </c>
    </row>
    <row r="1096" spans="1:13" hidden="1" x14ac:dyDescent="0.3">
      <c r="A1096" t="s">
        <v>1089</v>
      </c>
      <c r="B1096" t="s">
        <v>28</v>
      </c>
      <c r="C1096" t="s">
        <v>67</v>
      </c>
      <c r="D1096">
        <v>2011</v>
      </c>
      <c r="E1096">
        <v>3000000</v>
      </c>
      <c r="F1096" t="s">
        <v>34</v>
      </c>
      <c r="G1096" t="s">
        <v>31</v>
      </c>
      <c r="H1096" t="s">
        <v>27</v>
      </c>
      <c r="I1096" t="s">
        <v>27</v>
      </c>
      <c r="J1096" t="s">
        <v>33</v>
      </c>
      <c r="K1096" t="s">
        <v>31</v>
      </c>
      <c r="L1096">
        <v>4293734</v>
      </c>
      <c r="M1096">
        <v>69.869263508865032</v>
      </c>
    </row>
    <row r="1097" spans="1:13" hidden="1" x14ac:dyDescent="0.3">
      <c r="A1097" t="s">
        <v>1090</v>
      </c>
      <c r="B1097" t="s">
        <v>28</v>
      </c>
      <c r="C1097" t="s">
        <v>30</v>
      </c>
      <c r="D1097">
        <v>2011</v>
      </c>
      <c r="E1097">
        <v>750000</v>
      </c>
      <c r="F1097" t="s">
        <v>34</v>
      </c>
      <c r="G1097" t="s">
        <v>37</v>
      </c>
      <c r="H1097" t="s">
        <v>27</v>
      </c>
      <c r="I1097" t="s">
        <v>27</v>
      </c>
      <c r="J1097" t="s">
        <v>33</v>
      </c>
      <c r="K1097">
        <v>600</v>
      </c>
      <c r="L1097">
        <v>1073433</v>
      </c>
      <c r="M1097">
        <v>69.869263508865032</v>
      </c>
    </row>
    <row r="1098" spans="1:13" hidden="1" x14ac:dyDescent="0.3">
      <c r="A1098" t="s">
        <v>1091</v>
      </c>
      <c r="B1098" t="s">
        <v>28</v>
      </c>
      <c r="C1098" t="s">
        <v>67</v>
      </c>
      <c r="D1098">
        <v>2011</v>
      </c>
      <c r="E1098" t="s">
        <v>31</v>
      </c>
      <c r="F1098" t="s">
        <v>34</v>
      </c>
      <c r="G1098" t="s">
        <v>31</v>
      </c>
      <c r="H1098" t="s">
        <v>27</v>
      </c>
      <c r="I1098" t="s">
        <v>27</v>
      </c>
      <c r="J1098" t="s">
        <v>27</v>
      </c>
      <c r="K1098" t="s">
        <v>31</v>
      </c>
      <c r="L1098" t="s">
        <v>31</v>
      </c>
      <c r="M1098">
        <v>69.869263508865032</v>
      </c>
    </row>
    <row r="1099" spans="1:13" hidden="1" x14ac:dyDescent="0.3">
      <c r="A1099" t="s">
        <v>1093</v>
      </c>
      <c r="B1099" t="s">
        <v>28</v>
      </c>
      <c r="C1099" t="s">
        <v>67</v>
      </c>
      <c r="D1099">
        <v>2011</v>
      </c>
      <c r="E1099" t="s">
        <v>31</v>
      </c>
      <c r="F1099" t="s">
        <v>34</v>
      </c>
      <c r="G1099" t="s">
        <v>31</v>
      </c>
      <c r="H1099" t="s">
        <v>27</v>
      </c>
      <c r="I1099" t="s">
        <v>27</v>
      </c>
      <c r="J1099" t="s">
        <v>27</v>
      </c>
      <c r="K1099" t="s">
        <v>31</v>
      </c>
      <c r="L1099" t="s">
        <v>31</v>
      </c>
      <c r="M1099">
        <v>69.869263508865032</v>
      </c>
    </row>
    <row r="1100" spans="1:13" hidden="1" x14ac:dyDescent="0.3">
      <c r="A1100" t="s">
        <v>1094</v>
      </c>
      <c r="B1100" t="s">
        <v>39</v>
      </c>
      <c r="C1100" t="s">
        <v>41</v>
      </c>
      <c r="D1100">
        <v>2011</v>
      </c>
      <c r="E1100">
        <v>200000</v>
      </c>
      <c r="F1100" t="s">
        <v>34</v>
      </c>
      <c r="G1100" t="s">
        <v>31</v>
      </c>
      <c r="H1100" t="s">
        <v>27</v>
      </c>
      <c r="I1100" t="s">
        <v>27</v>
      </c>
      <c r="J1100" t="s">
        <v>27</v>
      </c>
      <c r="K1100" t="s">
        <v>31</v>
      </c>
      <c r="L1100">
        <v>286249</v>
      </c>
      <c r="M1100">
        <v>69.869263508865032</v>
      </c>
    </row>
    <row r="1101" spans="1:13" hidden="1" x14ac:dyDescent="0.3">
      <c r="A1101" t="s">
        <v>1095</v>
      </c>
      <c r="B1101" t="s">
        <v>51</v>
      </c>
      <c r="C1101" t="s">
        <v>121</v>
      </c>
      <c r="D1101">
        <v>2011</v>
      </c>
      <c r="E1101">
        <v>2000000</v>
      </c>
      <c r="F1101" t="s">
        <v>34</v>
      </c>
      <c r="G1101" t="s">
        <v>31</v>
      </c>
      <c r="H1101" t="s">
        <v>27</v>
      </c>
      <c r="I1101" t="s">
        <v>27</v>
      </c>
      <c r="J1101" t="s">
        <v>27</v>
      </c>
      <c r="K1101">
        <v>11000</v>
      </c>
      <c r="L1101">
        <v>2862489</v>
      </c>
      <c r="M1101">
        <v>69.869263508865032</v>
      </c>
    </row>
    <row r="1102" spans="1:13" hidden="1" x14ac:dyDescent="0.3">
      <c r="A1102" t="s">
        <v>1096</v>
      </c>
      <c r="B1102" t="s">
        <v>51</v>
      </c>
      <c r="C1102" t="s">
        <v>121</v>
      </c>
      <c r="D1102">
        <v>2011</v>
      </c>
      <c r="E1102" t="s">
        <v>31</v>
      </c>
      <c r="F1102" t="s">
        <v>53</v>
      </c>
      <c r="G1102" t="s">
        <v>54</v>
      </c>
      <c r="H1102" t="s">
        <v>27</v>
      </c>
      <c r="I1102" t="s">
        <v>27</v>
      </c>
      <c r="J1102" t="s">
        <v>33</v>
      </c>
      <c r="K1102">
        <v>809945</v>
      </c>
      <c r="L1102" t="s">
        <v>31</v>
      </c>
      <c r="M1102">
        <v>69.869263508865032</v>
      </c>
    </row>
    <row r="1103" spans="1:13" hidden="1" x14ac:dyDescent="0.3">
      <c r="A1103" t="s">
        <v>1097</v>
      </c>
      <c r="B1103" t="s">
        <v>39</v>
      </c>
      <c r="C1103" t="s">
        <v>157</v>
      </c>
      <c r="D1103">
        <v>2011</v>
      </c>
      <c r="E1103" t="s">
        <v>31</v>
      </c>
      <c r="F1103" t="s">
        <v>73</v>
      </c>
      <c r="G1103" t="s">
        <v>31</v>
      </c>
      <c r="H1103" t="s">
        <v>27</v>
      </c>
      <c r="I1103" t="s">
        <v>27</v>
      </c>
      <c r="J1103" t="s">
        <v>27</v>
      </c>
      <c r="K1103">
        <v>2500000</v>
      </c>
      <c r="L1103" t="s">
        <v>31</v>
      </c>
      <c r="M1103">
        <v>69.869263508865032</v>
      </c>
    </row>
    <row r="1104" spans="1:13" hidden="1" x14ac:dyDescent="0.3">
      <c r="A1104" t="s">
        <v>1657</v>
      </c>
      <c r="B1104" t="s">
        <v>28</v>
      </c>
      <c r="C1104" t="s">
        <v>30</v>
      </c>
      <c r="D1104">
        <v>2011</v>
      </c>
      <c r="E1104" t="s">
        <v>31</v>
      </c>
      <c r="F1104" t="s">
        <v>90</v>
      </c>
      <c r="G1104" t="s">
        <v>31</v>
      </c>
      <c r="H1104" t="s">
        <v>27</v>
      </c>
      <c r="I1104" t="s">
        <v>27</v>
      </c>
      <c r="J1104" t="s">
        <v>27</v>
      </c>
      <c r="K1104" t="s">
        <v>31</v>
      </c>
      <c r="L1104" t="s">
        <v>31</v>
      </c>
      <c r="M1104">
        <v>69.869263508865032</v>
      </c>
    </row>
    <row r="1105" spans="1:13" hidden="1" x14ac:dyDescent="0.3">
      <c r="A1105" t="s">
        <v>1667</v>
      </c>
      <c r="B1105" t="s">
        <v>51</v>
      </c>
      <c r="C1105" t="s">
        <v>121</v>
      </c>
      <c r="D1105">
        <v>2011</v>
      </c>
      <c r="E1105">
        <v>20000</v>
      </c>
      <c r="F1105" t="s">
        <v>111</v>
      </c>
      <c r="G1105" t="s">
        <v>54</v>
      </c>
      <c r="H1105" t="s">
        <v>33</v>
      </c>
      <c r="I1105" t="s">
        <v>27</v>
      </c>
      <c r="J1105" t="s">
        <v>33</v>
      </c>
      <c r="K1105">
        <v>88825</v>
      </c>
      <c r="L1105">
        <v>28625</v>
      </c>
      <c r="M1105">
        <v>69.869263508865032</v>
      </c>
    </row>
    <row r="1106" spans="1:13" hidden="1" x14ac:dyDescent="0.3">
      <c r="A1106" t="s">
        <v>1668</v>
      </c>
      <c r="B1106" t="s">
        <v>51</v>
      </c>
      <c r="C1106" t="s">
        <v>121</v>
      </c>
      <c r="D1106">
        <v>2011</v>
      </c>
      <c r="E1106" t="s">
        <v>31</v>
      </c>
      <c r="F1106" t="s">
        <v>119</v>
      </c>
      <c r="G1106" t="s">
        <v>54</v>
      </c>
      <c r="H1106" t="s">
        <v>27</v>
      </c>
      <c r="I1106" t="s">
        <v>27</v>
      </c>
      <c r="J1106" t="s">
        <v>27</v>
      </c>
      <c r="K1106">
        <v>31000</v>
      </c>
      <c r="L1106" t="s">
        <v>31</v>
      </c>
      <c r="M1106">
        <v>69.869263508865032</v>
      </c>
    </row>
    <row r="1107" spans="1:13" hidden="1" x14ac:dyDescent="0.3">
      <c r="A1107" t="s">
        <v>1669</v>
      </c>
      <c r="B1107" t="s">
        <v>51</v>
      </c>
      <c r="C1107" t="s">
        <v>121</v>
      </c>
      <c r="D1107">
        <v>2011</v>
      </c>
      <c r="E1107" t="s">
        <v>31</v>
      </c>
      <c r="F1107" t="s">
        <v>109</v>
      </c>
      <c r="G1107" t="s">
        <v>54</v>
      </c>
      <c r="H1107" t="s">
        <v>27</v>
      </c>
      <c r="I1107" t="s">
        <v>27</v>
      </c>
      <c r="J1107" t="s">
        <v>27</v>
      </c>
      <c r="K1107">
        <v>3600</v>
      </c>
      <c r="L1107" t="s">
        <v>31</v>
      </c>
      <c r="M1107">
        <v>69.869263508865032</v>
      </c>
    </row>
    <row r="1108" spans="1:13" hidden="1" x14ac:dyDescent="0.3">
      <c r="A1108" t="s">
        <v>1670</v>
      </c>
      <c r="B1108" t="s">
        <v>51</v>
      </c>
      <c r="C1108" t="s">
        <v>134</v>
      </c>
      <c r="D1108">
        <v>2011</v>
      </c>
      <c r="E1108" t="s">
        <v>31</v>
      </c>
      <c r="F1108" t="s">
        <v>111</v>
      </c>
      <c r="G1108" t="s">
        <v>31</v>
      </c>
      <c r="H1108" t="s">
        <v>27</v>
      </c>
      <c r="I1108" t="s">
        <v>27</v>
      </c>
      <c r="J1108" t="s">
        <v>27</v>
      </c>
      <c r="K1108">
        <v>4000</v>
      </c>
      <c r="L1108" t="s">
        <v>31</v>
      </c>
      <c r="M1108">
        <v>69.869263508865032</v>
      </c>
    </row>
    <row r="1109" spans="1:13" hidden="1" x14ac:dyDescent="0.3">
      <c r="A1109" t="s">
        <v>1671</v>
      </c>
      <c r="B1109" t="s">
        <v>51</v>
      </c>
      <c r="C1109" t="s">
        <v>121</v>
      </c>
      <c r="D1109">
        <v>2011</v>
      </c>
      <c r="E1109">
        <v>800000</v>
      </c>
      <c r="F1109" t="s">
        <v>77</v>
      </c>
      <c r="G1109" t="s">
        <v>31</v>
      </c>
      <c r="H1109" t="s">
        <v>27</v>
      </c>
      <c r="I1109" t="s">
        <v>27</v>
      </c>
      <c r="J1109" t="s">
        <v>33</v>
      </c>
      <c r="K1109">
        <v>2000</v>
      </c>
      <c r="L1109">
        <v>1144996</v>
      </c>
      <c r="M1109">
        <v>69.869263508865032</v>
      </c>
    </row>
    <row r="1110" spans="1:13" hidden="1" x14ac:dyDescent="0.3">
      <c r="A1110" t="s">
        <v>1672</v>
      </c>
      <c r="B1110" t="s">
        <v>28</v>
      </c>
      <c r="C1110" t="s">
        <v>30</v>
      </c>
      <c r="D1110">
        <v>2011</v>
      </c>
      <c r="E1110">
        <v>70000</v>
      </c>
      <c r="F1110" t="s">
        <v>73</v>
      </c>
      <c r="G1110" t="s">
        <v>82</v>
      </c>
      <c r="H1110" t="s">
        <v>27</v>
      </c>
      <c r="I1110" t="s">
        <v>27</v>
      </c>
      <c r="J1110" t="s">
        <v>27</v>
      </c>
      <c r="K1110">
        <v>300000</v>
      </c>
      <c r="L1110">
        <v>100187</v>
      </c>
      <c r="M1110">
        <v>69.869263508865032</v>
      </c>
    </row>
    <row r="1111" spans="1:13" hidden="1" x14ac:dyDescent="0.3">
      <c r="A1111" t="s">
        <v>1673</v>
      </c>
      <c r="B1111" t="s">
        <v>51</v>
      </c>
      <c r="C1111" t="s">
        <v>121</v>
      </c>
      <c r="D1111">
        <v>2011</v>
      </c>
      <c r="E1111">
        <v>31100</v>
      </c>
      <c r="F1111" t="s">
        <v>148</v>
      </c>
      <c r="G1111" t="s">
        <v>54</v>
      </c>
      <c r="H1111" t="s">
        <v>27</v>
      </c>
      <c r="I1111" t="s">
        <v>27</v>
      </c>
      <c r="J1111" t="s">
        <v>27</v>
      </c>
      <c r="K1111">
        <v>275</v>
      </c>
      <c r="L1111">
        <v>44512</v>
      </c>
      <c r="M1111">
        <v>69.869263508865032</v>
      </c>
    </row>
    <row r="1112" spans="1:13" hidden="1" x14ac:dyDescent="0.3">
      <c r="A1112" t="s">
        <v>1674</v>
      </c>
      <c r="B1112" t="s">
        <v>51</v>
      </c>
      <c r="C1112" t="s">
        <v>121</v>
      </c>
      <c r="D1112">
        <v>2011</v>
      </c>
      <c r="E1112" t="s">
        <v>31</v>
      </c>
      <c r="F1112" t="s">
        <v>119</v>
      </c>
      <c r="G1112" t="s">
        <v>54</v>
      </c>
      <c r="H1112" t="s">
        <v>27</v>
      </c>
      <c r="I1112" t="s">
        <v>27</v>
      </c>
      <c r="J1112" t="s">
        <v>33</v>
      </c>
      <c r="K1112">
        <v>13000</v>
      </c>
      <c r="L1112" t="s">
        <v>31</v>
      </c>
      <c r="M1112">
        <v>69.869263508865032</v>
      </c>
    </row>
    <row r="1113" spans="1:13" hidden="1" x14ac:dyDescent="0.3">
      <c r="A1113" t="s">
        <v>1675</v>
      </c>
      <c r="B1113" t="s">
        <v>28</v>
      </c>
      <c r="C1113" t="s">
        <v>97</v>
      </c>
      <c r="D1113">
        <v>2011</v>
      </c>
      <c r="E1113" t="s">
        <v>31</v>
      </c>
      <c r="F1113" t="s">
        <v>34</v>
      </c>
      <c r="G1113" t="s">
        <v>100</v>
      </c>
      <c r="H1113" t="s">
        <v>27</v>
      </c>
      <c r="I1113" t="s">
        <v>27</v>
      </c>
      <c r="J1113" t="s">
        <v>33</v>
      </c>
      <c r="K1113">
        <v>200</v>
      </c>
      <c r="L1113" t="s">
        <v>31</v>
      </c>
      <c r="M1113">
        <v>69.869263508865032</v>
      </c>
    </row>
    <row r="1114" spans="1:13" hidden="1" x14ac:dyDescent="0.3">
      <c r="A1114" t="s">
        <v>1676</v>
      </c>
      <c r="B1114" t="s">
        <v>28</v>
      </c>
      <c r="C1114" t="s">
        <v>68</v>
      </c>
      <c r="D1114">
        <v>2011</v>
      </c>
      <c r="E1114" t="s">
        <v>31</v>
      </c>
      <c r="F1114" t="s">
        <v>53</v>
      </c>
      <c r="G1114" t="s">
        <v>31</v>
      </c>
      <c r="H1114" t="s">
        <v>27</v>
      </c>
      <c r="I1114" t="s">
        <v>27</v>
      </c>
      <c r="J1114" t="s">
        <v>27</v>
      </c>
      <c r="K1114">
        <v>13440</v>
      </c>
      <c r="L1114" t="s">
        <v>31</v>
      </c>
      <c r="M1114">
        <v>69.869263508865032</v>
      </c>
    </row>
    <row r="1115" spans="1:13" hidden="1" x14ac:dyDescent="0.3">
      <c r="A1115" t="s">
        <v>1677</v>
      </c>
      <c r="B1115" t="s">
        <v>51</v>
      </c>
      <c r="C1115" t="s">
        <v>121</v>
      </c>
      <c r="D1115">
        <v>2011</v>
      </c>
      <c r="E1115" t="s">
        <v>31</v>
      </c>
      <c r="F1115" t="s">
        <v>119</v>
      </c>
      <c r="G1115" t="s">
        <v>54</v>
      </c>
      <c r="H1115" t="s">
        <v>27</v>
      </c>
      <c r="I1115" t="s">
        <v>27</v>
      </c>
      <c r="J1115" t="s">
        <v>33</v>
      </c>
      <c r="K1115">
        <v>78000</v>
      </c>
      <c r="L1115" t="s">
        <v>31</v>
      </c>
      <c r="M1115">
        <v>69.869263508865032</v>
      </c>
    </row>
    <row r="1116" spans="1:13" hidden="1" x14ac:dyDescent="0.3">
      <c r="A1116" t="s">
        <v>1678</v>
      </c>
      <c r="B1116" t="s">
        <v>28</v>
      </c>
      <c r="C1116" t="s">
        <v>30</v>
      </c>
      <c r="D1116">
        <v>2011</v>
      </c>
      <c r="E1116">
        <v>40000</v>
      </c>
      <c r="F1116" t="s">
        <v>102</v>
      </c>
      <c r="G1116" t="s">
        <v>31</v>
      </c>
      <c r="H1116" t="s">
        <v>33</v>
      </c>
      <c r="I1116" t="s">
        <v>27</v>
      </c>
      <c r="J1116" t="s">
        <v>27</v>
      </c>
      <c r="K1116">
        <v>10000</v>
      </c>
      <c r="L1116">
        <v>57250</v>
      </c>
      <c r="M1116">
        <v>69.869263508865032</v>
      </c>
    </row>
    <row r="1117" spans="1:13" hidden="1" x14ac:dyDescent="0.3">
      <c r="A1117" t="s">
        <v>1679</v>
      </c>
      <c r="B1117" t="s">
        <v>28</v>
      </c>
      <c r="C1117" t="s">
        <v>30</v>
      </c>
      <c r="D1117">
        <v>2011</v>
      </c>
      <c r="E1117" t="s">
        <v>31</v>
      </c>
      <c r="F1117" t="s">
        <v>77</v>
      </c>
      <c r="G1117" t="s">
        <v>37</v>
      </c>
      <c r="H1117" t="s">
        <v>27</v>
      </c>
      <c r="I1117" t="s">
        <v>27</v>
      </c>
      <c r="J1117" t="s">
        <v>27</v>
      </c>
      <c r="K1117" t="s">
        <v>31</v>
      </c>
      <c r="L1117" t="s">
        <v>31</v>
      </c>
      <c r="M1117">
        <v>69.869263508865032</v>
      </c>
    </row>
    <row r="1118" spans="1:13" hidden="1" x14ac:dyDescent="0.3">
      <c r="A1118" t="s">
        <v>1680</v>
      </c>
      <c r="B1118" t="s">
        <v>28</v>
      </c>
      <c r="C1118" t="s">
        <v>30</v>
      </c>
      <c r="D1118">
        <v>2011</v>
      </c>
      <c r="E1118">
        <v>30000</v>
      </c>
      <c r="F1118" t="s">
        <v>75</v>
      </c>
      <c r="G1118" t="s">
        <v>37</v>
      </c>
      <c r="H1118" t="s">
        <v>27</v>
      </c>
      <c r="I1118" t="s">
        <v>27</v>
      </c>
      <c r="J1118" t="s">
        <v>27</v>
      </c>
      <c r="K1118">
        <v>37000</v>
      </c>
      <c r="L1118">
        <v>42937</v>
      </c>
      <c r="M1118">
        <v>69.869263508865032</v>
      </c>
    </row>
    <row r="1119" spans="1:13" hidden="1" x14ac:dyDescent="0.3">
      <c r="A1119" t="s">
        <v>1681</v>
      </c>
      <c r="B1119" t="s">
        <v>28</v>
      </c>
      <c r="C1119" t="s">
        <v>30</v>
      </c>
      <c r="D1119">
        <v>2011</v>
      </c>
      <c r="E1119" t="s">
        <v>31</v>
      </c>
      <c r="F1119" t="s">
        <v>45</v>
      </c>
      <c r="G1119" t="s">
        <v>54</v>
      </c>
      <c r="H1119" t="s">
        <v>27</v>
      </c>
      <c r="I1119" t="s">
        <v>27</v>
      </c>
      <c r="J1119" t="s">
        <v>27</v>
      </c>
      <c r="K1119">
        <v>1544</v>
      </c>
      <c r="L1119" t="s">
        <v>31</v>
      </c>
      <c r="M1119">
        <v>69.869263508865032</v>
      </c>
    </row>
    <row r="1120" spans="1:13" hidden="1" x14ac:dyDescent="0.3">
      <c r="A1120" t="s">
        <v>1682</v>
      </c>
      <c r="B1120" t="s">
        <v>28</v>
      </c>
      <c r="C1120" t="s">
        <v>30</v>
      </c>
      <c r="D1120">
        <v>2011</v>
      </c>
      <c r="E1120">
        <v>500000</v>
      </c>
      <c r="F1120" t="s">
        <v>62</v>
      </c>
      <c r="G1120" t="s">
        <v>37</v>
      </c>
      <c r="H1120" t="s">
        <v>27</v>
      </c>
      <c r="I1120" t="s">
        <v>27</v>
      </c>
      <c r="J1120" t="s">
        <v>33</v>
      </c>
      <c r="K1120">
        <v>2271</v>
      </c>
      <c r="L1120">
        <v>715622</v>
      </c>
      <c r="M1120">
        <v>69.869263508865032</v>
      </c>
    </row>
    <row r="1121" spans="1:13" hidden="1" x14ac:dyDescent="0.3">
      <c r="A1121" t="s">
        <v>1683</v>
      </c>
      <c r="B1121" t="s">
        <v>39</v>
      </c>
      <c r="C1121" t="s">
        <v>41</v>
      </c>
      <c r="D1121">
        <v>2011</v>
      </c>
      <c r="E1121">
        <v>1000000</v>
      </c>
      <c r="F1121" t="s">
        <v>34</v>
      </c>
      <c r="G1121" t="s">
        <v>31</v>
      </c>
      <c r="H1121" t="s">
        <v>27</v>
      </c>
      <c r="I1121" t="s">
        <v>27</v>
      </c>
      <c r="J1121" t="s">
        <v>27</v>
      </c>
      <c r="K1121">
        <v>4800</v>
      </c>
      <c r="L1121">
        <v>1431245</v>
      </c>
      <c r="M1121">
        <v>69.869263508865032</v>
      </c>
    </row>
    <row r="1122" spans="1:13" hidden="1" x14ac:dyDescent="0.3">
      <c r="A1122" t="s">
        <v>1684</v>
      </c>
      <c r="B1122" t="s">
        <v>51</v>
      </c>
      <c r="C1122" t="s">
        <v>134</v>
      </c>
      <c r="D1122">
        <v>2011</v>
      </c>
      <c r="E1122" t="s">
        <v>31</v>
      </c>
      <c r="F1122" t="s">
        <v>90</v>
      </c>
      <c r="G1122" t="s">
        <v>31</v>
      </c>
      <c r="H1122" t="s">
        <v>27</v>
      </c>
      <c r="I1122" t="s">
        <v>27</v>
      </c>
      <c r="J1122" t="s">
        <v>27</v>
      </c>
      <c r="K1122" t="s">
        <v>31</v>
      </c>
      <c r="L1122" t="s">
        <v>31</v>
      </c>
      <c r="M1122">
        <v>69.869263508865032</v>
      </c>
    </row>
    <row r="1123" spans="1:13" hidden="1" x14ac:dyDescent="0.3">
      <c r="A1123" t="s">
        <v>1685</v>
      </c>
      <c r="B1123" t="s">
        <v>51</v>
      </c>
      <c r="C1123" t="s">
        <v>121</v>
      </c>
      <c r="D1123">
        <v>2011</v>
      </c>
      <c r="E1123" t="s">
        <v>31</v>
      </c>
      <c r="F1123" t="s">
        <v>49</v>
      </c>
      <c r="G1123" t="s">
        <v>54</v>
      </c>
      <c r="H1123" t="s">
        <v>33</v>
      </c>
      <c r="I1123" t="s">
        <v>27</v>
      </c>
      <c r="J1123" t="s">
        <v>33</v>
      </c>
      <c r="K1123">
        <v>69798</v>
      </c>
      <c r="L1123" t="s">
        <v>31</v>
      </c>
      <c r="M1123">
        <v>69.869263508865032</v>
      </c>
    </row>
    <row r="1124" spans="1:13" hidden="1" x14ac:dyDescent="0.3">
      <c r="A1124" t="s">
        <v>1686</v>
      </c>
      <c r="B1124" t="s">
        <v>51</v>
      </c>
      <c r="C1124" t="s">
        <v>121</v>
      </c>
      <c r="D1124">
        <v>2011</v>
      </c>
      <c r="E1124" t="s">
        <v>31</v>
      </c>
      <c r="F1124" t="s">
        <v>81</v>
      </c>
      <c r="G1124" t="s">
        <v>54</v>
      </c>
      <c r="H1124" t="s">
        <v>27</v>
      </c>
      <c r="I1124" t="s">
        <v>27</v>
      </c>
      <c r="J1124" t="s">
        <v>33</v>
      </c>
      <c r="K1124">
        <v>143018</v>
      </c>
      <c r="L1124" t="s">
        <v>31</v>
      </c>
      <c r="M1124">
        <v>69.869263508865032</v>
      </c>
    </row>
    <row r="1125" spans="1:13" hidden="1" x14ac:dyDescent="0.3">
      <c r="A1125" t="s">
        <v>1687</v>
      </c>
      <c r="B1125" t="s">
        <v>51</v>
      </c>
      <c r="C1125" t="s">
        <v>121</v>
      </c>
      <c r="D1125">
        <v>2011</v>
      </c>
      <c r="E1125">
        <v>1000000</v>
      </c>
      <c r="F1125" t="s">
        <v>115</v>
      </c>
      <c r="G1125" t="s">
        <v>54</v>
      </c>
      <c r="H1125" t="s">
        <v>33</v>
      </c>
      <c r="I1125" t="s">
        <v>27</v>
      </c>
      <c r="J1125" t="s">
        <v>33</v>
      </c>
      <c r="K1125">
        <v>300000</v>
      </c>
      <c r="L1125">
        <v>1431245</v>
      </c>
      <c r="M1125">
        <v>69.869263508865032</v>
      </c>
    </row>
    <row r="1126" spans="1:13" hidden="1" x14ac:dyDescent="0.3">
      <c r="A1126" t="s">
        <v>1688</v>
      </c>
      <c r="B1126" t="s">
        <v>51</v>
      </c>
      <c r="C1126" t="s">
        <v>121</v>
      </c>
      <c r="D1126">
        <v>2011</v>
      </c>
      <c r="E1126" t="s">
        <v>31</v>
      </c>
      <c r="F1126" t="s">
        <v>34</v>
      </c>
      <c r="G1126" t="s">
        <v>31</v>
      </c>
      <c r="H1126" t="s">
        <v>27</v>
      </c>
      <c r="I1126" t="s">
        <v>27</v>
      </c>
      <c r="J1126" t="s">
        <v>27</v>
      </c>
      <c r="K1126">
        <v>100</v>
      </c>
      <c r="L1126" t="s">
        <v>31</v>
      </c>
      <c r="M1126">
        <v>69.869263508865032</v>
      </c>
    </row>
    <row r="1127" spans="1:13" hidden="1" x14ac:dyDescent="0.3">
      <c r="A1127" t="s">
        <v>1689</v>
      </c>
      <c r="B1127" t="s">
        <v>91</v>
      </c>
      <c r="C1127" t="s">
        <v>93</v>
      </c>
      <c r="D1127">
        <v>2011</v>
      </c>
      <c r="E1127" t="s">
        <v>31</v>
      </c>
      <c r="F1127" t="s">
        <v>53</v>
      </c>
      <c r="G1127" t="s">
        <v>31</v>
      </c>
      <c r="H1127" t="s">
        <v>27</v>
      </c>
      <c r="I1127" t="s">
        <v>27</v>
      </c>
      <c r="J1127" t="s">
        <v>27</v>
      </c>
      <c r="K1127">
        <v>2681</v>
      </c>
      <c r="L1127" t="s">
        <v>31</v>
      </c>
      <c r="M1127">
        <v>69.869263508865032</v>
      </c>
    </row>
    <row r="1128" spans="1:13" hidden="1" x14ac:dyDescent="0.3">
      <c r="A1128" t="s">
        <v>1690</v>
      </c>
      <c r="B1128" t="s">
        <v>91</v>
      </c>
      <c r="C1128" t="s">
        <v>93</v>
      </c>
      <c r="D1128">
        <v>2011</v>
      </c>
      <c r="E1128" t="s">
        <v>31</v>
      </c>
      <c r="F1128" t="s">
        <v>73</v>
      </c>
      <c r="G1128" t="s">
        <v>31</v>
      </c>
      <c r="H1128" t="s">
        <v>27</v>
      </c>
      <c r="I1128" t="s">
        <v>27</v>
      </c>
      <c r="J1128" t="s">
        <v>27</v>
      </c>
      <c r="K1128">
        <v>152</v>
      </c>
      <c r="L1128" t="s">
        <v>31</v>
      </c>
      <c r="M1128">
        <v>69.869263508865032</v>
      </c>
    </row>
    <row r="1129" spans="1:13" hidden="1" x14ac:dyDescent="0.3">
      <c r="A1129" t="s">
        <v>1691</v>
      </c>
      <c r="B1129" t="s">
        <v>28</v>
      </c>
      <c r="C1129" t="s">
        <v>68</v>
      </c>
      <c r="D1129">
        <v>2011</v>
      </c>
      <c r="E1129" t="s">
        <v>31</v>
      </c>
      <c r="F1129" t="s">
        <v>90</v>
      </c>
      <c r="G1129" t="s">
        <v>31</v>
      </c>
      <c r="H1129" t="s">
        <v>27</v>
      </c>
      <c r="I1129" t="s">
        <v>27</v>
      </c>
      <c r="J1129" t="s">
        <v>27</v>
      </c>
      <c r="K1129">
        <v>2643</v>
      </c>
      <c r="L1129" t="s">
        <v>31</v>
      </c>
      <c r="M1129">
        <v>69.869263508865032</v>
      </c>
    </row>
    <row r="1130" spans="1:13" hidden="1" x14ac:dyDescent="0.3">
      <c r="A1130" t="s">
        <v>1692</v>
      </c>
      <c r="B1130" t="s">
        <v>39</v>
      </c>
      <c r="C1130" t="s">
        <v>41</v>
      </c>
      <c r="D1130">
        <v>2011</v>
      </c>
      <c r="E1130">
        <v>200000</v>
      </c>
      <c r="F1130" t="s">
        <v>60</v>
      </c>
      <c r="G1130" t="s">
        <v>31</v>
      </c>
      <c r="H1130" t="s">
        <v>27</v>
      </c>
      <c r="I1130" t="s">
        <v>27</v>
      </c>
      <c r="J1130" t="s">
        <v>33</v>
      </c>
      <c r="K1130">
        <v>1082</v>
      </c>
      <c r="L1130">
        <v>286249</v>
      </c>
      <c r="M1130">
        <v>69.869263508865032</v>
      </c>
    </row>
    <row r="1131" spans="1:13" hidden="1" x14ac:dyDescent="0.3">
      <c r="A1131" t="s">
        <v>1693</v>
      </c>
      <c r="B1131" t="s">
        <v>51</v>
      </c>
      <c r="C1131" t="s">
        <v>121</v>
      </c>
      <c r="D1131">
        <v>2011</v>
      </c>
      <c r="E1131" t="s">
        <v>31</v>
      </c>
      <c r="F1131" t="s">
        <v>90</v>
      </c>
      <c r="G1131" t="s">
        <v>31</v>
      </c>
      <c r="H1131" t="s">
        <v>27</v>
      </c>
      <c r="I1131" t="s">
        <v>27</v>
      </c>
      <c r="J1131" t="s">
        <v>27</v>
      </c>
      <c r="K1131" t="s">
        <v>31</v>
      </c>
      <c r="L1131" t="s">
        <v>31</v>
      </c>
      <c r="M1131">
        <v>69.869263508865032</v>
      </c>
    </row>
    <row r="1132" spans="1:13" hidden="1" x14ac:dyDescent="0.3">
      <c r="A1132" t="s">
        <v>1694</v>
      </c>
      <c r="B1132" t="s">
        <v>51</v>
      </c>
      <c r="C1132" t="s">
        <v>121</v>
      </c>
      <c r="D1132">
        <v>2011</v>
      </c>
      <c r="E1132" t="s">
        <v>31</v>
      </c>
      <c r="F1132" t="s">
        <v>73</v>
      </c>
      <c r="G1132" t="s">
        <v>31</v>
      </c>
      <c r="H1132" t="s">
        <v>27</v>
      </c>
      <c r="I1132" t="s">
        <v>27</v>
      </c>
      <c r="J1132" t="s">
        <v>27</v>
      </c>
      <c r="K1132">
        <v>190000</v>
      </c>
      <c r="L1132" t="s">
        <v>31</v>
      </c>
      <c r="M1132">
        <v>69.869263508865032</v>
      </c>
    </row>
    <row r="1133" spans="1:13" hidden="1" x14ac:dyDescent="0.3">
      <c r="A1133" t="s">
        <v>1695</v>
      </c>
      <c r="B1133" t="s">
        <v>39</v>
      </c>
      <c r="C1133" t="s">
        <v>41</v>
      </c>
      <c r="D1133">
        <v>2011</v>
      </c>
      <c r="E1133">
        <v>1500000</v>
      </c>
      <c r="F1133" t="s">
        <v>77</v>
      </c>
      <c r="G1133" t="s">
        <v>31</v>
      </c>
      <c r="H1133" t="s">
        <v>27</v>
      </c>
      <c r="I1133" t="s">
        <v>27</v>
      </c>
      <c r="J1133" t="s">
        <v>27</v>
      </c>
      <c r="K1133">
        <v>7000</v>
      </c>
      <c r="L1133">
        <v>2146867</v>
      </c>
      <c r="M1133">
        <v>69.869263508865032</v>
      </c>
    </row>
    <row r="1134" spans="1:13" hidden="1" x14ac:dyDescent="0.3">
      <c r="A1134" t="s">
        <v>2368</v>
      </c>
      <c r="B1134" t="s">
        <v>51</v>
      </c>
      <c r="C1134" t="s">
        <v>121</v>
      </c>
      <c r="D1134">
        <v>2011</v>
      </c>
      <c r="E1134" t="s">
        <v>31</v>
      </c>
      <c r="F1134" t="s">
        <v>45</v>
      </c>
      <c r="G1134" t="s">
        <v>54</v>
      </c>
      <c r="H1134" t="s">
        <v>27</v>
      </c>
      <c r="I1134" t="s">
        <v>27</v>
      </c>
      <c r="J1134" t="s">
        <v>27</v>
      </c>
      <c r="K1134">
        <v>2358</v>
      </c>
      <c r="L1134" t="s">
        <v>31</v>
      </c>
      <c r="M1134">
        <v>69.869263508865032</v>
      </c>
    </row>
    <row r="1135" spans="1:13" hidden="1" x14ac:dyDescent="0.3">
      <c r="A1135" t="s">
        <v>2379</v>
      </c>
      <c r="B1135" t="s">
        <v>51</v>
      </c>
      <c r="C1135" t="s">
        <v>121</v>
      </c>
      <c r="D1135">
        <v>2011</v>
      </c>
      <c r="E1135" t="s">
        <v>31</v>
      </c>
      <c r="F1135" t="s">
        <v>53</v>
      </c>
      <c r="G1135" t="s">
        <v>54</v>
      </c>
      <c r="H1135" t="s">
        <v>27</v>
      </c>
      <c r="I1135" t="s">
        <v>27</v>
      </c>
      <c r="J1135" t="s">
        <v>27</v>
      </c>
      <c r="K1135">
        <v>10000</v>
      </c>
      <c r="L1135" t="s">
        <v>31</v>
      </c>
      <c r="M1135">
        <v>69.869263508865032</v>
      </c>
    </row>
    <row r="1136" spans="1:13" hidden="1" x14ac:dyDescent="0.3">
      <c r="A1136" t="s">
        <v>2381</v>
      </c>
      <c r="B1136" t="s">
        <v>28</v>
      </c>
      <c r="C1136" t="s">
        <v>97</v>
      </c>
      <c r="D1136">
        <v>2011</v>
      </c>
      <c r="E1136">
        <v>2000000</v>
      </c>
      <c r="F1136" t="s">
        <v>34</v>
      </c>
      <c r="G1136" t="s">
        <v>31</v>
      </c>
      <c r="H1136" t="s">
        <v>27</v>
      </c>
      <c r="I1136" t="s">
        <v>27</v>
      </c>
      <c r="J1136" t="s">
        <v>33</v>
      </c>
      <c r="K1136">
        <v>43</v>
      </c>
      <c r="L1136">
        <v>2862489</v>
      </c>
      <c r="M1136">
        <v>69.869263508865032</v>
      </c>
    </row>
    <row r="1137" spans="1:13" hidden="1" x14ac:dyDescent="0.3">
      <c r="A1137" t="s">
        <v>2382</v>
      </c>
      <c r="B1137" t="s">
        <v>39</v>
      </c>
      <c r="C1137" t="s">
        <v>59</v>
      </c>
      <c r="D1137">
        <v>2011</v>
      </c>
      <c r="E1137" t="s">
        <v>31</v>
      </c>
      <c r="F1137" t="s">
        <v>73</v>
      </c>
      <c r="G1137" t="s">
        <v>95</v>
      </c>
      <c r="H1137" t="s">
        <v>33</v>
      </c>
      <c r="I1137" t="s">
        <v>27</v>
      </c>
      <c r="J1137" t="s">
        <v>33</v>
      </c>
      <c r="K1137" t="s">
        <v>31</v>
      </c>
      <c r="L1137" t="s">
        <v>31</v>
      </c>
      <c r="M1137">
        <v>69.869263508865032</v>
      </c>
    </row>
    <row r="1138" spans="1:13" hidden="1" x14ac:dyDescent="0.3">
      <c r="A1138" t="s">
        <v>2383</v>
      </c>
      <c r="B1138" t="s">
        <v>91</v>
      </c>
      <c r="C1138" t="s">
        <v>105</v>
      </c>
      <c r="D1138">
        <v>2011</v>
      </c>
      <c r="E1138">
        <v>104000</v>
      </c>
      <c r="F1138" t="s">
        <v>130</v>
      </c>
      <c r="G1138" t="s">
        <v>31</v>
      </c>
      <c r="H1138" t="s">
        <v>27</v>
      </c>
      <c r="I1138" t="s">
        <v>27</v>
      </c>
      <c r="J1138" t="s">
        <v>33</v>
      </c>
      <c r="K1138">
        <v>3000</v>
      </c>
      <c r="L1138">
        <v>148849</v>
      </c>
      <c r="M1138">
        <v>69.869263508865032</v>
      </c>
    </row>
    <row r="1139" spans="1:13" hidden="1" x14ac:dyDescent="0.3">
      <c r="A1139" t="s">
        <v>2384</v>
      </c>
      <c r="B1139" t="s">
        <v>91</v>
      </c>
      <c r="C1139" t="s">
        <v>105</v>
      </c>
      <c r="D1139">
        <v>2011</v>
      </c>
      <c r="E1139" t="s">
        <v>31</v>
      </c>
      <c r="F1139" t="s">
        <v>60</v>
      </c>
      <c r="G1139" t="s">
        <v>31</v>
      </c>
      <c r="H1139" t="s">
        <v>27</v>
      </c>
      <c r="I1139" t="s">
        <v>27</v>
      </c>
      <c r="J1139" t="s">
        <v>27</v>
      </c>
      <c r="K1139">
        <v>3500</v>
      </c>
      <c r="L1139" t="s">
        <v>31</v>
      </c>
      <c r="M1139">
        <v>69.869263508865032</v>
      </c>
    </row>
    <row r="1140" spans="1:13" hidden="1" x14ac:dyDescent="0.3">
      <c r="A1140" t="s">
        <v>2385</v>
      </c>
      <c r="B1140" t="s">
        <v>28</v>
      </c>
      <c r="C1140" t="s">
        <v>95</v>
      </c>
      <c r="D1140">
        <v>2011</v>
      </c>
      <c r="E1140" t="s">
        <v>31</v>
      </c>
      <c r="F1140" t="s">
        <v>34</v>
      </c>
      <c r="G1140" t="s">
        <v>31</v>
      </c>
      <c r="H1140" t="s">
        <v>27</v>
      </c>
      <c r="I1140" t="s">
        <v>27</v>
      </c>
      <c r="J1140" t="s">
        <v>27</v>
      </c>
      <c r="K1140" t="s">
        <v>31</v>
      </c>
      <c r="L1140" t="s">
        <v>31</v>
      </c>
      <c r="M1140">
        <v>69.869263508865032</v>
      </c>
    </row>
    <row r="1141" spans="1:13" hidden="1" x14ac:dyDescent="0.3">
      <c r="A1141" t="s">
        <v>2386</v>
      </c>
      <c r="B1141" t="s">
        <v>28</v>
      </c>
      <c r="C1141" t="s">
        <v>30</v>
      </c>
      <c r="D1141">
        <v>2011</v>
      </c>
      <c r="E1141" t="s">
        <v>31</v>
      </c>
      <c r="F1141" t="s">
        <v>73</v>
      </c>
      <c r="G1141" t="s">
        <v>37</v>
      </c>
      <c r="H1141" t="s">
        <v>27</v>
      </c>
      <c r="I1141" t="s">
        <v>27</v>
      </c>
      <c r="J1141" t="s">
        <v>27</v>
      </c>
      <c r="K1141">
        <v>200000</v>
      </c>
      <c r="L1141" t="s">
        <v>31</v>
      </c>
      <c r="M1141">
        <v>69.869263508865032</v>
      </c>
    </row>
    <row r="1142" spans="1:13" hidden="1" x14ac:dyDescent="0.3">
      <c r="A1142" t="s">
        <v>2387</v>
      </c>
      <c r="B1142" t="s">
        <v>28</v>
      </c>
      <c r="C1142" t="s">
        <v>30</v>
      </c>
      <c r="D1142">
        <v>2011</v>
      </c>
      <c r="E1142" t="s">
        <v>31</v>
      </c>
      <c r="F1142" t="s">
        <v>45</v>
      </c>
      <c r="G1142" t="s">
        <v>31</v>
      </c>
      <c r="H1142" t="s">
        <v>27</v>
      </c>
      <c r="I1142" t="s">
        <v>27</v>
      </c>
      <c r="J1142" t="s">
        <v>27</v>
      </c>
      <c r="K1142">
        <v>1500</v>
      </c>
      <c r="L1142" t="s">
        <v>31</v>
      </c>
      <c r="M1142">
        <v>69.869263508865032</v>
      </c>
    </row>
    <row r="1143" spans="1:13" hidden="1" x14ac:dyDescent="0.3">
      <c r="A1143" t="s">
        <v>2388</v>
      </c>
      <c r="B1143" t="s">
        <v>28</v>
      </c>
      <c r="C1143" t="s">
        <v>30</v>
      </c>
      <c r="D1143">
        <v>2011</v>
      </c>
      <c r="E1143" t="s">
        <v>31</v>
      </c>
      <c r="F1143" t="s">
        <v>244</v>
      </c>
      <c r="G1143" t="s">
        <v>31</v>
      </c>
      <c r="H1143" t="s">
        <v>27</v>
      </c>
      <c r="I1143" t="s">
        <v>27</v>
      </c>
      <c r="J1143" t="s">
        <v>27</v>
      </c>
      <c r="K1143" t="s">
        <v>31</v>
      </c>
      <c r="L1143" t="s">
        <v>31</v>
      </c>
      <c r="M1143">
        <v>69.869263508865032</v>
      </c>
    </row>
    <row r="1144" spans="1:13" hidden="1" x14ac:dyDescent="0.3">
      <c r="A1144" t="s">
        <v>2389</v>
      </c>
      <c r="B1144" t="s">
        <v>28</v>
      </c>
      <c r="C1144" t="s">
        <v>30</v>
      </c>
      <c r="D1144">
        <v>2011</v>
      </c>
      <c r="E1144">
        <v>7300000</v>
      </c>
      <c r="F1144" t="s">
        <v>34</v>
      </c>
      <c r="G1144" t="s">
        <v>37</v>
      </c>
      <c r="H1144" t="s">
        <v>27</v>
      </c>
      <c r="I1144" t="s">
        <v>27</v>
      </c>
      <c r="J1144" t="s">
        <v>27</v>
      </c>
      <c r="K1144">
        <v>370000</v>
      </c>
      <c r="L1144">
        <v>10448085</v>
      </c>
      <c r="M1144">
        <v>69.869263508865032</v>
      </c>
    </row>
    <row r="1145" spans="1:13" hidden="1" x14ac:dyDescent="0.3">
      <c r="A1145" t="s">
        <v>2390</v>
      </c>
      <c r="B1145" t="s">
        <v>51</v>
      </c>
      <c r="C1145" t="s">
        <v>121</v>
      </c>
      <c r="D1145">
        <v>2011</v>
      </c>
      <c r="E1145" t="s">
        <v>31</v>
      </c>
      <c r="F1145" t="s">
        <v>119</v>
      </c>
      <c r="G1145" t="s">
        <v>31</v>
      </c>
      <c r="H1145" t="s">
        <v>27</v>
      </c>
      <c r="I1145" t="s">
        <v>27</v>
      </c>
      <c r="J1145" t="s">
        <v>33</v>
      </c>
      <c r="K1145">
        <v>1000000</v>
      </c>
      <c r="L1145" t="s">
        <v>31</v>
      </c>
      <c r="M1145">
        <v>69.869263508865032</v>
      </c>
    </row>
    <row r="1146" spans="1:13" hidden="1" x14ac:dyDescent="0.3">
      <c r="A1146" t="s">
        <v>2391</v>
      </c>
      <c r="B1146" t="s">
        <v>51</v>
      </c>
      <c r="C1146" t="s">
        <v>121</v>
      </c>
      <c r="D1146">
        <v>2011</v>
      </c>
      <c r="E1146" t="s">
        <v>31</v>
      </c>
      <c r="F1146" t="s">
        <v>161</v>
      </c>
      <c r="G1146" t="s">
        <v>54</v>
      </c>
      <c r="H1146" t="s">
        <v>27</v>
      </c>
      <c r="I1146" t="s">
        <v>27</v>
      </c>
      <c r="J1146" t="s">
        <v>27</v>
      </c>
      <c r="K1146">
        <v>46695</v>
      </c>
      <c r="L1146" t="s">
        <v>31</v>
      </c>
      <c r="M1146">
        <v>69.869263508865032</v>
      </c>
    </row>
    <row r="1147" spans="1:13" hidden="1" x14ac:dyDescent="0.3">
      <c r="A1147" t="s">
        <v>2392</v>
      </c>
      <c r="B1147" t="s">
        <v>28</v>
      </c>
      <c r="C1147" t="s">
        <v>30</v>
      </c>
      <c r="D1147">
        <v>2011</v>
      </c>
      <c r="E1147" t="s">
        <v>31</v>
      </c>
      <c r="F1147" t="s">
        <v>35</v>
      </c>
      <c r="G1147" t="s">
        <v>37</v>
      </c>
      <c r="H1147" t="s">
        <v>27</v>
      </c>
      <c r="I1147" t="s">
        <v>27</v>
      </c>
      <c r="J1147" t="s">
        <v>27</v>
      </c>
      <c r="K1147">
        <v>240</v>
      </c>
      <c r="L1147" t="s">
        <v>31</v>
      </c>
      <c r="M1147">
        <v>69.869263508865032</v>
      </c>
    </row>
    <row r="1148" spans="1:13" hidden="1" x14ac:dyDescent="0.3">
      <c r="A1148" t="s">
        <v>2393</v>
      </c>
      <c r="B1148" t="s">
        <v>28</v>
      </c>
      <c r="C1148" t="s">
        <v>189</v>
      </c>
      <c r="D1148">
        <v>2011</v>
      </c>
      <c r="E1148">
        <v>3500000</v>
      </c>
      <c r="F1148" t="s">
        <v>34</v>
      </c>
      <c r="G1148" t="s">
        <v>31</v>
      </c>
      <c r="H1148" t="s">
        <v>27</v>
      </c>
      <c r="I1148" t="s">
        <v>27</v>
      </c>
      <c r="J1148" t="s">
        <v>27</v>
      </c>
      <c r="K1148" t="s">
        <v>31</v>
      </c>
      <c r="L1148">
        <v>5009356</v>
      </c>
      <c r="M1148">
        <v>69.869263508865032</v>
      </c>
    </row>
    <row r="1149" spans="1:13" hidden="1" x14ac:dyDescent="0.3">
      <c r="A1149" t="s">
        <v>2394</v>
      </c>
      <c r="B1149" t="s">
        <v>51</v>
      </c>
      <c r="C1149" t="s">
        <v>121</v>
      </c>
      <c r="D1149">
        <v>2011</v>
      </c>
      <c r="E1149">
        <v>4600000</v>
      </c>
      <c r="F1149" t="s">
        <v>34</v>
      </c>
      <c r="G1149" t="s">
        <v>181</v>
      </c>
      <c r="H1149" t="s">
        <v>27</v>
      </c>
      <c r="I1149" t="s">
        <v>27</v>
      </c>
      <c r="J1149" t="s">
        <v>27</v>
      </c>
      <c r="K1149" t="s">
        <v>31</v>
      </c>
      <c r="L1149">
        <v>6583725</v>
      </c>
      <c r="M1149">
        <v>69.869263508865032</v>
      </c>
    </row>
    <row r="1150" spans="1:13" hidden="1" x14ac:dyDescent="0.3">
      <c r="A1150" t="s">
        <v>2395</v>
      </c>
      <c r="B1150" t="s">
        <v>28</v>
      </c>
      <c r="C1150" t="s">
        <v>189</v>
      </c>
      <c r="D1150">
        <v>2011</v>
      </c>
      <c r="E1150" t="s">
        <v>31</v>
      </c>
      <c r="F1150" t="s">
        <v>34</v>
      </c>
      <c r="G1150" t="s">
        <v>31</v>
      </c>
      <c r="H1150" t="s">
        <v>27</v>
      </c>
      <c r="I1150" t="s">
        <v>27</v>
      </c>
      <c r="J1150" t="s">
        <v>27</v>
      </c>
      <c r="K1150" t="s">
        <v>31</v>
      </c>
      <c r="L1150" t="s">
        <v>31</v>
      </c>
      <c r="M1150">
        <v>69.869263508865032</v>
      </c>
    </row>
    <row r="1151" spans="1:13" hidden="1" x14ac:dyDescent="0.3">
      <c r="A1151" t="s">
        <v>2396</v>
      </c>
      <c r="B1151" t="s">
        <v>51</v>
      </c>
      <c r="C1151" t="s">
        <v>56</v>
      </c>
      <c r="D1151">
        <v>2011</v>
      </c>
      <c r="E1151" t="s">
        <v>31</v>
      </c>
      <c r="F1151" t="s">
        <v>70</v>
      </c>
      <c r="G1151" t="s">
        <v>31</v>
      </c>
      <c r="H1151" t="s">
        <v>27</v>
      </c>
      <c r="I1151" t="s">
        <v>27</v>
      </c>
      <c r="J1151" t="s">
        <v>27</v>
      </c>
      <c r="K1151" t="s">
        <v>31</v>
      </c>
      <c r="L1151" t="s">
        <v>31</v>
      </c>
      <c r="M1151">
        <v>69.869263508865032</v>
      </c>
    </row>
    <row r="1152" spans="1:13" hidden="1" x14ac:dyDescent="0.3">
      <c r="A1152" t="s">
        <v>2399</v>
      </c>
      <c r="B1152" t="s">
        <v>51</v>
      </c>
      <c r="C1152" t="s">
        <v>121</v>
      </c>
      <c r="D1152">
        <v>2011</v>
      </c>
      <c r="E1152">
        <v>16000</v>
      </c>
      <c r="F1152" t="s">
        <v>70</v>
      </c>
      <c r="G1152" t="s">
        <v>31</v>
      </c>
      <c r="H1152" t="s">
        <v>27</v>
      </c>
      <c r="I1152" t="s">
        <v>27</v>
      </c>
      <c r="J1152" t="s">
        <v>27</v>
      </c>
      <c r="K1152">
        <v>2000</v>
      </c>
      <c r="L1152">
        <v>22900</v>
      </c>
      <c r="M1152">
        <v>69.869263508865032</v>
      </c>
    </row>
    <row r="1153" spans="1:13" hidden="1" x14ac:dyDescent="0.3">
      <c r="A1153" t="s">
        <v>414</v>
      </c>
      <c r="B1153" t="s">
        <v>39</v>
      </c>
      <c r="C1153" t="s">
        <v>157</v>
      </c>
      <c r="D1153">
        <v>2012</v>
      </c>
      <c r="E1153">
        <v>1460000</v>
      </c>
      <c r="F1153" t="s">
        <v>119</v>
      </c>
      <c r="G1153" t="s">
        <v>31</v>
      </c>
      <c r="H1153" t="s">
        <v>27</v>
      </c>
      <c r="I1153" t="s">
        <v>27</v>
      </c>
      <c r="J1153" t="s">
        <v>27</v>
      </c>
      <c r="K1153">
        <v>4000000</v>
      </c>
      <c r="L1153">
        <v>2047253</v>
      </c>
      <c r="M1153">
        <v>71.315087733576078</v>
      </c>
    </row>
    <row r="1154" spans="1:13" hidden="1" x14ac:dyDescent="0.3">
      <c r="A1154" t="s">
        <v>415</v>
      </c>
      <c r="B1154" t="s">
        <v>28</v>
      </c>
      <c r="C1154" t="s">
        <v>99</v>
      </c>
      <c r="D1154">
        <v>2012</v>
      </c>
      <c r="E1154">
        <v>210000</v>
      </c>
      <c r="F1154" t="s">
        <v>34</v>
      </c>
      <c r="G1154" t="s">
        <v>31</v>
      </c>
      <c r="H1154" t="s">
        <v>27</v>
      </c>
      <c r="I1154" t="s">
        <v>27</v>
      </c>
      <c r="J1154" t="s">
        <v>27</v>
      </c>
      <c r="K1154" t="s">
        <v>31</v>
      </c>
      <c r="L1154">
        <v>294468</v>
      </c>
      <c r="M1154">
        <v>71.315087733576078</v>
      </c>
    </row>
    <row r="1155" spans="1:13" hidden="1" x14ac:dyDescent="0.3">
      <c r="A1155" t="s">
        <v>418</v>
      </c>
      <c r="B1155" t="s">
        <v>28</v>
      </c>
      <c r="C1155" t="s">
        <v>99</v>
      </c>
      <c r="D1155">
        <v>2012</v>
      </c>
      <c r="E1155">
        <v>3400000</v>
      </c>
      <c r="F1155" t="s">
        <v>34</v>
      </c>
      <c r="G1155" t="s">
        <v>31</v>
      </c>
      <c r="H1155" t="s">
        <v>27</v>
      </c>
      <c r="I1155" t="s">
        <v>27</v>
      </c>
      <c r="J1155" t="s">
        <v>27</v>
      </c>
      <c r="K1155" t="s">
        <v>31</v>
      </c>
      <c r="L1155">
        <v>4767575</v>
      </c>
      <c r="M1155">
        <v>71.315087733576078</v>
      </c>
    </row>
    <row r="1156" spans="1:13" hidden="1" x14ac:dyDescent="0.3">
      <c r="A1156" t="s">
        <v>419</v>
      </c>
      <c r="B1156" t="s">
        <v>51</v>
      </c>
      <c r="C1156" t="s">
        <v>121</v>
      </c>
      <c r="D1156">
        <v>2012</v>
      </c>
      <c r="E1156" t="s">
        <v>31</v>
      </c>
      <c r="F1156" t="s">
        <v>130</v>
      </c>
      <c r="G1156" t="s">
        <v>31</v>
      </c>
      <c r="H1156" t="s">
        <v>27</v>
      </c>
      <c r="I1156" t="s">
        <v>27</v>
      </c>
      <c r="J1156" t="s">
        <v>27</v>
      </c>
      <c r="K1156">
        <v>10000</v>
      </c>
      <c r="L1156" t="s">
        <v>31</v>
      </c>
      <c r="M1156">
        <v>71.315087733576078</v>
      </c>
    </row>
    <row r="1157" spans="1:13" hidden="1" x14ac:dyDescent="0.3">
      <c r="A1157" t="s">
        <v>421</v>
      </c>
      <c r="B1157" t="s">
        <v>51</v>
      </c>
      <c r="C1157" t="s">
        <v>121</v>
      </c>
      <c r="D1157">
        <v>2012</v>
      </c>
      <c r="E1157" t="s">
        <v>31</v>
      </c>
      <c r="F1157" t="s">
        <v>166</v>
      </c>
      <c r="G1157" t="s">
        <v>181</v>
      </c>
      <c r="H1157" t="s">
        <v>27</v>
      </c>
      <c r="I1157" t="s">
        <v>27</v>
      </c>
      <c r="J1157" t="s">
        <v>27</v>
      </c>
      <c r="K1157">
        <v>4330</v>
      </c>
      <c r="L1157" t="s">
        <v>31</v>
      </c>
      <c r="M1157">
        <v>71.315087733576078</v>
      </c>
    </row>
    <row r="1158" spans="1:13" hidden="1" x14ac:dyDescent="0.3">
      <c r="A1158" t="s">
        <v>422</v>
      </c>
      <c r="B1158" t="s">
        <v>51</v>
      </c>
      <c r="C1158" t="s">
        <v>121</v>
      </c>
      <c r="D1158">
        <v>2012</v>
      </c>
      <c r="E1158" t="s">
        <v>31</v>
      </c>
      <c r="F1158" t="s">
        <v>47</v>
      </c>
      <c r="G1158" t="s">
        <v>31</v>
      </c>
      <c r="H1158" t="s">
        <v>27</v>
      </c>
      <c r="I1158" t="s">
        <v>27</v>
      </c>
      <c r="J1158" t="s">
        <v>27</v>
      </c>
      <c r="K1158">
        <v>17518</v>
      </c>
      <c r="L1158" t="s">
        <v>31</v>
      </c>
      <c r="M1158">
        <v>71.315087733576078</v>
      </c>
    </row>
    <row r="1159" spans="1:13" hidden="1" x14ac:dyDescent="0.3">
      <c r="A1159" t="s">
        <v>423</v>
      </c>
      <c r="B1159" t="s">
        <v>28</v>
      </c>
      <c r="C1159" t="s">
        <v>64</v>
      </c>
      <c r="D1159">
        <v>2012</v>
      </c>
      <c r="E1159">
        <v>2000</v>
      </c>
      <c r="F1159" t="s">
        <v>130</v>
      </c>
      <c r="G1159" t="s">
        <v>37</v>
      </c>
      <c r="H1159" t="s">
        <v>27</v>
      </c>
      <c r="I1159" t="s">
        <v>27</v>
      </c>
      <c r="J1159" t="s">
        <v>27</v>
      </c>
      <c r="K1159">
        <v>7510</v>
      </c>
      <c r="L1159">
        <v>2804</v>
      </c>
      <c r="M1159">
        <v>71.315087733576078</v>
      </c>
    </row>
    <row r="1160" spans="1:13" hidden="1" x14ac:dyDescent="0.3">
      <c r="A1160" t="s">
        <v>424</v>
      </c>
      <c r="B1160" t="s">
        <v>28</v>
      </c>
      <c r="C1160" t="s">
        <v>30</v>
      </c>
      <c r="D1160">
        <v>2012</v>
      </c>
      <c r="E1160" t="s">
        <v>31</v>
      </c>
      <c r="F1160" t="s">
        <v>75</v>
      </c>
      <c r="G1160" t="s">
        <v>31</v>
      </c>
      <c r="H1160" t="s">
        <v>27</v>
      </c>
      <c r="I1160" t="s">
        <v>27</v>
      </c>
      <c r="J1160" t="s">
        <v>27</v>
      </c>
      <c r="K1160">
        <v>20515</v>
      </c>
      <c r="L1160" t="s">
        <v>31</v>
      </c>
      <c r="M1160">
        <v>71.315087733576078</v>
      </c>
    </row>
    <row r="1161" spans="1:13" hidden="1" x14ac:dyDescent="0.3">
      <c r="A1161" t="s">
        <v>425</v>
      </c>
      <c r="B1161" t="s">
        <v>28</v>
      </c>
      <c r="C1161" t="s">
        <v>30</v>
      </c>
      <c r="D1161">
        <v>2012</v>
      </c>
      <c r="E1161">
        <v>254000</v>
      </c>
      <c r="F1161" t="s">
        <v>45</v>
      </c>
      <c r="G1161" t="s">
        <v>82</v>
      </c>
      <c r="H1161" t="s">
        <v>33</v>
      </c>
      <c r="I1161" t="s">
        <v>27</v>
      </c>
      <c r="J1161" t="s">
        <v>33</v>
      </c>
      <c r="K1161">
        <v>201850</v>
      </c>
      <c r="L1161">
        <v>356166</v>
      </c>
      <c r="M1161">
        <v>71.315087733576078</v>
      </c>
    </row>
    <row r="1162" spans="1:13" hidden="1" x14ac:dyDescent="0.3">
      <c r="A1162" t="s">
        <v>426</v>
      </c>
      <c r="B1162" t="s">
        <v>28</v>
      </c>
      <c r="C1162" t="s">
        <v>30</v>
      </c>
      <c r="D1162">
        <v>2012</v>
      </c>
      <c r="E1162">
        <v>30000</v>
      </c>
      <c r="F1162" t="s">
        <v>75</v>
      </c>
      <c r="G1162" t="s">
        <v>31</v>
      </c>
      <c r="H1162" t="s">
        <v>27</v>
      </c>
      <c r="I1162" t="s">
        <v>27</v>
      </c>
      <c r="J1162" t="s">
        <v>27</v>
      </c>
      <c r="K1162">
        <v>22000</v>
      </c>
      <c r="L1162">
        <v>42067</v>
      </c>
      <c r="M1162">
        <v>71.315087733576078</v>
      </c>
    </row>
    <row r="1163" spans="1:13" hidden="1" x14ac:dyDescent="0.3">
      <c r="A1163" t="s">
        <v>427</v>
      </c>
      <c r="B1163" t="s">
        <v>91</v>
      </c>
      <c r="C1163" t="s">
        <v>105</v>
      </c>
      <c r="D1163">
        <v>2012</v>
      </c>
      <c r="E1163" t="s">
        <v>31</v>
      </c>
      <c r="F1163" t="s">
        <v>90</v>
      </c>
      <c r="G1163" t="s">
        <v>31</v>
      </c>
      <c r="H1163" t="s">
        <v>27</v>
      </c>
      <c r="I1163" t="s">
        <v>27</v>
      </c>
      <c r="J1163" t="s">
        <v>27</v>
      </c>
      <c r="K1163">
        <v>10000</v>
      </c>
      <c r="L1163" t="s">
        <v>31</v>
      </c>
      <c r="M1163">
        <v>71.315087733576078</v>
      </c>
    </row>
    <row r="1164" spans="1:13" hidden="1" x14ac:dyDescent="0.3">
      <c r="A1164" t="s">
        <v>428</v>
      </c>
      <c r="B1164" t="s">
        <v>28</v>
      </c>
      <c r="C1164" t="s">
        <v>30</v>
      </c>
      <c r="D1164">
        <v>2012</v>
      </c>
      <c r="E1164" t="s">
        <v>31</v>
      </c>
      <c r="F1164" t="s">
        <v>45</v>
      </c>
      <c r="G1164" t="s">
        <v>31</v>
      </c>
      <c r="H1164" t="s">
        <v>27</v>
      </c>
      <c r="I1164" t="s">
        <v>27</v>
      </c>
      <c r="J1164" t="s">
        <v>27</v>
      </c>
      <c r="K1164">
        <v>8007</v>
      </c>
      <c r="L1164" t="s">
        <v>31</v>
      </c>
      <c r="M1164">
        <v>71.315087733576078</v>
      </c>
    </row>
    <row r="1165" spans="1:13" hidden="1" x14ac:dyDescent="0.3">
      <c r="A1165" t="s">
        <v>765</v>
      </c>
      <c r="B1165" t="s">
        <v>28</v>
      </c>
      <c r="C1165" t="s">
        <v>97</v>
      </c>
      <c r="D1165">
        <v>2012</v>
      </c>
      <c r="E1165">
        <v>500000</v>
      </c>
      <c r="F1165" t="s">
        <v>34</v>
      </c>
      <c r="G1165" t="s">
        <v>31</v>
      </c>
      <c r="H1165" t="s">
        <v>27</v>
      </c>
      <c r="I1165" t="s">
        <v>27</v>
      </c>
      <c r="J1165" t="s">
        <v>33</v>
      </c>
      <c r="K1165">
        <v>200</v>
      </c>
      <c r="L1165">
        <v>701114</v>
      </c>
      <c r="M1165">
        <v>71.315087733576078</v>
      </c>
    </row>
    <row r="1166" spans="1:13" hidden="1" x14ac:dyDescent="0.3">
      <c r="A1166" t="s">
        <v>766</v>
      </c>
      <c r="B1166" t="s">
        <v>39</v>
      </c>
      <c r="C1166" t="s">
        <v>142</v>
      </c>
      <c r="D1166">
        <v>2012</v>
      </c>
      <c r="E1166">
        <v>600000</v>
      </c>
      <c r="F1166" t="s">
        <v>34</v>
      </c>
      <c r="G1166" t="s">
        <v>31</v>
      </c>
      <c r="H1166" t="s">
        <v>27</v>
      </c>
      <c r="I1166" t="s">
        <v>27</v>
      </c>
      <c r="J1166" t="s">
        <v>33</v>
      </c>
      <c r="K1166">
        <v>1038</v>
      </c>
      <c r="L1166">
        <v>841337</v>
      </c>
      <c r="M1166">
        <v>71.315087733576078</v>
      </c>
    </row>
    <row r="1167" spans="1:13" hidden="1" x14ac:dyDescent="0.3">
      <c r="A1167" t="s">
        <v>767</v>
      </c>
      <c r="B1167" t="s">
        <v>28</v>
      </c>
      <c r="C1167" t="s">
        <v>99</v>
      </c>
      <c r="D1167">
        <v>2012</v>
      </c>
      <c r="E1167" t="s">
        <v>31</v>
      </c>
      <c r="F1167" t="s">
        <v>34</v>
      </c>
      <c r="G1167" t="s">
        <v>31</v>
      </c>
      <c r="H1167" t="s">
        <v>27</v>
      </c>
      <c r="I1167" t="s">
        <v>27</v>
      </c>
      <c r="J1167" t="s">
        <v>33</v>
      </c>
      <c r="K1167" t="s">
        <v>31</v>
      </c>
      <c r="L1167" t="s">
        <v>31</v>
      </c>
      <c r="M1167">
        <v>71.315087733576078</v>
      </c>
    </row>
    <row r="1168" spans="1:13" hidden="1" x14ac:dyDescent="0.3">
      <c r="A1168" t="s">
        <v>768</v>
      </c>
      <c r="B1168" t="s">
        <v>51</v>
      </c>
      <c r="C1168" t="s">
        <v>121</v>
      </c>
      <c r="D1168">
        <v>2012</v>
      </c>
      <c r="E1168">
        <v>4000</v>
      </c>
      <c r="F1168" t="s">
        <v>117</v>
      </c>
      <c r="G1168" t="s">
        <v>54</v>
      </c>
      <c r="H1168" t="s">
        <v>27</v>
      </c>
      <c r="I1168" t="s">
        <v>27</v>
      </c>
      <c r="J1168" t="s">
        <v>33</v>
      </c>
      <c r="K1168">
        <v>78945</v>
      </c>
      <c r="L1168">
        <v>5609</v>
      </c>
      <c r="M1168">
        <v>71.315087733576078</v>
      </c>
    </row>
    <row r="1169" spans="1:13" hidden="1" x14ac:dyDescent="0.3">
      <c r="A1169" t="s">
        <v>769</v>
      </c>
      <c r="B1169" t="s">
        <v>91</v>
      </c>
      <c r="C1169" t="s">
        <v>93</v>
      </c>
      <c r="D1169">
        <v>2012</v>
      </c>
      <c r="E1169">
        <v>100000</v>
      </c>
      <c r="F1169" t="s">
        <v>60</v>
      </c>
      <c r="G1169" t="s">
        <v>31</v>
      </c>
      <c r="H1169" t="s">
        <v>27</v>
      </c>
      <c r="I1169" t="s">
        <v>27</v>
      </c>
      <c r="J1169" t="s">
        <v>27</v>
      </c>
      <c r="K1169">
        <v>24297</v>
      </c>
      <c r="L1169">
        <v>140223</v>
      </c>
      <c r="M1169">
        <v>71.315087733576078</v>
      </c>
    </row>
    <row r="1170" spans="1:13" hidden="1" x14ac:dyDescent="0.3">
      <c r="A1170" t="s">
        <v>770</v>
      </c>
      <c r="B1170" t="s">
        <v>28</v>
      </c>
      <c r="C1170" t="s">
        <v>97</v>
      </c>
      <c r="D1170">
        <v>2012</v>
      </c>
      <c r="E1170">
        <v>1800000</v>
      </c>
      <c r="F1170" t="s">
        <v>34</v>
      </c>
      <c r="G1170" t="s">
        <v>31</v>
      </c>
      <c r="H1170" t="s">
        <v>27</v>
      </c>
      <c r="I1170" t="s">
        <v>27</v>
      </c>
      <c r="J1170" t="s">
        <v>33</v>
      </c>
      <c r="K1170">
        <v>297</v>
      </c>
      <c r="L1170">
        <v>2524010</v>
      </c>
      <c r="M1170">
        <v>71.315087733576078</v>
      </c>
    </row>
    <row r="1171" spans="1:13" x14ac:dyDescent="0.3">
      <c r="D1171" s="2" t="s">
        <v>2571</v>
      </c>
      <c r="E1171" s="2">
        <f>SUM(E1056,E1076)</f>
        <v>1002000</v>
      </c>
    </row>
    <row r="1172" spans="1:13" x14ac:dyDescent="0.3">
      <c r="A1172" t="s">
        <v>771</v>
      </c>
      <c r="B1172" t="s">
        <v>51</v>
      </c>
      <c r="C1172" t="s">
        <v>121</v>
      </c>
      <c r="D1172">
        <v>2012</v>
      </c>
      <c r="E1172">
        <v>171000</v>
      </c>
      <c r="F1172" t="s">
        <v>119</v>
      </c>
      <c r="G1172" t="s">
        <v>31</v>
      </c>
      <c r="H1172" t="s">
        <v>27</v>
      </c>
      <c r="I1172" t="s">
        <v>27</v>
      </c>
      <c r="J1172" t="s">
        <v>33</v>
      </c>
      <c r="K1172">
        <v>210000</v>
      </c>
      <c r="L1172">
        <v>239781</v>
      </c>
      <c r="M1172">
        <v>71.315087733576078</v>
      </c>
    </row>
    <row r="1173" spans="1:13" hidden="1" x14ac:dyDescent="0.3">
      <c r="A1173" t="s">
        <v>772</v>
      </c>
      <c r="B1173" t="s">
        <v>51</v>
      </c>
      <c r="C1173" t="s">
        <v>121</v>
      </c>
      <c r="D1173">
        <v>2012</v>
      </c>
      <c r="E1173">
        <v>93000</v>
      </c>
      <c r="F1173" t="s">
        <v>70</v>
      </c>
      <c r="G1173" t="s">
        <v>31</v>
      </c>
      <c r="H1173" t="s">
        <v>27</v>
      </c>
      <c r="I1173" t="s">
        <v>27</v>
      </c>
      <c r="J1173" t="s">
        <v>27</v>
      </c>
      <c r="K1173">
        <v>11000</v>
      </c>
      <c r="L1173">
        <v>130407</v>
      </c>
      <c r="M1173">
        <v>71.315087733576078</v>
      </c>
    </row>
    <row r="1174" spans="1:13" hidden="1" x14ac:dyDescent="0.3">
      <c r="A1174" t="s">
        <v>773</v>
      </c>
      <c r="B1174" t="s">
        <v>28</v>
      </c>
      <c r="C1174" t="s">
        <v>68</v>
      </c>
      <c r="D1174">
        <v>2012</v>
      </c>
      <c r="E1174" t="s">
        <v>31</v>
      </c>
      <c r="F1174" t="s">
        <v>53</v>
      </c>
      <c r="G1174" t="s">
        <v>31</v>
      </c>
      <c r="H1174" t="s">
        <v>27</v>
      </c>
      <c r="I1174" t="s">
        <v>27</v>
      </c>
      <c r="J1174" t="s">
        <v>27</v>
      </c>
      <c r="K1174">
        <v>30113</v>
      </c>
      <c r="L1174" t="s">
        <v>31</v>
      </c>
      <c r="M1174">
        <v>71.315087733576078</v>
      </c>
    </row>
    <row r="1175" spans="1:13" hidden="1" x14ac:dyDescent="0.3">
      <c r="A1175" t="s">
        <v>1092</v>
      </c>
      <c r="B1175" t="s">
        <v>43</v>
      </c>
      <c r="C1175" t="s">
        <v>114</v>
      </c>
      <c r="D1175">
        <v>2012</v>
      </c>
      <c r="E1175" t="s">
        <v>31</v>
      </c>
      <c r="F1175" t="s">
        <v>109</v>
      </c>
      <c r="G1175" t="s">
        <v>31</v>
      </c>
      <c r="H1175" t="s">
        <v>27</v>
      </c>
      <c r="I1175" t="s">
        <v>27</v>
      </c>
      <c r="J1175" t="s">
        <v>27</v>
      </c>
      <c r="K1175">
        <v>6967</v>
      </c>
      <c r="L1175" t="s">
        <v>31</v>
      </c>
      <c r="M1175">
        <v>71.315087733576078</v>
      </c>
    </row>
    <row r="1176" spans="1:13" hidden="1" x14ac:dyDescent="0.3">
      <c r="A1176" t="s">
        <v>1100</v>
      </c>
      <c r="B1176" t="s">
        <v>91</v>
      </c>
      <c r="C1176" t="s">
        <v>93</v>
      </c>
      <c r="D1176">
        <v>2012</v>
      </c>
      <c r="E1176" t="s">
        <v>31</v>
      </c>
      <c r="F1176" t="s">
        <v>53</v>
      </c>
      <c r="G1176" t="s">
        <v>31</v>
      </c>
      <c r="H1176" t="s">
        <v>27</v>
      </c>
      <c r="I1176" t="s">
        <v>27</v>
      </c>
      <c r="J1176" t="s">
        <v>27</v>
      </c>
      <c r="K1176">
        <v>4435</v>
      </c>
      <c r="L1176" t="s">
        <v>31</v>
      </c>
      <c r="M1176">
        <v>71.315087733576078</v>
      </c>
    </row>
    <row r="1177" spans="1:13" hidden="1" x14ac:dyDescent="0.3">
      <c r="A1177" t="s">
        <v>1101</v>
      </c>
      <c r="B1177" t="s">
        <v>51</v>
      </c>
      <c r="C1177" t="s">
        <v>121</v>
      </c>
      <c r="D1177">
        <v>2012</v>
      </c>
      <c r="E1177" t="s">
        <v>31</v>
      </c>
      <c r="F1177" t="s">
        <v>111</v>
      </c>
      <c r="G1177" t="s">
        <v>31</v>
      </c>
      <c r="H1177" t="s">
        <v>27</v>
      </c>
      <c r="I1177" t="s">
        <v>27</v>
      </c>
      <c r="J1177" t="s">
        <v>33</v>
      </c>
      <c r="K1177">
        <v>69085</v>
      </c>
      <c r="L1177" t="s">
        <v>31</v>
      </c>
      <c r="M1177">
        <v>71.315087733576078</v>
      </c>
    </row>
    <row r="1178" spans="1:13" hidden="1" x14ac:dyDescent="0.3">
      <c r="A1178" t="s">
        <v>1102</v>
      </c>
      <c r="B1178" t="s">
        <v>51</v>
      </c>
      <c r="C1178" t="s">
        <v>121</v>
      </c>
      <c r="D1178">
        <v>2012</v>
      </c>
      <c r="E1178" t="s">
        <v>31</v>
      </c>
      <c r="F1178" t="s">
        <v>45</v>
      </c>
      <c r="G1178" t="s">
        <v>54</v>
      </c>
      <c r="H1178" t="s">
        <v>27</v>
      </c>
      <c r="I1178" t="s">
        <v>27</v>
      </c>
      <c r="J1178" t="s">
        <v>27</v>
      </c>
      <c r="K1178">
        <v>11000</v>
      </c>
      <c r="L1178" t="s">
        <v>31</v>
      </c>
      <c r="M1178">
        <v>71.315087733576078</v>
      </c>
    </row>
    <row r="1179" spans="1:13" hidden="1" x14ac:dyDescent="0.3">
      <c r="A1179" t="s">
        <v>1103</v>
      </c>
      <c r="B1179" t="s">
        <v>91</v>
      </c>
      <c r="C1179" t="s">
        <v>93</v>
      </c>
      <c r="D1179">
        <v>2012</v>
      </c>
      <c r="E1179">
        <v>320000</v>
      </c>
      <c r="F1179" t="s">
        <v>73</v>
      </c>
      <c r="G1179" t="s">
        <v>31</v>
      </c>
      <c r="H1179" t="s">
        <v>27</v>
      </c>
      <c r="I1179" t="s">
        <v>27</v>
      </c>
      <c r="J1179" t="s">
        <v>27</v>
      </c>
      <c r="K1179">
        <v>49011</v>
      </c>
      <c r="L1179">
        <v>448713</v>
      </c>
      <c r="M1179">
        <v>71.315087733576078</v>
      </c>
    </row>
    <row r="1180" spans="1:13" hidden="1" x14ac:dyDescent="0.3">
      <c r="A1180" t="s">
        <v>1104</v>
      </c>
      <c r="B1180" t="s">
        <v>28</v>
      </c>
      <c r="C1180" t="s">
        <v>30</v>
      </c>
      <c r="D1180">
        <v>2012</v>
      </c>
      <c r="E1180">
        <v>210000</v>
      </c>
      <c r="F1180" t="s">
        <v>34</v>
      </c>
      <c r="G1180" t="s">
        <v>31</v>
      </c>
      <c r="H1180" t="s">
        <v>27</v>
      </c>
      <c r="I1180" t="s">
        <v>27</v>
      </c>
      <c r="J1180" t="s">
        <v>27</v>
      </c>
      <c r="K1180">
        <v>17001</v>
      </c>
      <c r="L1180">
        <v>294468</v>
      </c>
      <c r="M1180">
        <v>71.315087733576078</v>
      </c>
    </row>
    <row r="1181" spans="1:13" hidden="1" x14ac:dyDescent="0.3">
      <c r="A1181" t="s">
        <v>1105</v>
      </c>
      <c r="B1181" t="s">
        <v>51</v>
      </c>
      <c r="C1181" t="s">
        <v>121</v>
      </c>
      <c r="D1181">
        <v>2012</v>
      </c>
      <c r="E1181">
        <v>40000</v>
      </c>
      <c r="F1181" t="s">
        <v>47</v>
      </c>
      <c r="G1181" t="s">
        <v>31</v>
      </c>
      <c r="H1181" t="s">
        <v>27</v>
      </c>
      <c r="I1181" t="s">
        <v>27</v>
      </c>
      <c r="J1181" t="s">
        <v>27</v>
      </c>
      <c r="K1181">
        <v>56000</v>
      </c>
      <c r="L1181">
        <v>56089</v>
      </c>
      <c r="M1181">
        <v>71.315087733576078</v>
      </c>
    </row>
    <row r="1182" spans="1:13" hidden="1" x14ac:dyDescent="0.3">
      <c r="A1182" t="s">
        <v>1106</v>
      </c>
      <c r="B1182" t="s">
        <v>51</v>
      </c>
      <c r="C1182" t="s">
        <v>121</v>
      </c>
      <c r="D1182">
        <v>2012</v>
      </c>
      <c r="E1182" t="s">
        <v>31</v>
      </c>
      <c r="F1182" t="s">
        <v>75</v>
      </c>
      <c r="G1182" t="s">
        <v>31</v>
      </c>
      <c r="H1182" t="s">
        <v>27</v>
      </c>
      <c r="I1182" t="s">
        <v>27</v>
      </c>
      <c r="J1182" t="s">
        <v>27</v>
      </c>
      <c r="K1182">
        <v>3070</v>
      </c>
      <c r="L1182" t="s">
        <v>31</v>
      </c>
      <c r="M1182">
        <v>71.315087733576078</v>
      </c>
    </row>
    <row r="1183" spans="1:13" hidden="1" x14ac:dyDescent="0.3">
      <c r="A1183" t="s">
        <v>1107</v>
      </c>
      <c r="B1183" t="s">
        <v>51</v>
      </c>
      <c r="C1183" t="s">
        <v>134</v>
      </c>
      <c r="D1183">
        <v>2012</v>
      </c>
      <c r="E1183" t="s">
        <v>31</v>
      </c>
      <c r="F1183" t="s">
        <v>53</v>
      </c>
      <c r="G1183" t="s">
        <v>31</v>
      </c>
      <c r="H1183" t="s">
        <v>27</v>
      </c>
      <c r="I1183" t="s">
        <v>27</v>
      </c>
      <c r="J1183" t="s">
        <v>27</v>
      </c>
      <c r="K1183" t="s">
        <v>31</v>
      </c>
      <c r="L1183" t="s">
        <v>31</v>
      </c>
      <c r="M1183">
        <v>71.315087733576078</v>
      </c>
    </row>
    <row r="1184" spans="1:13" hidden="1" x14ac:dyDescent="0.3">
      <c r="A1184" t="s">
        <v>1108</v>
      </c>
      <c r="B1184" t="s">
        <v>51</v>
      </c>
      <c r="C1184" t="s">
        <v>121</v>
      </c>
      <c r="D1184">
        <v>2012</v>
      </c>
      <c r="E1184">
        <v>62000</v>
      </c>
      <c r="F1184" t="s">
        <v>47</v>
      </c>
      <c r="G1184" t="s">
        <v>31</v>
      </c>
      <c r="H1184" t="s">
        <v>27</v>
      </c>
      <c r="I1184" t="s">
        <v>27</v>
      </c>
      <c r="J1184" t="s">
        <v>27</v>
      </c>
      <c r="K1184">
        <v>8000</v>
      </c>
      <c r="L1184">
        <v>86938</v>
      </c>
      <c r="M1184">
        <v>71.315087733576078</v>
      </c>
    </row>
    <row r="1185" spans="1:13" hidden="1" x14ac:dyDescent="0.3">
      <c r="A1185" t="s">
        <v>1109</v>
      </c>
      <c r="B1185" t="s">
        <v>91</v>
      </c>
      <c r="C1185" t="s">
        <v>93</v>
      </c>
      <c r="D1185">
        <v>2012</v>
      </c>
      <c r="E1185">
        <v>45000</v>
      </c>
      <c r="F1185" t="s">
        <v>161</v>
      </c>
      <c r="G1185" t="s">
        <v>31</v>
      </c>
      <c r="H1185" t="s">
        <v>27</v>
      </c>
      <c r="I1185" t="s">
        <v>27</v>
      </c>
      <c r="J1185" t="s">
        <v>27</v>
      </c>
      <c r="K1185">
        <v>762</v>
      </c>
      <c r="L1185">
        <v>63100</v>
      </c>
      <c r="M1185">
        <v>71.315087733576078</v>
      </c>
    </row>
    <row r="1186" spans="1:13" hidden="1" x14ac:dyDescent="0.3">
      <c r="A1186" t="s">
        <v>1110</v>
      </c>
      <c r="B1186" t="s">
        <v>51</v>
      </c>
      <c r="C1186" t="s">
        <v>121</v>
      </c>
      <c r="D1186">
        <v>2012</v>
      </c>
      <c r="E1186" t="s">
        <v>31</v>
      </c>
      <c r="F1186" t="s">
        <v>81</v>
      </c>
      <c r="G1186" t="s">
        <v>31</v>
      </c>
      <c r="H1186" t="s">
        <v>27</v>
      </c>
      <c r="I1186" t="s">
        <v>27</v>
      </c>
      <c r="J1186" t="s">
        <v>27</v>
      </c>
      <c r="K1186">
        <v>29500</v>
      </c>
      <c r="L1186" t="s">
        <v>31</v>
      </c>
      <c r="M1186">
        <v>71.315087733576078</v>
      </c>
    </row>
    <row r="1187" spans="1:13" hidden="1" x14ac:dyDescent="0.3">
      <c r="A1187" t="s">
        <v>1111</v>
      </c>
      <c r="B1187" t="s">
        <v>91</v>
      </c>
      <c r="C1187" t="s">
        <v>93</v>
      </c>
      <c r="D1187">
        <v>2012</v>
      </c>
      <c r="E1187">
        <v>210000</v>
      </c>
      <c r="F1187" t="s">
        <v>90</v>
      </c>
      <c r="G1187" t="s">
        <v>31</v>
      </c>
      <c r="H1187" t="s">
        <v>33</v>
      </c>
      <c r="I1187" t="s">
        <v>27</v>
      </c>
      <c r="J1187" t="s">
        <v>33</v>
      </c>
      <c r="K1187">
        <v>1321742</v>
      </c>
      <c r="L1187">
        <v>294468</v>
      </c>
      <c r="M1187">
        <v>71.315087733576078</v>
      </c>
    </row>
    <row r="1188" spans="1:13" hidden="1" x14ac:dyDescent="0.3">
      <c r="A1188" t="s">
        <v>1112</v>
      </c>
      <c r="B1188" t="s">
        <v>28</v>
      </c>
      <c r="C1188" t="s">
        <v>64</v>
      </c>
      <c r="D1188">
        <v>2012</v>
      </c>
      <c r="E1188">
        <v>1050000</v>
      </c>
      <c r="F1188" t="s">
        <v>77</v>
      </c>
      <c r="G1188" t="s">
        <v>31</v>
      </c>
      <c r="H1188" t="s">
        <v>27</v>
      </c>
      <c r="I1188" t="s">
        <v>27</v>
      </c>
      <c r="J1188" t="s">
        <v>27</v>
      </c>
      <c r="K1188" t="s">
        <v>31</v>
      </c>
      <c r="L1188">
        <v>1472339</v>
      </c>
      <c r="M1188">
        <v>71.315087733576078</v>
      </c>
    </row>
    <row r="1189" spans="1:13" hidden="1" x14ac:dyDescent="0.3">
      <c r="A1189" t="s">
        <v>1113</v>
      </c>
      <c r="B1189" t="s">
        <v>28</v>
      </c>
      <c r="C1189" t="s">
        <v>30</v>
      </c>
      <c r="D1189">
        <v>2012</v>
      </c>
      <c r="E1189" t="s">
        <v>31</v>
      </c>
      <c r="F1189" t="s">
        <v>102</v>
      </c>
      <c r="G1189" t="s">
        <v>31</v>
      </c>
      <c r="H1189" t="s">
        <v>27</v>
      </c>
      <c r="I1189" t="s">
        <v>27</v>
      </c>
      <c r="J1189" t="s">
        <v>27</v>
      </c>
      <c r="K1189" t="s">
        <v>31</v>
      </c>
      <c r="L1189" t="s">
        <v>31</v>
      </c>
      <c r="M1189">
        <v>71.315087733576078</v>
      </c>
    </row>
    <row r="1190" spans="1:13" hidden="1" x14ac:dyDescent="0.3">
      <c r="A1190" t="s">
        <v>1114</v>
      </c>
      <c r="B1190" t="s">
        <v>28</v>
      </c>
      <c r="C1190" t="s">
        <v>30</v>
      </c>
      <c r="D1190">
        <v>2012</v>
      </c>
      <c r="E1190">
        <v>16542</v>
      </c>
      <c r="F1190" t="s">
        <v>234</v>
      </c>
      <c r="G1190" t="s">
        <v>31</v>
      </c>
      <c r="H1190" t="s">
        <v>33</v>
      </c>
      <c r="I1190" t="s">
        <v>27</v>
      </c>
      <c r="J1190" t="s">
        <v>27</v>
      </c>
      <c r="K1190">
        <v>215850</v>
      </c>
      <c r="L1190">
        <v>23196</v>
      </c>
      <c r="M1190">
        <v>71.315087733576078</v>
      </c>
    </row>
    <row r="1191" spans="1:13" hidden="1" x14ac:dyDescent="0.3">
      <c r="A1191" t="s">
        <v>1117</v>
      </c>
      <c r="B1191" t="s">
        <v>39</v>
      </c>
      <c r="C1191" t="s">
        <v>142</v>
      </c>
      <c r="D1191">
        <v>2012</v>
      </c>
      <c r="E1191">
        <v>200000</v>
      </c>
      <c r="F1191" t="s">
        <v>34</v>
      </c>
      <c r="G1191" t="s">
        <v>31</v>
      </c>
      <c r="H1191" t="s">
        <v>27</v>
      </c>
      <c r="I1191" t="s">
        <v>27</v>
      </c>
      <c r="J1191" t="s">
        <v>27</v>
      </c>
      <c r="K1191">
        <v>1809</v>
      </c>
      <c r="L1191">
        <v>280446</v>
      </c>
      <c r="M1191">
        <v>71.315087733576078</v>
      </c>
    </row>
    <row r="1192" spans="1:13" hidden="1" x14ac:dyDescent="0.3">
      <c r="A1192" t="s">
        <v>1118</v>
      </c>
      <c r="B1192" t="s">
        <v>28</v>
      </c>
      <c r="C1192" t="s">
        <v>64</v>
      </c>
      <c r="D1192">
        <v>2012</v>
      </c>
      <c r="E1192">
        <v>4500000</v>
      </c>
      <c r="F1192" t="s">
        <v>34</v>
      </c>
      <c r="G1192" t="s">
        <v>31</v>
      </c>
      <c r="H1192" t="s">
        <v>27</v>
      </c>
      <c r="I1192" t="s">
        <v>27</v>
      </c>
      <c r="J1192" t="s">
        <v>27</v>
      </c>
      <c r="K1192">
        <v>100</v>
      </c>
      <c r="L1192">
        <v>6310025</v>
      </c>
      <c r="M1192">
        <v>71.315087733576078</v>
      </c>
    </row>
    <row r="1193" spans="1:13" hidden="1" x14ac:dyDescent="0.3">
      <c r="A1193" t="s">
        <v>1119</v>
      </c>
      <c r="B1193" t="s">
        <v>39</v>
      </c>
      <c r="C1193" t="s">
        <v>142</v>
      </c>
      <c r="D1193">
        <v>2012</v>
      </c>
      <c r="E1193">
        <v>200000</v>
      </c>
      <c r="F1193" t="s">
        <v>60</v>
      </c>
      <c r="G1193" t="s">
        <v>31</v>
      </c>
      <c r="H1193" t="s">
        <v>27</v>
      </c>
      <c r="I1193" t="s">
        <v>27</v>
      </c>
      <c r="J1193" t="s">
        <v>27</v>
      </c>
      <c r="K1193">
        <v>1082</v>
      </c>
      <c r="L1193">
        <v>280446</v>
      </c>
      <c r="M1193">
        <v>71.315087733576078</v>
      </c>
    </row>
    <row r="1194" spans="1:13" hidden="1" x14ac:dyDescent="0.3">
      <c r="A1194" t="s">
        <v>1120</v>
      </c>
      <c r="B1194" t="s">
        <v>39</v>
      </c>
      <c r="C1194" t="s">
        <v>157</v>
      </c>
      <c r="D1194">
        <v>2012</v>
      </c>
      <c r="E1194" t="s">
        <v>31</v>
      </c>
      <c r="F1194" t="s">
        <v>34</v>
      </c>
      <c r="G1194" t="s">
        <v>95</v>
      </c>
      <c r="H1194" t="s">
        <v>27</v>
      </c>
      <c r="I1194" t="s">
        <v>27</v>
      </c>
      <c r="J1194" t="s">
        <v>27</v>
      </c>
      <c r="K1194" t="s">
        <v>31</v>
      </c>
      <c r="L1194" t="s">
        <v>31</v>
      </c>
      <c r="M1194">
        <v>71.315087733576078</v>
      </c>
    </row>
    <row r="1195" spans="1:13" hidden="1" x14ac:dyDescent="0.3">
      <c r="A1195" t="s">
        <v>1121</v>
      </c>
      <c r="B1195" t="s">
        <v>39</v>
      </c>
      <c r="C1195" t="s">
        <v>157</v>
      </c>
      <c r="D1195">
        <v>2012</v>
      </c>
      <c r="E1195" t="s">
        <v>31</v>
      </c>
      <c r="F1195" t="s">
        <v>49</v>
      </c>
      <c r="G1195" t="s">
        <v>31</v>
      </c>
      <c r="H1195" t="s">
        <v>27</v>
      </c>
      <c r="I1195" t="s">
        <v>27</v>
      </c>
      <c r="J1195" t="s">
        <v>27</v>
      </c>
      <c r="K1195">
        <v>125000</v>
      </c>
      <c r="L1195" t="s">
        <v>31</v>
      </c>
      <c r="M1195">
        <v>71.315087733576078</v>
      </c>
    </row>
    <row r="1196" spans="1:13" hidden="1" x14ac:dyDescent="0.3">
      <c r="A1196" t="s">
        <v>1122</v>
      </c>
      <c r="B1196" t="s">
        <v>39</v>
      </c>
      <c r="C1196" t="s">
        <v>157</v>
      </c>
      <c r="D1196">
        <v>2012</v>
      </c>
      <c r="E1196">
        <v>20000000</v>
      </c>
      <c r="F1196" t="s">
        <v>34</v>
      </c>
      <c r="G1196" t="s">
        <v>95</v>
      </c>
      <c r="H1196" t="s">
        <v>27</v>
      </c>
      <c r="I1196" t="s">
        <v>27</v>
      </c>
      <c r="J1196" t="s">
        <v>33</v>
      </c>
      <c r="K1196" t="s">
        <v>31</v>
      </c>
      <c r="L1196">
        <v>28044556</v>
      </c>
      <c r="M1196">
        <v>71.315087733576078</v>
      </c>
    </row>
    <row r="1197" spans="1:13" hidden="1" x14ac:dyDescent="0.3">
      <c r="A1197" t="s">
        <v>1696</v>
      </c>
      <c r="B1197" t="s">
        <v>28</v>
      </c>
      <c r="C1197" t="s">
        <v>97</v>
      </c>
      <c r="D1197">
        <v>2012</v>
      </c>
      <c r="E1197">
        <v>175000</v>
      </c>
      <c r="F1197" t="s">
        <v>34</v>
      </c>
      <c r="G1197" t="s">
        <v>31</v>
      </c>
      <c r="H1197" t="s">
        <v>27</v>
      </c>
      <c r="I1197" t="s">
        <v>27</v>
      </c>
      <c r="J1197" t="s">
        <v>33</v>
      </c>
      <c r="K1197">
        <v>100</v>
      </c>
      <c r="L1197">
        <v>245390</v>
      </c>
      <c r="M1197">
        <v>71.315087733576078</v>
      </c>
    </row>
    <row r="1198" spans="1:13" hidden="1" x14ac:dyDescent="0.3">
      <c r="A1198" t="s">
        <v>1697</v>
      </c>
      <c r="B1198" t="s">
        <v>51</v>
      </c>
      <c r="C1198" t="s">
        <v>121</v>
      </c>
      <c r="D1198">
        <v>2012</v>
      </c>
      <c r="E1198">
        <v>34000</v>
      </c>
      <c r="F1198" t="s">
        <v>77</v>
      </c>
      <c r="G1198" t="s">
        <v>31</v>
      </c>
      <c r="H1198" t="s">
        <v>27</v>
      </c>
      <c r="I1198" t="s">
        <v>27</v>
      </c>
      <c r="J1198" t="s">
        <v>27</v>
      </c>
      <c r="K1198">
        <v>1500</v>
      </c>
      <c r="L1198">
        <v>47676</v>
      </c>
      <c r="M1198">
        <v>71.315087733576078</v>
      </c>
    </row>
    <row r="1199" spans="1:13" hidden="1" x14ac:dyDescent="0.3">
      <c r="A1199" t="s">
        <v>1698</v>
      </c>
      <c r="B1199" t="s">
        <v>51</v>
      </c>
      <c r="C1199" t="s">
        <v>121</v>
      </c>
      <c r="D1199">
        <v>2012</v>
      </c>
      <c r="E1199">
        <v>3100</v>
      </c>
      <c r="F1199" t="s">
        <v>60</v>
      </c>
      <c r="G1199" t="s">
        <v>31</v>
      </c>
      <c r="H1199" t="s">
        <v>27</v>
      </c>
      <c r="I1199" t="s">
        <v>27</v>
      </c>
      <c r="J1199" t="s">
        <v>27</v>
      </c>
      <c r="K1199">
        <v>4300</v>
      </c>
      <c r="L1199">
        <v>4347</v>
      </c>
      <c r="M1199">
        <v>71.315087733576078</v>
      </c>
    </row>
    <row r="1200" spans="1:13" hidden="1" x14ac:dyDescent="0.3">
      <c r="A1200" t="s">
        <v>1699</v>
      </c>
      <c r="B1200" t="s">
        <v>51</v>
      </c>
      <c r="C1200" t="s">
        <v>121</v>
      </c>
      <c r="D1200">
        <v>2012</v>
      </c>
      <c r="E1200" t="s">
        <v>31</v>
      </c>
      <c r="F1200" t="s">
        <v>109</v>
      </c>
      <c r="G1200" t="s">
        <v>54</v>
      </c>
      <c r="H1200" t="s">
        <v>27</v>
      </c>
      <c r="I1200" t="s">
        <v>27</v>
      </c>
      <c r="J1200" t="s">
        <v>33</v>
      </c>
      <c r="K1200">
        <v>71860</v>
      </c>
      <c r="L1200" t="s">
        <v>31</v>
      </c>
      <c r="M1200">
        <v>71.315087733576078</v>
      </c>
    </row>
    <row r="1201" spans="1:13" hidden="1" x14ac:dyDescent="0.3">
      <c r="A1201" t="s">
        <v>1700</v>
      </c>
      <c r="B1201" t="s">
        <v>28</v>
      </c>
      <c r="C1201" t="s">
        <v>189</v>
      </c>
      <c r="D1201">
        <v>2012</v>
      </c>
      <c r="E1201">
        <v>10000</v>
      </c>
      <c r="F1201" t="s">
        <v>130</v>
      </c>
      <c r="G1201" t="s">
        <v>31</v>
      </c>
      <c r="H1201" t="s">
        <v>27</v>
      </c>
      <c r="I1201" t="s">
        <v>27</v>
      </c>
      <c r="J1201" t="s">
        <v>27</v>
      </c>
      <c r="K1201">
        <v>2020</v>
      </c>
      <c r="L1201">
        <v>14022</v>
      </c>
      <c r="M1201">
        <v>71.315087733576078</v>
      </c>
    </row>
    <row r="1202" spans="1:13" hidden="1" x14ac:dyDescent="0.3">
      <c r="A1202" t="s">
        <v>1701</v>
      </c>
      <c r="B1202" t="s">
        <v>51</v>
      </c>
      <c r="C1202" t="s">
        <v>121</v>
      </c>
      <c r="D1202">
        <v>2012</v>
      </c>
      <c r="E1202" t="s">
        <v>31</v>
      </c>
      <c r="F1202" t="s">
        <v>75</v>
      </c>
      <c r="G1202" t="s">
        <v>31</v>
      </c>
      <c r="H1202" t="s">
        <v>27</v>
      </c>
      <c r="I1202" t="s">
        <v>27</v>
      </c>
      <c r="J1202" t="s">
        <v>27</v>
      </c>
      <c r="K1202">
        <v>11500</v>
      </c>
      <c r="L1202" t="s">
        <v>31</v>
      </c>
      <c r="M1202">
        <v>71.315087733576078</v>
      </c>
    </row>
    <row r="1203" spans="1:13" hidden="1" x14ac:dyDescent="0.3">
      <c r="A1203" t="s">
        <v>1702</v>
      </c>
      <c r="B1203" t="s">
        <v>51</v>
      </c>
      <c r="C1203" t="s">
        <v>121</v>
      </c>
      <c r="D1203">
        <v>2012</v>
      </c>
      <c r="E1203" t="s">
        <v>31</v>
      </c>
      <c r="F1203" t="s">
        <v>242</v>
      </c>
      <c r="G1203" t="s">
        <v>31</v>
      </c>
      <c r="H1203" t="s">
        <v>27</v>
      </c>
      <c r="I1203" t="s">
        <v>27</v>
      </c>
      <c r="J1203" t="s">
        <v>27</v>
      </c>
      <c r="K1203">
        <v>3000</v>
      </c>
      <c r="L1203" t="s">
        <v>31</v>
      </c>
      <c r="M1203">
        <v>71.315087733576078</v>
      </c>
    </row>
    <row r="1204" spans="1:13" hidden="1" x14ac:dyDescent="0.3">
      <c r="A1204" t="s">
        <v>1703</v>
      </c>
      <c r="B1204" t="s">
        <v>28</v>
      </c>
      <c r="C1204" t="s">
        <v>95</v>
      </c>
      <c r="D1204">
        <v>2012</v>
      </c>
      <c r="E1204" t="s">
        <v>31</v>
      </c>
      <c r="F1204" t="s">
        <v>34</v>
      </c>
      <c r="G1204" t="s">
        <v>31</v>
      </c>
      <c r="H1204" t="s">
        <v>27</v>
      </c>
      <c r="I1204" t="s">
        <v>27</v>
      </c>
      <c r="J1204" t="s">
        <v>27</v>
      </c>
      <c r="K1204" t="s">
        <v>31</v>
      </c>
      <c r="L1204" t="s">
        <v>31</v>
      </c>
      <c r="M1204">
        <v>71.315087733576078</v>
      </c>
    </row>
    <row r="1205" spans="1:13" hidden="1" x14ac:dyDescent="0.3">
      <c r="A1205" t="s">
        <v>1704</v>
      </c>
      <c r="B1205" t="s">
        <v>28</v>
      </c>
      <c r="C1205" t="s">
        <v>30</v>
      </c>
      <c r="D1205">
        <v>2012</v>
      </c>
      <c r="E1205">
        <v>300000</v>
      </c>
      <c r="F1205" t="s">
        <v>73</v>
      </c>
      <c r="G1205" t="s">
        <v>31</v>
      </c>
      <c r="H1205" t="s">
        <v>27</v>
      </c>
      <c r="I1205" t="s">
        <v>27</v>
      </c>
      <c r="J1205" t="s">
        <v>27</v>
      </c>
      <c r="K1205" t="s">
        <v>31</v>
      </c>
      <c r="L1205">
        <v>420668</v>
      </c>
      <c r="M1205">
        <v>71.315087733576078</v>
      </c>
    </row>
    <row r="1206" spans="1:13" hidden="1" x14ac:dyDescent="0.3">
      <c r="A1206" t="s">
        <v>1705</v>
      </c>
      <c r="B1206" t="s">
        <v>28</v>
      </c>
      <c r="C1206" t="s">
        <v>30</v>
      </c>
      <c r="D1206">
        <v>2012</v>
      </c>
      <c r="E1206">
        <v>555000</v>
      </c>
      <c r="F1206" t="s">
        <v>73</v>
      </c>
      <c r="G1206" t="s">
        <v>31</v>
      </c>
      <c r="H1206" t="s">
        <v>27</v>
      </c>
      <c r="I1206" t="s">
        <v>27</v>
      </c>
      <c r="J1206" t="s">
        <v>27</v>
      </c>
      <c r="K1206">
        <v>87000</v>
      </c>
      <c r="L1206">
        <v>778236</v>
      </c>
      <c r="M1206">
        <v>71.315087733576078</v>
      </c>
    </row>
    <row r="1207" spans="1:13" hidden="1" x14ac:dyDescent="0.3">
      <c r="A1207" t="s">
        <v>1706</v>
      </c>
      <c r="B1207" t="s">
        <v>51</v>
      </c>
      <c r="C1207" t="s">
        <v>121</v>
      </c>
      <c r="D1207">
        <v>2012</v>
      </c>
      <c r="E1207" t="s">
        <v>31</v>
      </c>
      <c r="F1207" t="s">
        <v>161</v>
      </c>
      <c r="G1207" t="s">
        <v>54</v>
      </c>
      <c r="H1207" t="s">
        <v>27</v>
      </c>
      <c r="I1207" t="s">
        <v>27</v>
      </c>
      <c r="J1207" t="s">
        <v>27</v>
      </c>
      <c r="K1207">
        <v>9523</v>
      </c>
      <c r="L1207" t="s">
        <v>31</v>
      </c>
      <c r="M1207">
        <v>71.315087733576078</v>
      </c>
    </row>
    <row r="1208" spans="1:13" hidden="1" x14ac:dyDescent="0.3">
      <c r="A1208" t="s">
        <v>1707</v>
      </c>
      <c r="B1208" t="s">
        <v>28</v>
      </c>
      <c r="C1208" t="s">
        <v>30</v>
      </c>
      <c r="D1208">
        <v>2012</v>
      </c>
      <c r="E1208" t="s">
        <v>31</v>
      </c>
      <c r="F1208" t="s">
        <v>62</v>
      </c>
      <c r="G1208" t="s">
        <v>31</v>
      </c>
      <c r="H1208" t="s">
        <v>27</v>
      </c>
      <c r="I1208" t="s">
        <v>27</v>
      </c>
      <c r="J1208" t="s">
        <v>27</v>
      </c>
      <c r="K1208" t="s">
        <v>31</v>
      </c>
      <c r="L1208" t="s">
        <v>31</v>
      </c>
      <c r="M1208">
        <v>71.315087733576078</v>
      </c>
    </row>
    <row r="1209" spans="1:13" hidden="1" x14ac:dyDescent="0.3">
      <c r="A1209" t="s">
        <v>1708</v>
      </c>
      <c r="B1209" t="s">
        <v>28</v>
      </c>
      <c r="C1209" t="s">
        <v>30</v>
      </c>
      <c r="D1209">
        <v>2012</v>
      </c>
      <c r="E1209">
        <v>2000000</v>
      </c>
      <c r="F1209" t="s">
        <v>34</v>
      </c>
      <c r="G1209" t="s">
        <v>37</v>
      </c>
      <c r="H1209" t="s">
        <v>27</v>
      </c>
      <c r="I1209" t="s">
        <v>27</v>
      </c>
      <c r="J1209" t="s">
        <v>33</v>
      </c>
      <c r="K1209">
        <v>60000</v>
      </c>
      <c r="L1209">
        <v>2804456</v>
      </c>
      <c r="M1209">
        <v>71.315087733576078</v>
      </c>
    </row>
    <row r="1210" spans="1:13" hidden="1" x14ac:dyDescent="0.3">
      <c r="A1210" t="s">
        <v>1709</v>
      </c>
      <c r="B1210" t="s">
        <v>28</v>
      </c>
      <c r="C1210" t="s">
        <v>30</v>
      </c>
      <c r="D1210">
        <v>2012</v>
      </c>
      <c r="E1210" t="s">
        <v>31</v>
      </c>
      <c r="F1210" t="s">
        <v>242</v>
      </c>
      <c r="G1210" t="s">
        <v>37</v>
      </c>
      <c r="H1210" t="s">
        <v>27</v>
      </c>
      <c r="I1210" t="s">
        <v>27</v>
      </c>
      <c r="J1210" t="s">
        <v>27</v>
      </c>
      <c r="K1210">
        <v>162605</v>
      </c>
      <c r="L1210" t="s">
        <v>31</v>
      </c>
      <c r="M1210">
        <v>71.315087733576078</v>
      </c>
    </row>
    <row r="1211" spans="1:13" hidden="1" x14ac:dyDescent="0.3">
      <c r="A1211" t="s">
        <v>1710</v>
      </c>
      <c r="B1211" t="s">
        <v>28</v>
      </c>
      <c r="C1211" t="s">
        <v>30</v>
      </c>
      <c r="D1211">
        <v>2012</v>
      </c>
      <c r="E1211">
        <v>50000000</v>
      </c>
      <c r="F1211" t="s">
        <v>34</v>
      </c>
      <c r="G1211" t="s">
        <v>1711</v>
      </c>
      <c r="H1211" t="s">
        <v>27</v>
      </c>
      <c r="I1211" t="s">
        <v>27</v>
      </c>
      <c r="J1211" t="s">
        <v>33</v>
      </c>
      <c r="K1211" t="s">
        <v>31</v>
      </c>
      <c r="L1211">
        <v>70111391</v>
      </c>
      <c r="M1211">
        <v>71.315087733576078</v>
      </c>
    </row>
    <row r="1212" spans="1:13" hidden="1" x14ac:dyDescent="0.3">
      <c r="A1212" t="s">
        <v>1712</v>
      </c>
      <c r="B1212" t="s">
        <v>43</v>
      </c>
      <c r="C1212" t="s">
        <v>44</v>
      </c>
      <c r="D1212">
        <v>2012</v>
      </c>
      <c r="E1212" t="s">
        <v>31</v>
      </c>
      <c r="F1212" t="s">
        <v>45</v>
      </c>
      <c r="G1212" t="s">
        <v>31</v>
      </c>
      <c r="H1212" t="s">
        <v>27</v>
      </c>
      <c r="I1212" t="s">
        <v>27</v>
      </c>
      <c r="J1212" t="s">
        <v>27</v>
      </c>
      <c r="K1212">
        <v>2224</v>
      </c>
      <c r="L1212" t="s">
        <v>31</v>
      </c>
      <c r="M1212">
        <v>71.315087733576078</v>
      </c>
    </row>
    <row r="1213" spans="1:13" hidden="1" x14ac:dyDescent="0.3">
      <c r="A1213" t="s">
        <v>1713</v>
      </c>
      <c r="B1213" t="s">
        <v>28</v>
      </c>
      <c r="C1213" t="s">
        <v>64</v>
      </c>
      <c r="D1213">
        <v>2012</v>
      </c>
      <c r="E1213">
        <v>2000</v>
      </c>
      <c r="F1213" t="s">
        <v>117</v>
      </c>
      <c r="G1213" t="s">
        <v>100</v>
      </c>
      <c r="H1213" t="s">
        <v>27</v>
      </c>
      <c r="I1213" t="s">
        <v>27</v>
      </c>
      <c r="J1213" t="s">
        <v>27</v>
      </c>
      <c r="K1213">
        <v>25100</v>
      </c>
      <c r="L1213">
        <v>2804</v>
      </c>
      <c r="M1213">
        <v>71.315087733576078</v>
      </c>
    </row>
    <row r="1214" spans="1:13" hidden="1" x14ac:dyDescent="0.3">
      <c r="A1214" t="s">
        <v>1714</v>
      </c>
      <c r="B1214" t="s">
        <v>51</v>
      </c>
      <c r="C1214" t="s">
        <v>121</v>
      </c>
      <c r="D1214">
        <v>2012</v>
      </c>
      <c r="E1214">
        <v>2000</v>
      </c>
      <c r="F1214" t="s">
        <v>166</v>
      </c>
      <c r="G1214" t="s">
        <v>54</v>
      </c>
      <c r="H1214" t="s">
        <v>27</v>
      </c>
      <c r="I1214" t="s">
        <v>27</v>
      </c>
      <c r="J1214" t="s">
        <v>33</v>
      </c>
      <c r="K1214">
        <v>5118</v>
      </c>
      <c r="L1214">
        <v>2804</v>
      </c>
      <c r="M1214">
        <v>71.315087733576078</v>
      </c>
    </row>
    <row r="1215" spans="1:13" hidden="1" x14ac:dyDescent="0.3">
      <c r="A1215" t="s">
        <v>1715</v>
      </c>
      <c r="B1215" t="s">
        <v>28</v>
      </c>
      <c r="C1215" t="s">
        <v>67</v>
      </c>
      <c r="D1215">
        <v>2012</v>
      </c>
      <c r="E1215">
        <v>2000</v>
      </c>
      <c r="F1215" t="s">
        <v>34</v>
      </c>
      <c r="G1215" t="s">
        <v>31</v>
      </c>
      <c r="H1215" t="s">
        <v>27</v>
      </c>
      <c r="I1215" t="s">
        <v>27</v>
      </c>
      <c r="J1215" t="s">
        <v>27</v>
      </c>
      <c r="K1215" t="s">
        <v>31</v>
      </c>
      <c r="L1215">
        <v>2804</v>
      </c>
      <c r="M1215">
        <v>71.315087733576078</v>
      </c>
    </row>
    <row r="1216" spans="1:13" hidden="1" x14ac:dyDescent="0.3">
      <c r="A1216" t="s">
        <v>1716</v>
      </c>
      <c r="B1216" t="s">
        <v>28</v>
      </c>
      <c r="C1216" t="s">
        <v>67</v>
      </c>
      <c r="D1216">
        <v>2012</v>
      </c>
      <c r="E1216" t="s">
        <v>31</v>
      </c>
      <c r="F1216" t="s">
        <v>77</v>
      </c>
      <c r="G1216" t="s">
        <v>31</v>
      </c>
      <c r="H1216" t="s">
        <v>27</v>
      </c>
      <c r="I1216" t="s">
        <v>27</v>
      </c>
      <c r="J1216" t="s">
        <v>27</v>
      </c>
      <c r="K1216" t="s">
        <v>31</v>
      </c>
      <c r="L1216" t="s">
        <v>31</v>
      </c>
      <c r="M1216">
        <v>71.315087733576078</v>
      </c>
    </row>
    <row r="1217" spans="1:13" hidden="1" x14ac:dyDescent="0.3">
      <c r="A1217" t="s">
        <v>1717</v>
      </c>
      <c r="B1217" t="s">
        <v>28</v>
      </c>
      <c r="C1217" t="s">
        <v>67</v>
      </c>
      <c r="D1217">
        <v>2012</v>
      </c>
      <c r="E1217">
        <v>100000</v>
      </c>
      <c r="F1217" t="s">
        <v>34</v>
      </c>
      <c r="G1217" t="s">
        <v>31</v>
      </c>
      <c r="H1217" t="s">
        <v>27</v>
      </c>
      <c r="I1217" t="s">
        <v>27</v>
      </c>
      <c r="J1217" t="s">
        <v>27</v>
      </c>
      <c r="K1217" t="s">
        <v>31</v>
      </c>
      <c r="L1217">
        <v>140223</v>
      </c>
      <c r="M1217">
        <v>71.315087733576078</v>
      </c>
    </row>
    <row r="1218" spans="1:13" hidden="1" x14ac:dyDescent="0.3">
      <c r="A1218" t="s">
        <v>1720</v>
      </c>
      <c r="B1218" t="s">
        <v>28</v>
      </c>
      <c r="C1218" t="s">
        <v>67</v>
      </c>
      <c r="D1218">
        <v>2012</v>
      </c>
      <c r="E1218">
        <v>100000</v>
      </c>
      <c r="F1218" t="s">
        <v>34</v>
      </c>
      <c r="G1218" t="s">
        <v>31</v>
      </c>
      <c r="H1218" t="s">
        <v>27</v>
      </c>
      <c r="I1218" t="s">
        <v>27</v>
      </c>
      <c r="J1218" t="s">
        <v>27</v>
      </c>
      <c r="K1218">
        <v>1</v>
      </c>
      <c r="L1218">
        <v>140223</v>
      </c>
      <c r="M1218">
        <v>71.315087733576078</v>
      </c>
    </row>
    <row r="1219" spans="1:13" hidden="1" x14ac:dyDescent="0.3">
      <c r="A1219" t="s">
        <v>1721</v>
      </c>
      <c r="B1219" t="s">
        <v>28</v>
      </c>
      <c r="C1219" t="s">
        <v>99</v>
      </c>
      <c r="D1219">
        <v>2012</v>
      </c>
      <c r="E1219">
        <v>1400000</v>
      </c>
      <c r="F1219" t="s">
        <v>34</v>
      </c>
      <c r="G1219" t="s">
        <v>31</v>
      </c>
      <c r="H1219" t="s">
        <v>27</v>
      </c>
      <c r="I1219" t="s">
        <v>27</v>
      </c>
      <c r="J1219" t="s">
        <v>27</v>
      </c>
      <c r="K1219">
        <v>2</v>
      </c>
      <c r="L1219">
        <v>1963119</v>
      </c>
      <c r="M1219">
        <v>71.315087733576078</v>
      </c>
    </row>
    <row r="1220" spans="1:13" hidden="1" x14ac:dyDescent="0.3">
      <c r="A1220" t="s">
        <v>1722</v>
      </c>
      <c r="B1220" t="s">
        <v>28</v>
      </c>
      <c r="C1220" t="s">
        <v>99</v>
      </c>
      <c r="D1220">
        <v>2012</v>
      </c>
      <c r="E1220">
        <v>700000</v>
      </c>
      <c r="F1220" t="s">
        <v>34</v>
      </c>
      <c r="G1220" t="s">
        <v>31</v>
      </c>
      <c r="H1220" t="s">
        <v>27</v>
      </c>
      <c r="I1220" t="s">
        <v>27</v>
      </c>
      <c r="J1220" t="s">
        <v>27</v>
      </c>
      <c r="K1220" t="s">
        <v>31</v>
      </c>
      <c r="L1220">
        <v>981559</v>
      </c>
      <c r="M1220">
        <v>71.315087733576078</v>
      </c>
    </row>
    <row r="1221" spans="1:13" hidden="1" x14ac:dyDescent="0.3">
      <c r="A1221" t="s">
        <v>2397</v>
      </c>
      <c r="B1221" t="s">
        <v>28</v>
      </c>
      <c r="C1221" t="s">
        <v>97</v>
      </c>
      <c r="D1221">
        <v>2012</v>
      </c>
      <c r="E1221">
        <v>5000000</v>
      </c>
      <c r="F1221" t="s">
        <v>34</v>
      </c>
      <c r="G1221" t="s">
        <v>100</v>
      </c>
      <c r="H1221" t="s">
        <v>27</v>
      </c>
      <c r="I1221" t="s">
        <v>27</v>
      </c>
      <c r="J1221" t="s">
        <v>33</v>
      </c>
      <c r="K1221">
        <v>400</v>
      </c>
      <c r="L1221">
        <v>7011139</v>
      </c>
      <c r="M1221">
        <v>71.315087733576078</v>
      </c>
    </row>
    <row r="1222" spans="1:13" hidden="1" x14ac:dyDescent="0.3">
      <c r="A1222" t="s">
        <v>2400</v>
      </c>
      <c r="B1222" t="s">
        <v>51</v>
      </c>
      <c r="C1222" t="s">
        <v>121</v>
      </c>
      <c r="D1222">
        <v>2012</v>
      </c>
      <c r="E1222" t="s">
        <v>31</v>
      </c>
      <c r="F1222" t="s">
        <v>119</v>
      </c>
      <c r="G1222" t="s">
        <v>31</v>
      </c>
      <c r="H1222" t="s">
        <v>27</v>
      </c>
      <c r="I1222" t="s">
        <v>27</v>
      </c>
      <c r="J1222" t="s">
        <v>27</v>
      </c>
      <c r="K1222">
        <v>89000</v>
      </c>
      <c r="L1222" t="s">
        <v>31</v>
      </c>
      <c r="M1222">
        <v>71.315087733576078</v>
      </c>
    </row>
    <row r="1223" spans="1:13" hidden="1" x14ac:dyDescent="0.3">
      <c r="A1223" t="s">
        <v>2401</v>
      </c>
      <c r="B1223" t="s">
        <v>43</v>
      </c>
      <c r="C1223" t="s">
        <v>114</v>
      </c>
      <c r="D1223">
        <v>2012</v>
      </c>
      <c r="E1223" t="s">
        <v>31</v>
      </c>
      <c r="F1223" t="s">
        <v>47</v>
      </c>
      <c r="G1223" t="s">
        <v>31</v>
      </c>
      <c r="H1223" t="s">
        <v>27</v>
      </c>
      <c r="I1223" t="s">
        <v>27</v>
      </c>
      <c r="J1223" t="s">
        <v>27</v>
      </c>
      <c r="K1223">
        <v>23235</v>
      </c>
      <c r="L1223" t="s">
        <v>31</v>
      </c>
      <c r="M1223">
        <v>71.315087733576078</v>
      </c>
    </row>
    <row r="1224" spans="1:13" hidden="1" x14ac:dyDescent="0.3">
      <c r="A1224" t="s">
        <v>2402</v>
      </c>
      <c r="B1224" t="s">
        <v>28</v>
      </c>
      <c r="C1224" t="s">
        <v>97</v>
      </c>
      <c r="D1224">
        <v>2012</v>
      </c>
      <c r="E1224">
        <v>1550000</v>
      </c>
      <c r="F1224" t="s">
        <v>34</v>
      </c>
      <c r="G1224" t="s">
        <v>31</v>
      </c>
      <c r="H1224" t="s">
        <v>27</v>
      </c>
      <c r="I1224" t="s">
        <v>27</v>
      </c>
      <c r="J1224" t="s">
        <v>27</v>
      </c>
      <c r="K1224">
        <v>3300</v>
      </c>
      <c r="L1224">
        <v>2173453</v>
      </c>
      <c r="M1224">
        <v>71.315087733576078</v>
      </c>
    </row>
    <row r="1225" spans="1:13" hidden="1" x14ac:dyDescent="0.3">
      <c r="A1225" t="s">
        <v>2403</v>
      </c>
      <c r="B1225" t="s">
        <v>43</v>
      </c>
      <c r="C1225" t="s">
        <v>44</v>
      </c>
      <c r="D1225">
        <v>2012</v>
      </c>
      <c r="E1225" t="s">
        <v>31</v>
      </c>
      <c r="F1225" t="s">
        <v>75</v>
      </c>
      <c r="G1225" t="s">
        <v>31</v>
      </c>
      <c r="H1225" t="s">
        <v>27</v>
      </c>
      <c r="I1225" t="s">
        <v>27</v>
      </c>
      <c r="J1225" t="s">
        <v>27</v>
      </c>
      <c r="K1225">
        <v>26090</v>
      </c>
      <c r="L1225" t="s">
        <v>31</v>
      </c>
      <c r="M1225">
        <v>71.315087733576078</v>
      </c>
    </row>
    <row r="1226" spans="1:13" hidden="1" x14ac:dyDescent="0.3">
      <c r="A1226" t="s">
        <v>2404</v>
      </c>
      <c r="B1226" t="s">
        <v>51</v>
      </c>
      <c r="C1226" t="s">
        <v>121</v>
      </c>
      <c r="D1226">
        <v>2012</v>
      </c>
      <c r="E1226">
        <v>174000</v>
      </c>
      <c r="F1226" t="s">
        <v>34</v>
      </c>
      <c r="G1226" t="s">
        <v>31</v>
      </c>
      <c r="H1226" t="s">
        <v>27</v>
      </c>
      <c r="I1226" t="s">
        <v>27</v>
      </c>
      <c r="J1226" t="s">
        <v>27</v>
      </c>
      <c r="K1226">
        <v>300</v>
      </c>
      <c r="L1226">
        <v>243988</v>
      </c>
      <c r="M1226">
        <v>71.315087733576078</v>
      </c>
    </row>
    <row r="1227" spans="1:13" hidden="1" x14ac:dyDescent="0.3">
      <c r="A1227" t="s">
        <v>2405</v>
      </c>
      <c r="B1227" t="s">
        <v>51</v>
      </c>
      <c r="C1227" t="s">
        <v>121</v>
      </c>
      <c r="D1227">
        <v>2012</v>
      </c>
      <c r="E1227" t="s">
        <v>31</v>
      </c>
      <c r="F1227" t="s">
        <v>45</v>
      </c>
      <c r="G1227" t="s">
        <v>31</v>
      </c>
      <c r="H1227" t="s">
        <v>27</v>
      </c>
      <c r="I1227" t="s">
        <v>27</v>
      </c>
      <c r="J1227" t="s">
        <v>27</v>
      </c>
      <c r="K1227">
        <v>7600</v>
      </c>
      <c r="L1227" t="s">
        <v>31</v>
      </c>
      <c r="M1227">
        <v>71.315087733576078</v>
      </c>
    </row>
    <row r="1228" spans="1:13" hidden="1" x14ac:dyDescent="0.3">
      <c r="A1228" t="s">
        <v>2406</v>
      </c>
      <c r="B1228" t="s">
        <v>28</v>
      </c>
      <c r="C1228" t="s">
        <v>30</v>
      </c>
      <c r="D1228">
        <v>2012</v>
      </c>
      <c r="E1228" t="s">
        <v>31</v>
      </c>
      <c r="F1228" t="s">
        <v>242</v>
      </c>
      <c r="G1228" t="s">
        <v>31</v>
      </c>
      <c r="H1228" t="s">
        <v>27</v>
      </c>
      <c r="I1228" t="s">
        <v>27</v>
      </c>
      <c r="J1228" t="s">
        <v>27</v>
      </c>
      <c r="K1228">
        <v>45496</v>
      </c>
      <c r="L1228" t="s">
        <v>31</v>
      </c>
      <c r="M1228">
        <v>71.315087733576078</v>
      </c>
    </row>
    <row r="1229" spans="1:13" hidden="1" x14ac:dyDescent="0.3">
      <c r="A1229" t="s">
        <v>2407</v>
      </c>
      <c r="B1229" t="s">
        <v>51</v>
      </c>
      <c r="C1229" t="s">
        <v>121</v>
      </c>
      <c r="D1229">
        <v>2012</v>
      </c>
      <c r="E1229" t="s">
        <v>31</v>
      </c>
      <c r="F1229" t="s">
        <v>53</v>
      </c>
      <c r="G1229" t="s">
        <v>473</v>
      </c>
      <c r="H1229" t="s">
        <v>27</v>
      </c>
      <c r="I1229" t="s">
        <v>27</v>
      </c>
      <c r="J1229" t="s">
        <v>33</v>
      </c>
      <c r="K1229">
        <v>50029</v>
      </c>
      <c r="L1229" t="s">
        <v>31</v>
      </c>
      <c r="M1229">
        <v>71.315087733576078</v>
      </c>
    </row>
    <row r="1230" spans="1:13" hidden="1" x14ac:dyDescent="0.3">
      <c r="A1230" t="s">
        <v>2408</v>
      </c>
      <c r="B1230" t="s">
        <v>43</v>
      </c>
      <c r="C1230" t="s">
        <v>44</v>
      </c>
      <c r="D1230">
        <v>2012</v>
      </c>
      <c r="E1230" t="s">
        <v>31</v>
      </c>
      <c r="F1230" t="s">
        <v>45</v>
      </c>
      <c r="G1230" t="s">
        <v>31</v>
      </c>
      <c r="H1230" t="s">
        <v>27</v>
      </c>
      <c r="I1230" t="s">
        <v>27</v>
      </c>
      <c r="J1230" t="s">
        <v>27</v>
      </c>
      <c r="K1230">
        <v>3593</v>
      </c>
      <c r="L1230" t="s">
        <v>31</v>
      </c>
      <c r="M1230">
        <v>71.315087733576078</v>
      </c>
    </row>
    <row r="1231" spans="1:13" hidden="1" x14ac:dyDescent="0.3">
      <c r="A1231" t="s">
        <v>2409</v>
      </c>
      <c r="B1231" t="s">
        <v>28</v>
      </c>
      <c r="C1231" t="s">
        <v>64</v>
      </c>
      <c r="D1231">
        <v>2012</v>
      </c>
      <c r="E1231">
        <v>4000000</v>
      </c>
      <c r="F1231" t="s">
        <v>34</v>
      </c>
      <c r="G1231" t="s">
        <v>31</v>
      </c>
      <c r="H1231" t="s">
        <v>27</v>
      </c>
      <c r="I1231" t="s">
        <v>27</v>
      </c>
      <c r="J1231" t="s">
        <v>27</v>
      </c>
      <c r="K1231" t="s">
        <v>31</v>
      </c>
      <c r="L1231">
        <v>5608911</v>
      </c>
      <c r="M1231">
        <v>71.315087733576078</v>
      </c>
    </row>
    <row r="1232" spans="1:13" hidden="1" x14ac:dyDescent="0.3">
      <c r="A1232" t="s">
        <v>2411</v>
      </c>
      <c r="B1232" t="s">
        <v>51</v>
      </c>
      <c r="C1232" t="s">
        <v>121</v>
      </c>
      <c r="D1232">
        <v>2012</v>
      </c>
      <c r="E1232" t="s">
        <v>31</v>
      </c>
      <c r="F1232" t="s">
        <v>45</v>
      </c>
      <c r="G1232" t="s">
        <v>31</v>
      </c>
      <c r="H1232" t="s">
        <v>27</v>
      </c>
      <c r="I1232" t="s">
        <v>27</v>
      </c>
      <c r="J1232" t="s">
        <v>27</v>
      </c>
      <c r="K1232">
        <v>7865</v>
      </c>
      <c r="L1232" t="s">
        <v>31</v>
      </c>
      <c r="M1232">
        <v>71.315087733576078</v>
      </c>
    </row>
    <row r="1233" spans="1:13" hidden="1" x14ac:dyDescent="0.3">
      <c r="A1233" t="s">
        <v>2412</v>
      </c>
      <c r="B1233" t="s">
        <v>43</v>
      </c>
      <c r="C1233" t="s">
        <v>114</v>
      </c>
      <c r="D1233">
        <v>2012</v>
      </c>
      <c r="E1233" t="s">
        <v>31</v>
      </c>
      <c r="F1233" t="s">
        <v>53</v>
      </c>
      <c r="G1233" t="s">
        <v>31</v>
      </c>
      <c r="H1233" t="s">
        <v>27</v>
      </c>
      <c r="I1233" t="s">
        <v>27</v>
      </c>
      <c r="J1233" t="s">
        <v>33</v>
      </c>
      <c r="K1233">
        <v>20106</v>
      </c>
      <c r="L1233" t="s">
        <v>31</v>
      </c>
      <c r="M1233">
        <v>71.315087733576078</v>
      </c>
    </row>
    <row r="1234" spans="1:13" hidden="1" x14ac:dyDescent="0.3">
      <c r="A1234" t="s">
        <v>2413</v>
      </c>
      <c r="B1234" t="s">
        <v>39</v>
      </c>
      <c r="C1234" t="s">
        <v>41</v>
      </c>
      <c r="D1234">
        <v>2012</v>
      </c>
      <c r="E1234" t="s">
        <v>31</v>
      </c>
      <c r="F1234" t="s">
        <v>109</v>
      </c>
      <c r="G1234" t="s">
        <v>31</v>
      </c>
      <c r="H1234" t="s">
        <v>33</v>
      </c>
      <c r="I1234" t="s">
        <v>33</v>
      </c>
      <c r="J1234" t="s">
        <v>27</v>
      </c>
      <c r="K1234">
        <v>1945</v>
      </c>
      <c r="L1234" t="s">
        <v>31</v>
      </c>
      <c r="M1234">
        <v>71.315087733576078</v>
      </c>
    </row>
    <row r="1235" spans="1:13" hidden="1" x14ac:dyDescent="0.3">
      <c r="A1235" t="s">
        <v>2414</v>
      </c>
      <c r="B1235" t="s">
        <v>28</v>
      </c>
      <c r="C1235" t="s">
        <v>99</v>
      </c>
      <c r="D1235">
        <v>2012</v>
      </c>
      <c r="E1235">
        <v>1900000</v>
      </c>
      <c r="F1235" t="s">
        <v>34</v>
      </c>
      <c r="G1235" t="s">
        <v>31</v>
      </c>
      <c r="H1235" t="s">
        <v>27</v>
      </c>
      <c r="I1235" t="s">
        <v>27</v>
      </c>
      <c r="J1235" t="s">
        <v>27</v>
      </c>
      <c r="K1235">
        <v>9003</v>
      </c>
      <c r="L1235">
        <v>2664233</v>
      </c>
      <c r="M1235">
        <v>71.315087733576078</v>
      </c>
    </row>
    <row r="1236" spans="1:13" hidden="1" x14ac:dyDescent="0.3">
      <c r="A1236" t="s">
        <v>2415</v>
      </c>
      <c r="B1236" t="s">
        <v>39</v>
      </c>
      <c r="C1236" t="s">
        <v>157</v>
      </c>
      <c r="D1236">
        <v>2012</v>
      </c>
      <c r="E1236" t="s">
        <v>31</v>
      </c>
      <c r="F1236" t="s">
        <v>117</v>
      </c>
      <c r="G1236" t="s">
        <v>196</v>
      </c>
      <c r="H1236" t="s">
        <v>27</v>
      </c>
      <c r="I1236" t="s">
        <v>27</v>
      </c>
      <c r="J1236" t="s">
        <v>33</v>
      </c>
      <c r="K1236">
        <v>1391900</v>
      </c>
      <c r="L1236" t="s">
        <v>31</v>
      </c>
      <c r="M1236">
        <v>71.315087733576078</v>
      </c>
    </row>
    <row r="1237" spans="1:13" hidden="1" x14ac:dyDescent="0.3">
      <c r="A1237" t="s">
        <v>2416</v>
      </c>
      <c r="B1237" t="s">
        <v>39</v>
      </c>
      <c r="C1237" t="s">
        <v>157</v>
      </c>
      <c r="D1237">
        <v>2012</v>
      </c>
      <c r="E1237" t="s">
        <v>31</v>
      </c>
      <c r="F1237" t="s">
        <v>90</v>
      </c>
      <c r="G1237" t="s">
        <v>95</v>
      </c>
      <c r="H1237" t="s">
        <v>27</v>
      </c>
      <c r="I1237" t="s">
        <v>27</v>
      </c>
      <c r="J1237" t="s">
        <v>27</v>
      </c>
      <c r="K1237">
        <v>266485</v>
      </c>
      <c r="L1237" t="s">
        <v>31</v>
      </c>
      <c r="M1237">
        <v>71.315087733576078</v>
      </c>
    </row>
    <row r="1238" spans="1:13" hidden="1" x14ac:dyDescent="0.3">
      <c r="A1238" t="s">
        <v>284</v>
      </c>
      <c r="B1238" t="s">
        <v>43</v>
      </c>
      <c r="C1238" t="s">
        <v>114</v>
      </c>
      <c r="D1238">
        <v>2013</v>
      </c>
      <c r="E1238" t="s">
        <v>31</v>
      </c>
      <c r="F1238" t="s">
        <v>81</v>
      </c>
      <c r="G1238" t="s">
        <v>31</v>
      </c>
      <c r="H1238" t="s">
        <v>27</v>
      </c>
      <c r="I1238" t="s">
        <v>27</v>
      </c>
      <c r="J1238" t="s">
        <v>27</v>
      </c>
      <c r="K1238">
        <v>1310</v>
      </c>
      <c r="L1238" t="s">
        <v>31</v>
      </c>
      <c r="M1238">
        <v>72.359737478925055</v>
      </c>
    </row>
    <row r="1239" spans="1:13" hidden="1" x14ac:dyDescent="0.3">
      <c r="A1239" t="s">
        <v>400</v>
      </c>
      <c r="B1239" t="s">
        <v>39</v>
      </c>
      <c r="C1239" t="s">
        <v>157</v>
      </c>
      <c r="D1239">
        <v>2013</v>
      </c>
      <c r="E1239" t="s">
        <v>31</v>
      </c>
      <c r="F1239" t="s">
        <v>109</v>
      </c>
      <c r="G1239" t="s">
        <v>31</v>
      </c>
      <c r="H1239" t="s">
        <v>27</v>
      </c>
      <c r="I1239" t="s">
        <v>27</v>
      </c>
      <c r="J1239" t="s">
        <v>27</v>
      </c>
      <c r="K1239">
        <v>3165</v>
      </c>
      <c r="L1239" t="s">
        <v>31</v>
      </c>
      <c r="M1239">
        <v>72.359737478925055</v>
      </c>
    </row>
    <row r="1240" spans="1:13" hidden="1" x14ac:dyDescent="0.3">
      <c r="A1240" t="s">
        <v>401</v>
      </c>
      <c r="B1240" t="s">
        <v>51</v>
      </c>
      <c r="C1240" t="s">
        <v>121</v>
      </c>
      <c r="D1240">
        <v>2013</v>
      </c>
      <c r="E1240" t="s">
        <v>31</v>
      </c>
      <c r="F1240" t="s">
        <v>53</v>
      </c>
      <c r="G1240" t="s">
        <v>402</v>
      </c>
      <c r="H1240" t="s">
        <v>27</v>
      </c>
      <c r="I1240" t="s">
        <v>27</v>
      </c>
      <c r="J1240" t="s">
        <v>27</v>
      </c>
      <c r="K1240">
        <v>355</v>
      </c>
      <c r="L1240" t="s">
        <v>31</v>
      </c>
      <c r="M1240">
        <v>72.359737478925055</v>
      </c>
    </row>
    <row r="1241" spans="1:13" hidden="1" x14ac:dyDescent="0.3">
      <c r="A1241" t="s">
        <v>403</v>
      </c>
      <c r="B1241" t="s">
        <v>28</v>
      </c>
      <c r="C1241" t="s">
        <v>99</v>
      </c>
      <c r="D1241">
        <v>2013</v>
      </c>
      <c r="E1241">
        <v>2000</v>
      </c>
      <c r="F1241" t="s">
        <v>130</v>
      </c>
      <c r="G1241" t="s">
        <v>31</v>
      </c>
      <c r="H1241" t="s">
        <v>27</v>
      </c>
      <c r="I1241" t="s">
        <v>27</v>
      </c>
      <c r="J1241" t="s">
        <v>27</v>
      </c>
      <c r="K1241">
        <v>12</v>
      </c>
      <c r="L1241">
        <v>2764</v>
      </c>
      <c r="M1241">
        <v>72.359737478925055</v>
      </c>
    </row>
    <row r="1242" spans="1:13" hidden="1" x14ac:dyDescent="0.3">
      <c r="A1242" t="s">
        <v>404</v>
      </c>
      <c r="B1242" t="s">
        <v>51</v>
      </c>
      <c r="C1242" t="s">
        <v>121</v>
      </c>
      <c r="D1242">
        <v>2013</v>
      </c>
      <c r="E1242" t="s">
        <v>31</v>
      </c>
      <c r="F1242" t="s">
        <v>111</v>
      </c>
      <c r="G1242" t="s">
        <v>405</v>
      </c>
      <c r="H1242" t="s">
        <v>27</v>
      </c>
      <c r="I1242" t="s">
        <v>27</v>
      </c>
      <c r="J1242" t="s">
        <v>33</v>
      </c>
      <c r="K1242">
        <v>338995</v>
      </c>
      <c r="L1242" t="s">
        <v>31</v>
      </c>
      <c r="M1242">
        <v>72.359737478925055</v>
      </c>
    </row>
    <row r="1243" spans="1:13" hidden="1" x14ac:dyDescent="0.3">
      <c r="A1243" t="s">
        <v>406</v>
      </c>
      <c r="B1243" t="s">
        <v>43</v>
      </c>
      <c r="C1243" t="s">
        <v>114</v>
      </c>
      <c r="D1243">
        <v>2013</v>
      </c>
      <c r="E1243" t="s">
        <v>31</v>
      </c>
      <c r="F1243" t="s">
        <v>161</v>
      </c>
      <c r="G1243" t="s">
        <v>31</v>
      </c>
      <c r="H1243" t="s">
        <v>27</v>
      </c>
      <c r="I1243" t="s">
        <v>27</v>
      </c>
      <c r="J1243" t="s">
        <v>27</v>
      </c>
      <c r="K1243">
        <v>12000</v>
      </c>
      <c r="L1243" t="s">
        <v>31</v>
      </c>
      <c r="M1243">
        <v>72.359737478925055</v>
      </c>
    </row>
    <row r="1244" spans="1:13" hidden="1" x14ac:dyDescent="0.3">
      <c r="A1244" t="s">
        <v>407</v>
      </c>
      <c r="B1244" t="s">
        <v>28</v>
      </c>
      <c r="C1244" t="s">
        <v>278</v>
      </c>
      <c r="D1244">
        <v>2013</v>
      </c>
      <c r="E1244">
        <v>200000</v>
      </c>
      <c r="F1244" t="s">
        <v>34</v>
      </c>
      <c r="G1244" t="s">
        <v>31</v>
      </c>
      <c r="H1244" t="s">
        <v>27</v>
      </c>
      <c r="I1244" t="s">
        <v>27</v>
      </c>
      <c r="J1244" t="s">
        <v>27</v>
      </c>
      <c r="K1244" t="s">
        <v>31</v>
      </c>
      <c r="L1244">
        <v>276397</v>
      </c>
      <c r="M1244">
        <v>72.359737478925055</v>
      </c>
    </row>
    <row r="1245" spans="1:13" hidden="1" x14ac:dyDescent="0.3">
      <c r="A1245" t="s">
        <v>408</v>
      </c>
      <c r="B1245" t="s">
        <v>28</v>
      </c>
      <c r="C1245" t="s">
        <v>278</v>
      </c>
      <c r="D1245">
        <v>2013</v>
      </c>
      <c r="E1245">
        <v>200000</v>
      </c>
      <c r="F1245" t="s">
        <v>77</v>
      </c>
      <c r="G1245" t="s">
        <v>31</v>
      </c>
      <c r="H1245" t="s">
        <v>27</v>
      </c>
      <c r="I1245" t="s">
        <v>27</v>
      </c>
      <c r="J1245" t="s">
        <v>27</v>
      </c>
      <c r="K1245" t="s">
        <v>31</v>
      </c>
      <c r="L1245">
        <v>276397</v>
      </c>
      <c r="M1245">
        <v>72.359737478925055</v>
      </c>
    </row>
    <row r="1246" spans="1:13" hidden="1" x14ac:dyDescent="0.3">
      <c r="A1246" t="s">
        <v>409</v>
      </c>
      <c r="B1246" t="s">
        <v>28</v>
      </c>
      <c r="C1246" t="s">
        <v>67</v>
      </c>
      <c r="D1246">
        <v>2013</v>
      </c>
      <c r="E1246">
        <v>2000</v>
      </c>
      <c r="F1246" t="s">
        <v>34</v>
      </c>
      <c r="G1246" t="s">
        <v>37</v>
      </c>
      <c r="H1246" t="s">
        <v>27</v>
      </c>
      <c r="I1246" t="s">
        <v>27</v>
      </c>
      <c r="J1246" t="s">
        <v>27</v>
      </c>
      <c r="K1246" t="s">
        <v>31</v>
      </c>
      <c r="L1246">
        <v>2764</v>
      </c>
      <c r="M1246">
        <v>72.359737478925055</v>
      </c>
    </row>
    <row r="1247" spans="1:13" hidden="1" x14ac:dyDescent="0.3">
      <c r="A1247" t="s">
        <v>410</v>
      </c>
      <c r="B1247" t="s">
        <v>51</v>
      </c>
      <c r="C1247" t="s">
        <v>121</v>
      </c>
      <c r="D1247">
        <v>2013</v>
      </c>
      <c r="E1247" t="s">
        <v>31</v>
      </c>
      <c r="F1247" t="s">
        <v>73</v>
      </c>
      <c r="G1247" t="s">
        <v>54</v>
      </c>
      <c r="H1247" t="s">
        <v>27</v>
      </c>
      <c r="I1247" t="s">
        <v>27</v>
      </c>
      <c r="J1247" t="s">
        <v>27</v>
      </c>
      <c r="K1247" t="s">
        <v>31</v>
      </c>
      <c r="L1247" t="s">
        <v>31</v>
      </c>
      <c r="M1247">
        <v>72.359737478925055</v>
      </c>
    </row>
    <row r="1248" spans="1:13" hidden="1" x14ac:dyDescent="0.3">
      <c r="A1248" t="s">
        <v>411</v>
      </c>
      <c r="B1248" t="s">
        <v>51</v>
      </c>
      <c r="C1248" t="s">
        <v>121</v>
      </c>
      <c r="D1248">
        <v>2013</v>
      </c>
      <c r="E1248" t="s">
        <v>31</v>
      </c>
      <c r="F1248" t="s">
        <v>45</v>
      </c>
      <c r="G1248" t="s">
        <v>31</v>
      </c>
      <c r="H1248" t="s">
        <v>27</v>
      </c>
      <c r="I1248" t="s">
        <v>27</v>
      </c>
      <c r="J1248" t="s">
        <v>27</v>
      </c>
      <c r="K1248">
        <v>33265</v>
      </c>
      <c r="L1248" t="s">
        <v>31</v>
      </c>
      <c r="M1248">
        <v>72.359737478925055</v>
      </c>
    </row>
    <row r="1249" spans="1:13" hidden="1" x14ac:dyDescent="0.3">
      <c r="A1249" t="s">
        <v>412</v>
      </c>
      <c r="B1249" t="s">
        <v>28</v>
      </c>
      <c r="C1249" t="s">
        <v>30</v>
      </c>
      <c r="D1249">
        <v>2013</v>
      </c>
      <c r="E1249" t="s">
        <v>31</v>
      </c>
      <c r="F1249" t="s">
        <v>73</v>
      </c>
      <c r="G1249" t="s">
        <v>31</v>
      </c>
      <c r="H1249" t="s">
        <v>27</v>
      </c>
      <c r="I1249" t="s">
        <v>27</v>
      </c>
      <c r="J1249" t="s">
        <v>27</v>
      </c>
      <c r="K1249">
        <v>12000</v>
      </c>
      <c r="L1249" t="s">
        <v>31</v>
      </c>
      <c r="M1249">
        <v>72.359737478925055</v>
      </c>
    </row>
    <row r="1250" spans="1:13" hidden="1" x14ac:dyDescent="0.3">
      <c r="A1250" t="s">
        <v>1098</v>
      </c>
      <c r="B1250" t="s">
        <v>28</v>
      </c>
      <c r="C1250" t="s">
        <v>64</v>
      </c>
      <c r="D1250">
        <v>2013</v>
      </c>
      <c r="E1250">
        <v>1600000</v>
      </c>
      <c r="F1250" t="s">
        <v>34</v>
      </c>
      <c r="G1250" t="s">
        <v>31</v>
      </c>
      <c r="H1250" t="s">
        <v>27</v>
      </c>
      <c r="I1250" t="s">
        <v>27</v>
      </c>
      <c r="J1250" t="s">
        <v>27</v>
      </c>
      <c r="K1250" t="s">
        <v>31</v>
      </c>
      <c r="L1250">
        <v>2211174</v>
      </c>
      <c r="M1250">
        <v>72.359737478925055</v>
      </c>
    </row>
    <row r="1251" spans="1:13" hidden="1" x14ac:dyDescent="0.3">
      <c r="A1251" t="s">
        <v>1099</v>
      </c>
      <c r="B1251" t="s">
        <v>28</v>
      </c>
      <c r="C1251" t="s">
        <v>64</v>
      </c>
      <c r="D1251">
        <v>2013</v>
      </c>
      <c r="E1251">
        <v>1100000</v>
      </c>
      <c r="F1251" t="s">
        <v>34</v>
      </c>
      <c r="G1251" t="s">
        <v>37</v>
      </c>
      <c r="H1251" t="s">
        <v>27</v>
      </c>
      <c r="I1251" t="s">
        <v>27</v>
      </c>
      <c r="J1251" t="s">
        <v>27</v>
      </c>
      <c r="K1251" t="s">
        <v>31</v>
      </c>
      <c r="L1251">
        <v>1520182</v>
      </c>
      <c r="M1251">
        <v>72.359737478925055</v>
      </c>
    </row>
    <row r="1252" spans="1:13" hidden="1" x14ac:dyDescent="0.3">
      <c r="A1252" t="s">
        <v>1115</v>
      </c>
      <c r="B1252" t="s">
        <v>39</v>
      </c>
      <c r="C1252" t="s">
        <v>41</v>
      </c>
      <c r="D1252">
        <v>2013</v>
      </c>
      <c r="E1252">
        <v>2000</v>
      </c>
      <c r="F1252" t="s">
        <v>34</v>
      </c>
      <c r="G1252" t="s">
        <v>31</v>
      </c>
      <c r="H1252" t="s">
        <v>27</v>
      </c>
      <c r="I1252" t="s">
        <v>27</v>
      </c>
      <c r="J1252" t="s">
        <v>27</v>
      </c>
      <c r="K1252">
        <v>387</v>
      </c>
      <c r="L1252">
        <v>2764</v>
      </c>
      <c r="M1252">
        <v>72.359737478925055</v>
      </c>
    </row>
    <row r="1253" spans="1:13" hidden="1" x14ac:dyDescent="0.3">
      <c r="A1253" t="s">
        <v>1116</v>
      </c>
      <c r="B1253" t="s">
        <v>51</v>
      </c>
      <c r="C1253" t="s">
        <v>121</v>
      </c>
      <c r="D1253">
        <v>2013</v>
      </c>
      <c r="E1253">
        <v>2000</v>
      </c>
      <c r="F1253" t="s">
        <v>34</v>
      </c>
      <c r="G1253" t="s">
        <v>31</v>
      </c>
      <c r="H1253" t="s">
        <v>27</v>
      </c>
      <c r="I1253" t="s">
        <v>27</v>
      </c>
      <c r="J1253" t="s">
        <v>27</v>
      </c>
      <c r="K1253">
        <v>300</v>
      </c>
      <c r="L1253">
        <v>2764</v>
      </c>
      <c r="M1253">
        <v>72.359737478925055</v>
      </c>
    </row>
    <row r="1254" spans="1:13" x14ac:dyDescent="0.3">
      <c r="D1254" s="2" t="s">
        <v>2571</v>
      </c>
      <c r="E1254" s="2">
        <f>SUM(E1172)</f>
        <v>171000</v>
      </c>
    </row>
    <row r="1255" spans="1:13" x14ac:dyDescent="0.3">
      <c r="A1255" t="s">
        <v>1123</v>
      </c>
      <c r="B1255" t="s">
        <v>51</v>
      </c>
      <c r="C1255" t="s">
        <v>121</v>
      </c>
      <c r="D1255">
        <v>2013</v>
      </c>
      <c r="E1255">
        <v>2000</v>
      </c>
      <c r="F1255" t="s">
        <v>119</v>
      </c>
      <c r="G1255" t="s">
        <v>54</v>
      </c>
      <c r="H1255" t="s">
        <v>27</v>
      </c>
      <c r="I1255" t="s">
        <v>27</v>
      </c>
      <c r="J1255" t="s">
        <v>27</v>
      </c>
      <c r="K1255">
        <v>200000</v>
      </c>
      <c r="L1255">
        <v>2764</v>
      </c>
      <c r="M1255">
        <v>72.359737478925055</v>
      </c>
    </row>
    <row r="1256" spans="1:13" hidden="1" x14ac:dyDescent="0.3">
      <c r="A1256" t="s">
        <v>1124</v>
      </c>
      <c r="B1256" t="s">
        <v>51</v>
      </c>
      <c r="C1256" t="s">
        <v>134</v>
      </c>
      <c r="D1256">
        <v>2013</v>
      </c>
      <c r="E1256" t="s">
        <v>31</v>
      </c>
      <c r="F1256" t="s">
        <v>109</v>
      </c>
      <c r="G1256" t="s">
        <v>31</v>
      </c>
      <c r="H1256" t="s">
        <v>27</v>
      </c>
      <c r="I1256" t="s">
        <v>27</v>
      </c>
      <c r="J1256" t="s">
        <v>27</v>
      </c>
      <c r="K1256" t="s">
        <v>31</v>
      </c>
      <c r="L1256" t="s">
        <v>31</v>
      </c>
      <c r="M1256">
        <v>72.359737478925055</v>
      </c>
    </row>
    <row r="1257" spans="1:13" hidden="1" x14ac:dyDescent="0.3">
      <c r="A1257" t="s">
        <v>1125</v>
      </c>
      <c r="B1257" t="s">
        <v>91</v>
      </c>
      <c r="C1257" t="s">
        <v>93</v>
      </c>
      <c r="D1257">
        <v>2013</v>
      </c>
      <c r="E1257">
        <v>4000</v>
      </c>
      <c r="F1257" t="s">
        <v>47</v>
      </c>
      <c r="G1257" t="s">
        <v>31</v>
      </c>
      <c r="H1257" t="s">
        <v>27</v>
      </c>
      <c r="I1257" t="s">
        <v>27</v>
      </c>
      <c r="J1257" t="s">
        <v>27</v>
      </c>
      <c r="K1257">
        <v>10015</v>
      </c>
      <c r="L1257">
        <v>5528</v>
      </c>
      <c r="M1257">
        <v>72.359737478925055</v>
      </c>
    </row>
    <row r="1258" spans="1:13" hidden="1" x14ac:dyDescent="0.3">
      <c r="A1258" t="s">
        <v>1126</v>
      </c>
      <c r="B1258" t="s">
        <v>28</v>
      </c>
      <c r="C1258" t="s">
        <v>97</v>
      </c>
      <c r="D1258">
        <v>2013</v>
      </c>
      <c r="E1258">
        <v>3100000</v>
      </c>
      <c r="F1258" t="s">
        <v>34</v>
      </c>
      <c r="G1258" t="s">
        <v>65</v>
      </c>
      <c r="H1258" t="s">
        <v>27</v>
      </c>
      <c r="I1258" t="s">
        <v>27</v>
      </c>
      <c r="J1258" t="s">
        <v>33</v>
      </c>
      <c r="K1258">
        <v>450</v>
      </c>
      <c r="L1258">
        <v>4284150</v>
      </c>
      <c r="M1258">
        <v>72.359737478925055</v>
      </c>
    </row>
    <row r="1259" spans="1:13" hidden="1" x14ac:dyDescent="0.3">
      <c r="A1259" t="s">
        <v>1127</v>
      </c>
      <c r="B1259" t="s">
        <v>28</v>
      </c>
      <c r="C1259" t="s">
        <v>97</v>
      </c>
      <c r="D1259">
        <v>2013</v>
      </c>
      <c r="E1259">
        <v>2100000</v>
      </c>
      <c r="F1259" t="s">
        <v>34</v>
      </c>
      <c r="G1259" t="s">
        <v>31</v>
      </c>
      <c r="H1259" t="s">
        <v>27</v>
      </c>
      <c r="I1259" t="s">
        <v>27</v>
      </c>
      <c r="J1259" t="s">
        <v>27</v>
      </c>
      <c r="K1259">
        <v>170150</v>
      </c>
      <c r="L1259">
        <v>2902166</v>
      </c>
      <c r="M1259">
        <v>72.359737478925055</v>
      </c>
    </row>
    <row r="1260" spans="1:13" hidden="1" x14ac:dyDescent="0.3">
      <c r="A1260" t="s">
        <v>1128</v>
      </c>
      <c r="B1260" t="s">
        <v>51</v>
      </c>
      <c r="C1260" t="s">
        <v>121</v>
      </c>
      <c r="D1260">
        <v>2013</v>
      </c>
      <c r="E1260" t="s">
        <v>31</v>
      </c>
      <c r="F1260" t="s">
        <v>117</v>
      </c>
      <c r="G1260" t="s">
        <v>31</v>
      </c>
      <c r="H1260" t="s">
        <v>33</v>
      </c>
      <c r="I1260" t="s">
        <v>27</v>
      </c>
      <c r="J1260" t="s">
        <v>33</v>
      </c>
      <c r="K1260">
        <v>61400</v>
      </c>
      <c r="L1260" t="s">
        <v>31</v>
      </c>
      <c r="M1260">
        <v>72.359737478925055</v>
      </c>
    </row>
    <row r="1261" spans="1:13" hidden="1" x14ac:dyDescent="0.3">
      <c r="A1261" t="s">
        <v>1129</v>
      </c>
      <c r="B1261" t="s">
        <v>51</v>
      </c>
      <c r="C1261" t="s">
        <v>121</v>
      </c>
      <c r="D1261">
        <v>2013</v>
      </c>
      <c r="E1261">
        <v>25000</v>
      </c>
      <c r="F1261" t="s">
        <v>34</v>
      </c>
      <c r="G1261" t="s">
        <v>31</v>
      </c>
      <c r="H1261" t="s">
        <v>27</v>
      </c>
      <c r="I1261" t="s">
        <v>27</v>
      </c>
      <c r="J1261" t="s">
        <v>27</v>
      </c>
      <c r="K1261">
        <v>1425</v>
      </c>
      <c r="L1261">
        <v>34550</v>
      </c>
      <c r="M1261">
        <v>72.359737478925055</v>
      </c>
    </row>
    <row r="1262" spans="1:13" hidden="1" x14ac:dyDescent="0.3">
      <c r="A1262" t="s">
        <v>1130</v>
      </c>
      <c r="B1262" t="s">
        <v>28</v>
      </c>
      <c r="C1262" t="s">
        <v>30</v>
      </c>
      <c r="D1262">
        <v>2013</v>
      </c>
      <c r="E1262">
        <v>2000</v>
      </c>
      <c r="F1262" t="s">
        <v>73</v>
      </c>
      <c r="G1262" t="s">
        <v>82</v>
      </c>
      <c r="H1262" t="s">
        <v>27</v>
      </c>
      <c r="I1262" t="s">
        <v>27</v>
      </c>
      <c r="J1262" t="s">
        <v>33</v>
      </c>
      <c r="K1262">
        <v>5000</v>
      </c>
      <c r="L1262">
        <v>2764</v>
      </c>
      <c r="M1262">
        <v>72.359737478925055</v>
      </c>
    </row>
    <row r="1263" spans="1:13" hidden="1" x14ac:dyDescent="0.3">
      <c r="A1263" t="s">
        <v>1131</v>
      </c>
      <c r="B1263" t="s">
        <v>91</v>
      </c>
      <c r="C1263" t="s">
        <v>105</v>
      </c>
      <c r="D1263">
        <v>2013</v>
      </c>
      <c r="E1263" t="s">
        <v>31</v>
      </c>
      <c r="F1263" t="s">
        <v>53</v>
      </c>
      <c r="G1263" t="s">
        <v>31</v>
      </c>
      <c r="H1263" t="s">
        <v>27</v>
      </c>
      <c r="I1263" t="s">
        <v>27</v>
      </c>
      <c r="J1263" t="s">
        <v>33</v>
      </c>
      <c r="K1263">
        <v>1040</v>
      </c>
      <c r="L1263" t="s">
        <v>31</v>
      </c>
      <c r="M1263">
        <v>72.359737478925055</v>
      </c>
    </row>
    <row r="1264" spans="1:13" hidden="1" x14ac:dyDescent="0.3">
      <c r="A1264" t="s">
        <v>1132</v>
      </c>
      <c r="B1264" t="s">
        <v>28</v>
      </c>
      <c r="C1264" t="s">
        <v>30</v>
      </c>
      <c r="D1264">
        <v>2013</v>
      </c>
      <c r="E1264">
        <v>4200000</v>
      </c>
      <c r="F1264" t="s">
        <v>73</v>
      </c>
      <c r="G1264" t="s">
        <v>82</v>
      </c>
      <c r="H1264" t="s">
        <v>33</v>
      </c>
      <c r="I1264" t="s">
        <v>27</v>
      </c>
      <c r="J1264" t="s">
        <v>33</v>
      </c>
      <c r="K1264">
        <v>105000</v>
      </c>
      <c r="L1264">
        <v>5804333</v>
      </c>
      <c r="M1264">
        <v>72.359737478925055</v>
      </c>
    </row>
    <row r="1265" spans="1:13" hidden="1" x14ac:dyDescent="0.3">
      <c r="A1265" t="s">
        <v>1133</v>
      </c>
      <c r="B1265" t="s">
        <v>43</v>
      </c>
      <c r="C1265" t="s">
        <v>114</v>
      </c>
      <c r="D1265">
        <v>2013</v>
      </c>
      <c r="E1265" t="s">
        <v>31</v>
      </c>
      <c r="F1265" t="s">
        <v>49</v>
      </c>
      <c r="G1265" t="s">
        <v>31</v>
      </c>
      <c r="H1265" t="s">
        <v>27</v>
      </c>
      <c r="I1265" t="s">
        <v>27</v>
      </c>
      <c r="J1265" t="s">
        <v>27</v>
      </c>
      <c r="K1265">
        <v>34128</v>
      </c>
      <c r="L1265" t="s">
        <v>31</v>
      </c>
      <c r="M1265">
        <v>72.359737478925055</v>
      </c>
    </row>
    <row r="1266" spans="1:13" hidden="1" x14ac:dyDescent="0.3">
      <c r="A1266" t="s">
        <v>1134</v>
      </c>
      <c r="B1266" t="s">
        <v>51</v>
      </c>
      <c r="C1266" t="s">
        <v>134</v>
      </c>
      <c r="D1266">
        <v>2013</v>
      </c>
      <c r="E1266" t="s">
        <v>31</v>
      </c>
      <c r="F1266" t="s">
        <v>111</v>
      </c>
      <c r="G1266" t="s">
        <v>31</v>
      </c>
      <c r="H1266" t="s">
        <v>27</v>
      </c>
      <c r="I1266" t="s">
        <v>27</v>
      </c>
      <c r="J1266" t="s">
        <v>27</v>
      </c>
      <c r="K1266">
        <v>29</v>
      </c>
      <c r="L1266" t="s">
        <v>31</v>
      </c>
      <c r="M1266">
        <v>72.359737478925055</v>
      </c>
    </row>
    <row r="1267" spans="1:13" hidden="1" x14ac:dyDescent="0.3">
      <c r="A1267" t="s">
        <v>1135</v>
      </c>
      <c r="B1267" t="s">
        <v>51</v>
      </c>
      <c r="C1267" t="s">
        <v>121</v>
      </c>
      <c r="D1267">
        <v>2013</v>
      </c>
      <c r="E1267" t="s">
        <v>31</v>
      </c>
      <c r="F1267" t="s">
        <v>242</v>
      </c>
      <c r="G1267" t="s">
        <v>31</v>
      </c>
      <c r="H1267" t="s">
        <v>27</v>
      </c>
      <c r="I1267" t="s">
        <v>27</v>
      </c>
      <c r="J1267" t="s">
        <v>27</v>
      </c>
      <c r="K1267">
        <v>227</v>
      </c>
      <c r="L1267" t="s">
        <v>31</v>
      </c>
      <c r="M1267">
        <v>72.359737478925055</v>
      </c>
    </row>
    <row r="1268" spans="1:13" hidden="1" x14ac:dyDescent="0.3">
      <c r="A1268" t="s">
        <v>1136</v>
      </c>
      <c r="B1268" t="s">
        <v>28</v>
      </c>
      <c r="C1268" t="s">
        <v>30</v>
      </c>
      <c r="D1268">
        <v>2013</v>
      </c>
      <c r="E1268">
        <v>1500000</v>
      </c>
      <c r="F1268" t="s">
        <v>73</v>
      </c>
      <c r="G1268" t="s">
        <v>82</v>
      </c>
      <c r="H1268" t="s">
        <v>27</v>
      </c>
      <c r="I1268" t="s">
        <v>27</v>
      </c>
      <c r="J1268" t="s">
        <v>27</v>
      </c>
      <c r="K1268">
        <v>50000</v>
      </c>
      <c r="L1268">
        <v>2072976</v>
      </c>
      <c r="M1268">
        <v>72.359737478925055</v>
      </c>
    </row>
    <row r="1269" spans="1:13" hidden="1" x14ac:dyDescent="0.3">
      <c r="A1269" t="s">
        <v>1137</v>
      </c>
      <c r="B1269" t="s">
        <v>51</v>
      </c>
      <c r="C1269" t="s">
        <v>121</v>
      </c>
      <c r="D1269">
        <v>2013</v>
      </c>
      <c r="E1269">
        <v>2000</v>
      </c>
      <c r="F1269" t="s">
        <v>47</v>
      </c>
      <c r="G1269" t="s">
        <v>155</v>
      </c>
      <c r="H1269" t="s">
        <v>27</v>
      </c>
      <c r="I1269" t="s">
        <v>27</v>
      </c>
      <c r="J1269" t="s">
        <v>27</v>
      </c>
      <c r="K1269">
        <v>51781</v>
      </c>
      <c r="L1269">
        <v>2764</v>
      </c>
      <c r="M1269">
        <v>72.359737478925055</v>
      </c>
    </row>
    <row r="1270" spans="1:13" hidden="1" x14ac:dyDescent="0.3">
      <c r="A1270" t="s">
        <v>1138</v>
      </c>
      <c r="B1270" t="s">
        <v>51</v>
      </c>
      <c r="C1270" t="s">
        <v>121</v>
      </c>
      <c r="D1270">
        <v>2013</v>
      </c>
      <c r="E1270" t="s">
        <v>31</v>
      </c>
      <c r="F1270" t="s">
        <v>246</v>
      </c>
      <c r="G1270" t="s">
        <v>82</v>
      </c>
      <c r="H1270" t="s">
        <v>27</v>
      </c>
      <c r="I1270" t="s">
        <v>27</v>
      </c>
      <c r="J1270" t="s">
        <v>27</v>
      </c>
      <c r="K1270">
        <v>19984</v>
      </c>
      <c r="L1270" t="s">
        <v>31</v>
      </c>
      <c r="M1270">
        <v>72.359737478925055</v>
      </c>
    </row>
    <row r="1271" spans="1:13" hidden="1" x14ac:dyDescent="0.3">
      <c r="A1271" t="s">
        <v>1139</v>
      </c>
      <c r="B1271" t="s">
        <v>28</v>
      </c>
      <c r="C1271" t="s">
        <v>99</v>
      </c>
      <c r="D1271">
        <v>2013</v>
      </c>
      <c r="E1271">
        <v>1410000</v>
      </c>
      <c r="F1271" t="s">
        <v>77</v>
      </c>
      <c r="G1271" t="s">
        <v>37</v>
      </c>
      <c r="H1271" t="s">
        <v>27</v>
      </c>
      <c r="I1271" t="s">
        <v>27</v>
      </c>
      <c r="J1271" t="s">
        <v>27</v>
      </c>
      <c r="K1271" t="s">
        <v>31</v>
      </c>
      <c r="L1271">
        <v>1948597</v>
      </c>
      <c r="M1271">
        <v>72.359737478925055</v>
      </c>
    </row>
    <row r="1272" spans="1:13" x14ac:dyDescent="0.3">
      <c r="A1272" t="s">
        <v>1140</v>
      </c>
      <c r="B1272" t="s">
        <v>51</v>
      </c>
      <c r="C1272" t="s">
        <v>121</v>
      </c>
      <c r="D1272">
        <v>2013</v>
      </c>
      <c r="E1272">
        <v>2000</v>
      </c>
      <c r="F1272" t="s">
        <v>119</v>
      </c>
      <c r="G1272" t="s">
        <v>31</v>
      </c>
      <c r="H1272" t="s">
        <v>27</v>
      </c>
      <c r="I1272" t="s">
        <v>27</v>
      </c>
      <c r="J1272" t="s">
        <v>27</v>
      </c>
      <c r="K1272">
        <v>600</v>
      </c>
      <c r="L1272">
        <v>2764</v>
      </c>
      <c r="M1272">
        <v>72.359737478925055</v>
      </c>
    </row>
    <row r="1273" spans="1:13" hidden="1" x14ac:dyDescent="0.3">
      <c r="A1273" t="s">
        <v>1141</v>
      </c>
      <c r="B1273" t="s">
        <v>51</v>
      </c>
      <c r="C1273" t="s">
        <v>121</v>
      </c>
      <c r="D1273">
        <v>2013</v>
      </c>
      <c r="E1273" t="s">
        <v>31</v>
      </c>
      <c r="F1273" t="s">
        <v>119</v>
      </c>
      <c r="G1273" t="s">
        <v>54</v>
      </c>
      <c r="H1273" t="s">
        <v>27</v>
      </c>
      <c r="I1273" t="s">
        <v>27</v>
      </c>
      <c r="J1273" t="s">
        <v>33</v>
      </c>
      <c r="K1273">
        <v>2000</v>
      </c>
      <c r="L1273" t="s">
        <v>31</v>
      </c>
      <c r="M1273">
        <v>72.359737478925055</v>
      </c>
    </row>
    <row r="1274" spans="1:13" hidden="1" x14ac:dyDescent="0.3">
      <c r="A1274" t="s">
        <v>1142</v>
      </c>
      <c r="B1274" t="s">
        <v>51</v>
      </c>
      <c r="C1274" t="s">
        <v>121</v>
      </c>
      <c r="D1274">
        <v>2013</v>
      </c>
      <c r="E1274">
        <v>102</v>
      </c>
      <c r="F1274" t="s">
        <v>75</v>
      </c>
      <c r="G1274" t="s">
        <v>405</v>
      </c>
      <c r="H1274" t="s">
        <v>27</v>
      </c>
      <c r="I1274" t="s">
        <v>27</v>
      </c>
      <c r="J1274" t="s">
        <v>27</v>
      </c>
      <c r="K1274" t="s">
        <v>31</v>
      </c>
      <c r="L1274">
        <v>141</v>
      </c>
      <c r="M1274">
        <v>72.359737478925055</v>
      </c>
    </row>
    <row r="1275" spans="1:13" hidden="1" x14ac:dyDescent="0.3">
      <c r="A1275" t="s">
        <v>1143</v>
      </c>
      <c r="B1275" t="s">
        <v>51</v>
      </c>
      <c r="C1275" t="s">
        <v>121</v>
      </c>
      <c r="D1275">
        <v>2013</v>
      </c>
      <c r="E1275">
        <v>108000</v>
      </c>
      <c r="F1275" t="s">
        <v>148</v>
      </c>
      <c r="G1275" t="s">
        <v>405</v>
      </c>
      <c r="H1275" t="s">
        <v>33</v>
      </c>
      <c r="I1275" t="s">
        <v>27</v>
      </c>
      <c r="J1275" t="s">
        <v>27</v>
      </c>
      <c r="K1275">
        <v>17422</v>
      </c>
      <c r="L1275">
        <v>149254</v>
      </c>
      <c r="M1275">
        <v>72.359737478925055</v>
      </c>
    </row>
    <row r="1276" spans="1:13" x14ac:dyDescent="0.3">
      <c r="A1276" t="s">
        <v>1144</v>
      </c>
      <c r="B1276" t="s">
        <v>51</v>
      </c>
      <c r="C1276" t="s">
        <v>121</v>
      </c>
      <c r="D1276">
        <v>2013</v>
      </c>
      <c r="E1276">
        <v>540000</v>
      </c>
      <c r="F1276" t="s">
        <v>119</v>
      </c>
      <c r="G1276" t="s">
        <v>54</v>
      </c>
      <c r="H1276" t="s">
        <v>27</v>
      </c>
      <c r="I1276" t="s">
        <v>27</v>
      </c>
      <c r="J1276" t="s">
        <v>33</v>
      </c>
      <c r="K1276">
        <v>43300</v>
      </c>
      <c r="L1276">
        <v>746271</v>
      </c>
      <c r="M1276">
        <v>72.359737478925055</v>
      </c>
    </row>
    <row r="1277" spans="1:13" hidden="1" x14ac:dyDescent="0.3">
      <c r="A1277" t="s">
        <v>1145</v>
      </c>
      <c r="B1277" t="s">
        <v>39</v>
      </c>
      <c r="C1277" t="s">
        <v>157</v>
      </c>
      <c r="D1277">
        <v>2013</v>
      </c>
      <c r="E1277">
        <v>200000</v>
      </c>
      <c r="F1277" t="s">
        <v>166</v>
      </c>
      <c r="G1277" t="s">
        <v>31</v>
      </c>
      <c r="H1277" t="s">
        <v>27</v>
      </c>
      <c r="I1277" t="s">
        <v>27</v>
      </c>
      <c r="J1277" t="s">
        <v>33</v>
      </c>
      <c r="K1277" t="s">
        <v>31</v>
      </c>
      <c r="L1277">
        <v>276397</v>
      </c>
      <c r="M1277">
        <v>72.359737478925055</v>
      </c>
    </row>
    <row r="1278" spans="1:13" hidden="1" x14ac:dyDescent="0.3">
      <c r="A1278" t="s">
        <v>1718</v>
      </c>
      <c r="B1278" t="s">
        <v>28</v>
      </c>
      <c r="C1278" t="s">
        <v>67</v>
      </c>
      <c r="D1278">
        <v>2013</v>
      </c>
      <c r="E1278">
        <v>100000</v>
      </c>
      <c r="F1278" t="s">
        <v>34</v>
      </c>
      <c r="G1278" t="s">
        <v>37</v>
      </c>
      <c r="H1278" t="s">
        <v>27</v>
      </c>
      <c r="I1278" t="s">
        <v>27</v>
      </c>
      <c r="J1278" t="s">
        <v>33</v>
      </c>
      <c r="K1278" t="s">
        <v>31</v>
      </c>
      <c r="L1278">
        <v>138198</v>
      </c>
      <c r="M1278">
        <v>72.359737478925055</v>
      </c>
    </row>
    <row r="1279" spans="1:13" hidden="1" x14ac:dyDescent="0.3">
      <c r="A1279" t="s">
        <v>1719</v>
      </c>
      <c r="B1279" t="s">
        <v>28</v>
      </c>
      <c r="C1279" t="s">
        <v>67</v>
      </c>
      <c r="D1279">
        <v>2013</v>
      </c>
      <c r="E1279">
        <v>100000</v>
      </c>
      <c r="F1279" t="s">
        <v>34</v>
      </c>
      <c r="G1279" t="s">
        <v>31</v>
      </c>
      <c r="H1279" t="s">
        <v>27</v>
      </c>
      <c r="I1279" t="s">
        <v>27</v>
      </c>
      <c r="J1279" t="s">
        <v>27</v>
      </c>
      <c r="K1279">
        <v>4882</v>
      </c>
      <c r="L1279">
        <v>138198</v>
      </c>
      <c r="M1279">
        <v>72.359737478925055</v>
      </c>
    </row>
    <row r="1280" spans="1:13" hidden="1" x14ac:dyDescent="0.3">
      <c r="A1280" t="s">
        <v>1723</v>
      </c>
      <c r="B1280" t="s">
        <v>51</v>
      </c>
      <c r="C1280" t="s">
        <v>134</v>
      </c>
      <c r="D1280">
        <v>2013</v>
      </c>
      <c r="E1280" t="s">
        <v>31</v>
      </c>
      <c r="F1280" t="s">
        <v>109</v>
      </c>
      <c r="G1280" t="s">
        <v>31</v>
      </c>
      <c r="H1280" t="s">
        <v>27</v>
      </c>
      <c r="I1280" t="s">
        <v>27</v>
      </c>
      <c r="J1280" t="s">
        <v>27</v>
      </c>
      <c r="K1280" t="s">
        <v>31</v>
      </c>
      <c r="L1280" t="s">
        <v>31</v>
      </c>
      <c r="M1280">
        <v>72.359737478925055</v>
      </c>
    </row>
    <row r="1281" spans="1:13" hidden="1" x14ac:dyDescent="0.3">
      <c r="A1281" t="s">
        <v>1724</v>
      </c>
      <c r="B1281" t="s">
        <v>51</v>
      </c>
      <c r="C1281" t="s">
        <v>121</v>
      </c>
      <c r="D1281">
        <v>2013</v>
      </c>
      <c r="E1281" t="s">
        <v>31</v>
      </c>
      <c r="F1281" t="s">
        <v>53</v>
      </c>
      <c r="G1281" t="s">
        <v>31</v>
      </c>
      <c r="H1281" t="s">
        <v>27</v>
      </c>
      <c r="I1281" t="s">
        <v>27</v>
      </c>
      <c r="J1281" t="s">
        <v>27</v>
      </c>
      <c r="K1281">
        <v>180766</v>
      </c>
      <c r="L1281" t="s">
        <v>31</v>
      </c>
      <c r="M1281">
        <v>72.359737478925055</v>
      </c>
    </row>
    <row r="1282" spans="1:13" hidden="1" x14ac:dyDescent="0.3">
      <c r="A1282" t="s">
        <v>1725</v>
      </c>
      <c r="B1282" t="s">
        <v>43</v>
      </c>
      <c r="C1282" t="s">
        <v>114</v>
      </c>
      <c r="D1282">
        <v>2013</v>
      </c>
      <c r="E1282" t="s">
        <v>31</v>
      </c>
      <c r="F1282" t="s">
        <v>47</v>
      </c>
      <c r="G1282" t="s">
        <v>31</v>
      </c>
      <c r="H1282" t="s">
        <v>27</v>
      </c>
      <c r="I1282" t="s">
        <v>27</v>
      </c>
      <c r="J1282" t="s">
        <v>27</v>
      </c>
      <c r="K1282">
        <v>1171</v>
      </c>
      <c r="L1282" t="s">
        <v>31</v>
      </c>
      <c r="M1282">
        <v>72.359737478925055</v>
      </c>
    </row>
    <row r="1283" spans="1:13" hidden="1" x14ac:dyDescent="0.3">
      <c r="A1283" t="s">
        <v>1726</v>
      </c>
      <c r="B1283" t="s">
        <v>51</v>
      </c>
      <c r="C1283" t="s">
        <v>121</v>
      </c>
      <c r="D1283">
        <v>2013</v>
      </c>
      <c r="E1283">
        <v>1300000</v>
      </c>
      <c r="F1283" t="s">
        <v>130</v>
      </c>
      <c r="G1283" t="s">
        <v>31</v>
      </c>
      <c r="H1283" t="s">
        <v>27</v>
      </c>
      <c r="I1283" t="s">
        <v>27</v>
      </c>
      <c r="J1283" t="s">
        <v>27</v>
      </c>
      <c r="K1283">
        <v>350000</v>
      </c>
      <c r="L1283">
        <v>1796579</v>
      </c>
      <c r="M1283">
        <v>72.359737478925055</v>
      </c>
    </row>
    <row r="1284" spans="1:13" hidden="1" x14ac:dyDescent="0.3">
      <c r="A1284" t="s">
        <v>1727</v>
      </c>
      <c r="B1284" t="s">
        <v>51</v>
      </c>
      <c r="C1284" t="s">
        <v>121</v>
      </c>
      <c r="D1284">
        <v>2013</v>
      </c>
      <c r="E1284">
        <v>45000</v>
      </c>
      <c r="F1284" t="s">
        <v>102</v>
      </c>
      <c r="G1284" t="s">
        <v>302</v>
      </c>
      <c r="H1284" t="s">
        <v>27</v>
      </c>
      <c r="I1284" t="s">
        <v>27</v>
      </c>
      <c r="J1284" t="s">
        <v>27</v>
      </c>
      <c r="K1284">
        <v>1000</v>
      </c>
      <c r="L1284">
        <v>62189</v>
      </c>
      <c r="M1284">
        <v>72.359737478925055</v>
      </c>
    </row>
    <row r="1285" spans="1:13" hidden="1" x14ac:dyDescent="0.3">
      <c r="A1285" t="s">
        <v>1728</v>
      </c>
      <c r="B1285" t="s">
        <v>51</v>
      </c>
      <c r="C1285" t="s">
        <v>121</v>
      </c>
      <c r="D1285">
        <v>2013</v>
      </c>
      <c r="E1285">
        <v>5700000</v>
      </c>
      <c r="F1285" t="s">
        <v>77</v>
      </c>
      <c r="G1285" t="s">
        <v>31</v>
      </c>
      <c r="H1285" t="s">
        <v>27</v>
      </c>
      <c r="I1285" t="s">
        <v>27</v>
      </c>
      <c r="J1285" t="s">
        <v>33</v>
      </c>
      <c r="K1285">
        <v>100000</v>
      </c>
      <c r="L1285">
        <v>7877309</v>
      </c>
      <c r="M1285">
        <v>72.359737478925055</v>
      </c>
    </row>
    <row r="1286" spans="1:13" hidden="1" x14ac:dyDescent="0.3">
      <c r="A1286" t="s">
        <v>1729</v>
      </c>
      <c r="B1286" t="s">
        <v>39</v>
      </c>
      <c r="C1286" t="s">
        <v>41</v>
      </c>
      <c r="D1286">
        <v>2013</v>
      </c>
      <c r="E1286">
        <v>21400</v>
      </c>
      <c r="F1286" t="s">
        <v>34</v>
      </c>
      <c r="G1286" t="s">
        <v>31</v>
      </c>
      <c r="H1286" t="s">
        <v>27</v>
      </c>
      <c r="I1286" t="s">
        <v>27</v>
      </c>
      <c r="J1286" t="s">
        <v>27</v>
      </c>
      <c r="K1286">
        <v>110</v>
      </c>
      <c r="L1286">
        <v>29574</v>
      </c>
      <c r="M1286">
        <v>72.359737478925055</v>
      </c>
    </row>
    <row r="1287" spans="1:13" hidden="1" x14ac:dyDescent="0.3">
      <c r="A1287" t="s">
        <v>1730</v>
      </c>
      <c r="B1287" t="s">
        <v>28</v>
      </c>
      <c r="C1287" t="s">
        <v>99</v>
      </c>
      <c r="D1287">
        <v>2013</v>
      </c>
      <c r="E1287">
        <v>900000</v>
      </c>
      <c r="F1287" t="s">
        <v>34</v>
      </c>
      <c r="G1287" t="s">
        <v>31</v>
      </c>
      <c r="H1287" t="s">
        <v>27</v>
      </c>
      <c r="I1287" t="s">
        <v>27</v>
      </c>
      <c r="J1287" t="s">
        <v>27</v>
      </c>
      <c r="K1287" t="s">
        <v>31</v>
      </c>
      <c r="L1287">
        <v>1243786</v>
      </c>
      <c r="M1287">
        <v>72.359737478925055</v>
      </c>
    </row>
    <row r="1288" spans="1:13" hidden="1" x14ac:dyDescent="0.3">
      <c r="A1288" t="s">
        <v>1731</v>
      </c>
      <c r="B1288" t="s">
        <v>51</v>
      </c>
      <c r="C1288" t="s">
        <v>121</v>
      </c>
      <c r="D1288">
        <v>2013</v>
      </c>
      <c r="E1288">
        <v>325000</v>
      </c>
      <c r="F1288" t="s">
        <v>34</v>
      </c>
      <c r="G1288" t="s">
        <v>31</v>
      </c>
      <c r="H1288" t="s">
        <v>27</v>
      </c>
      <c r="I1288" t="s">
        <v>27</v>
      </c>
      <c r="J1288" t="s">
        <v>27</v>
      </c>
      <c r="K1288">
        <v>300</v>
      </c>
      <c r="L1288">
        <v>449145</v>
      </c>
      <c r="M1288">
        <v>72.359737478925055</v>
      </c>
    </row>
    <row r="1289" spans="1:13" hidden="1" x14ac:dyDescent="0.3">
      <c r="A1289" t="s">
        <v>1732</v>
      </c>
      <c r="B1289" t="s">
        <v>39</v>
      </c>
      <c r="C1289" t="s">
        <v>142</v>
      </c>
      <c r="D1289">
        <v>2013</v>
      </c>
      <c r="E1289">
        <v>175000</v>
      </c>
      <c r="F1289" t="s">
        <v>34</v>
      </c>
      <c r="G1289" t="s">
        <v>31</v>
      </c>
      <c r="H1289" t="s">
        <v>27</v>
      </c>
      <c r="I1289" t="s">
        <v>27</v>
      </c>
      <c r="J1289" t="s">
        <v>33</v>
      </c>
      <c r="K1289">
        <v>36</v>
      </c>
      <c r="L1289">
        <v>241847</v>
      </c>
      <c r="M1289">
        <v>72.359737478925055</v>
      </c>
    </row>
    <row r="1290" spans="1:13" hidden="1" x14ac:dyDescent="0.3">
      <c r="A1290" t="s">
        <v>1733</v>
      </c>
      <c r="B1290" t="s">
        <v>28</v>
      </c>
      <c r="C1290" t="s">
        <v>99</v>
      </c>
      <c r="D1290">
        <v>2013</v>
      </c>
      <c r="E1290">
        <v>300000</v>
      </c>
      <c r="F1290" t="s">
        <v>34</v>
      </c>
      <c r="G1290" t="s">
        <v>100</v>
      </c>
      <c r="H1290" t="s">
        <v>27</v>
      </c>
      <c r="I1290" t="s">
        <v>27</v>
      </c>
      <c r="J1290" t="s">
        <v>27</v>
      </c>
      <c r="K1290" t="s">
        <v>31</v>
      </c>
      <c r="L1290">
        <v>414595</v>
      </c>
      <c r="M1290">
        <v>72.359737478925055</v>
      </c>
    </row>
    <row r="1291" spans="1:13" hidden="1" x14ac:dyDescent="0.3">
      <c r="A1291" t="s">
        <v>1734</v>
      </c>
      <c r="B1291" t="s">
        <v>28</v>
      </c>
      <c r="C1291" t="s">
        <v>278</v>
      </c>
      <c r="D1291">
        <v>2013</v>
      </c>
      <c r="E1291" t="s">
        <v>31</v>
      </c>
      <c r="F1291" t="s">
        <v>53</v>
      </c>
      <c r="G1291" t="s">
        <v>1735</v>
      </c>
      <c r="H1291" t="s">
        <v>27</v>
      </c>
      <c r="I1291" t="s">
        <v>27</v>
      </c>
      <c r="J1291" t="s">
        <v>33</v>
      </c>
      <c r="K1291">
        <v>92701</v>
      </c>
      <c r="L1291" t="s">
        <v>31</v>
      </c>
      <c r="M1291">
        <v>72.359737478925055</v>
      </c>
    </row>
    <row r="1292" spans="1:13" hidden="1" x14ac:dyDescent="0.3">
      <c r="A1292" t="s">
        <v>1736</v>
      </c>
      <c r="B1292" t="s">
        <v>28</v>
      </c>
      <c r="C1292" t="s">
        <v>95</v>
      </c>
      <c r="D1292">
        <v>2013</v>
      </c>
      <c r="E1292" t="s">
        <v>31</v>
      </c>
      <c r="F1292" t="s">
        <v>111</v>
      </c>
      <c r="G1292" t="s">
        <v>31</v>
      </c>
      <c r="H1292" t="s">
        <v>27</v>
      </c>
      <c r="I1292" t="s">
        <v>27</v>
      </c>
      <c r="J1292" t="s">
        <v>27</v>
      </c>
      <c r="K1292">
        <v>17490</v>
      </c>
      <c r="L1292" t="s">
        <v>31</v>
      </c>
      <c r="M1292">
        <v>72.359737478925055</v>
      </c>
    </row>
    <row r="1293" spans="1:13" hidden="1" x14ac:dyDescent="0.3">
      <c r="A1293" t="s">
        <v>1737</v>
      </c>
      <c r="B1293" t="s">
        <v>51</v>
      </c>
      <c r="C1293" t="s">
        <v>121</v>
      </c>
      <c r="D1293">
        <v>2013</v>
      </c>
      <c r="E1293" t="s">
        <v>31</v>
      </c>
      <c r="F1293" t="s">
        <v>81</v>
      </c>
      <c r="G1293" t="s">
        <v>31</v>
      </c>
      <c r="H1293" t="s">
        <v>27</v>
      </c>
      <c r="I1293" t="s">
        <v>27</v>
      </c>
      <c r="J1293" t="s">
        <v>27</v>
      </c>
      <c r="K1293">
        <v>14149</v>
      </c>
      <c r="L1293" t="s">
        <v>31</v>
      </c>
      <c r="M1293">
        <v>72.359737478925055</v>
      </c>
    </row>
    <row r="1294" spans="1:13" hidden="1" x14ac:dyDescent="0.3">
      <c r="A1294" t="s">
        <v>1738</v>
      </c>
      <c r="B1294" t="s">
        <v>91</v>
      </c>
      <c r="C1294" t="s">
        <v>93</v>
      </c>
      <c r="D1294">
        <v>2013</v>
      </c>
      <c r="E1294" t="s">
        <v>31</v>
      </c>
      <c r="F1294" t="s">
        <v>53</v>
      </c>
      <c r="G1294" t="s">
        <v>31</v>
      </c>
      <c r="H1294" t="s">
        <v>27</v>
      </c>
      <c r="I1294" t="s">
        <v>27</v>
      </c>
      <c r="J1294" t="s">
        <v>27</v>
      </c>
      <c r="K1294">
        <v>7084</v>
      </c>
      <c r="L1294" t="s">
        <v>31</v>
      </c>
      <c r="M1294">
        <v>72.359737478925055</v>
      </c>
    </row>
    <row r="1295" spans="1:13" hidden="1" x14ac:dyDescent="0.3">
      <c r="A1295" t="s">
        <v>1739</v>
      </c>
      <c r="B1295" t="s">
        <v>91</v>
      </c>
      <c r="C1295" t="s">
        <v>93</v>
      </c>
      <c r="D1295">
        <v>2013</v>
      </c>
      <c r="E1295">
        <v>2000</v>
      </c>
      <c r="F1295" t="s">
        <v>90</v>
      </c>
      <c r="G1295" t="s">
        <v>31</v>
      </c>
      <c r="H1295" t="s">
        <v>27</v>
      </c>
      <c r="I1295" t="s">
        <v>27</v>
      </c>
      <c r="J1295" t="s">
        <v>27</v>
      </c>
      <c r="K1295">
        <v>572</v>
      </c>
      <c r="L1295">
        <v>2764</v>
      </c>
      <c r="M1295">
        <v>72.359737478925055</v>
      </c>
    </row>
    <row r="1296" spans="1:13" hidden="1" x14ac:dyDescent="0.3">
      <c r="A1296" t="s">
        <v>1740</v>
      </c>
      <c r="B1296" t="s">
        <v>28</v>
      </c>
      <c r="C1296" t="s">
        <v>189</v>
      </c>
      <c r="D1296">
        <v>2013</v>
      </c>
      <c r="E1296">
        <v>90000</v>
      </c>
      <c r="F1296" t="s">
        <v>119</v>
      </c>
      <c r="G1296" t="s">
        <v>31</v>
      </c>
      <c r="H1296" t="s">
        <v>27</v>
      </c>
      <c r="I1296" t="s">
        <v>27</v>
      </c>
      <c r="J1296" t="s">
        <v>27</v>
      </c>
      <c r="K1296">
        <v>13864</v>
      </c>
      <c r="L1296">
        <v>124379</v>
      </c>
      <c r="M1296">
        <v>72.359737478925055</v>
      </c>
    </row>
    <row r="1297" spans="1:13" hidden="1" x14ac:dyDescent="0.3">
      <c r="A1297" t="s">
        <v>1741</v>
      </c>
      <c r="B1297" t="s">
        <v>28</v>
      </c>
      <c r="C1297" t="s">
        <v>189</v>
      </c>
      <c r="D1297">
        <v>2013</v>
      </c>
      <c r="E1297">
        <v>25000</v>
      </c>
      <c r="F1297" t="s">
        <v>117</v>
      </c>
      <c r="G1297" t="s">
        <v>65</v>
      </c>
      <c r="H1297" t="s">
        <v>27</v>
      </c>
      <c r="I1297" t="s">
        <v>27</v>
      </c>
      <c r="J1297" t="s">
        <v>27</v>
      </c>
      <c r="K1297">
        <v>50000</v>
      </c>
      <c r="L1297">
        <v>34550</v>
      </c>
      <c r="M1297">
        <v>72.359737478925055</v>
      </c>
    </row>
    <row r="1298" spans="1:13" hidden="1" x14ac:dyDescent="0.3">
      <c r="A1298" t="s">
        <v>1742</v>
      </c>
      <c r="B1298" t="s">
        <v>28</v>
      </c>
      <c r="C1298" t="s">
        <v>97</v>
      </c>
      <c r="D1298">
        <v>2013</v>
      </c>
      <c r="E1298">
        <v>1300000</v>
      </c>
      <c r="F1298" t="s">
        <v>34</v>
      </c>
      <c r="G1298" t="s">
        <v>65</v>
      </c>
      <c r="H1298" t="s">
        <v>27</v>
      </c>
      <c r="I1298" t="s">
        <v>27</v>
      </c>
      <c r="J1298" t="s">
        <v>33</v>
      </c>
      <c r="K1298">
        <v>185</v>
      </c>
      <c r="L1298">
        <v>1796579</v>
      </c>
      <c r="M1298">
        <v>72.359737478925055</v>
      </c>
    </row>
    <row r="1299" spans="1:13" hidden="1" x14ac:dyDescent="0.3">
      <c r="A1299" t="s">
        <v>1744</v>
      </c>
      <c r="B1299" t="s">
        <v>91</v>
      </c>
      <c r="C1299" t="s">
        <v>105</v>
      </c>
      <c r="D1299">
        <v>2013</v>
      </c>
      <c r="E1299" t="s">
        <v>31</v>
      </c>
      <c r="F1299" t="s">
        <v>115</v>
      </c>
      <c r="G1299" t="s">
        <v>31</v>
      </c>
      <c r="H1299" t="s">
        <v>27</v>
      </c>
      <c r="I1299" t="s">
        <v>27</v>
      </c>
      <c r="J1299" t="s">
        <v>27</v>
      </c>
      <c r="K1299">
        <v>63079</v>
      </c>
      <c r="L1299" t="s">
        <v>31</v>
      </c>
      <c r="M1299">
        <v>72.359737478925055</v>
      </c>
    </row>
    <row r="1300" spans="1:13" hidden="1" x14ac:dyDescent="0.3">
      <c r="A1300" t="s">
        <v>1745</v>
      </c>
      <c r="B1300" t="s">
        <v>28</v>
      </c>
      <c r="C1300" t="s">
        <v>64</v>
      </c>
      <c r="D1300">
        <v>2013</v>
      </c>
      <c r="E1300">
        <v>2200000</v>
      </c>
      <c r="F1300" t="s">
        <v>34</v>
      </c>
      <c r="G1300" t="s">
        <v>31</v>
      </c>
      <c r="H1300" t="s">
        <v>27</v>
      </c>
      <c r="I1300" t="s">
        <v>27</v>
      </c>
      <c r="J1300" t="s">
        <v>27</v>
      </c>
      <c r="K1300" t="s">
        <v>31</v>
      </c>
      <c r="L1300">
        <v>3040365</v>
      </c>
      <c r="M1300">
        <v>72.359737478925055</v>
      </c>
    </row>
    <row r="1301" spans="1:13" hidden="1" x14ac:dyDescent="0.3">
      <c r="A1301" t="s">
        <v>1746</v>
      </c>
      <c r="B1301" t="s">
        <v>28</v>
      </c>
      <c r="C1301" t="s">
        <v>67</v>
      </c>
      <c r="D1301">
        <v>2013</v>
      </c>
      <c r="E1301">
        <v>100000</v>
      </c>
      <c r="F1301" t="s">
        <v>34</v>
      </c>
      <c r="G1301" t="s">
        <v>31</v>
      </c>
      <c r="H1301" t="s">
        <v>27</v>
      </c>
      <c r="I1301" t="s">
        <v>27</v>
      </c>
      <c r="J1301" t="s">
        <v>27</v>
      </c>
      <c r="K1301" t="s">
        <v>31</v>
      </c>
      <c r="L1301">
        <v>138198</v>
      </c>
      <c r="M1301">
        <v>72.359737478925055</v>
      </c>
    </row>
    <row r="1302" spans="1:13" hidden="1" x14ac:dyDescent="0.3">
      <c r="A1302" t="s">
        <v>1747</v>
      </c>
      <c r="B1302" t="s">
        <v>39</v>
      </c>
      <c r="C1302" t="s">
        <v>157</v>
      </c>
      <c r="D1302">
        <v>2013</v>
      </c>
      <c r="E1302" t="s">
        <v>31</v>
      </c>
      <c r="F1302" t="s">
        <v>111</v>
      </c>
      <c r="G1302" t="s">
        <v>31</v>
      </c>
      <c r="H1302" t="s">
        <v>27</v>
      </c>
      <c r="I1302" t="s">
        <v>27</v>
      </c>
      <c r="J1302" t="s">
        <v>33</v>
      </c>
      <c r="K1302">
        <v>340355</v>
      </c>
      <c r="L1302" t="s">
        <v>31</v>
      </c>
      <c r="M1302">
        <v>72.359737478925055</v>
      </c>
    </row>
    <row r="1303" spans="1:13" hidden="1" x14ac:dyDescent="0.3">
      <c r="A1303" t="s">
        <v>1748</v>
      </c>
      <c r="B1303" t="s">
        <v>39</v>
      </c>
      <c r="C1303" t="s">
        <v>157</v>
      </c>
      <c r="D1303">
        <v>2013</v>
      </c>
      <c r="E1303" t="s">
        <v>31</v>
      </c>
      <c r="F1303" t="s">
        <v>117</v>
      </c>
      <c r="G1303" t="s">
        <v>31</v>
      </c>
      <c r="H1303" t="s">
        <v>27</v>
      </c>
      <c r="I1303" t="s">
        <v>27</v>
      </c>
      <c r="J1303" t="s">
        <v>33</v>
      </c>
      <c r="K1303">
        <v>75000</v>
      </c>
      <c r="L1303" t="s">
        <v>31</v>
      </c>
      <c r="M1303">
        <v>72.359737478925055</v>
      </c>
    </row>
    <row r="1304" spans="1:13" hidden="1" x14ac:dyDescent="0.3">
      <c r="A1304" t="s">
        <v>2410</v>
      </c>
      <c r="B1304" t="s">
        <v>28</v>
      </c>
      <c r="C1304" t="s">
        <v>97</v>
      </c>
      <c r="D1304">
        <v>2013</v>
      </c>
      <c r="E1304">
        <v>300000</v>
      </c>
      <c r="F1304" t="s">
        <v>34</v>
      </c>
      <c r="G1304" t="s">
        <v>31</v>
      </c>
      <c r="H1304" t="s">
        <v>27</v>
      </c>
      <c r="I1304" t="s">
        <v>27</v>
      </c>
      <c r="J1304" t="s">
        <v>27</v>
      </c>
      <c r="K1304">
        <v>1107</v>
      </c>
      <c r="L1304">
        <v>414595</v>
      </c>
      <c r="M1304">
        <v>72.359737478925055</v>
      </c>
    </row>
    <row r="1305" spans="1:13" hidden="1" x14ac:dyDescent="0.3">
      <c r="A1305" t="s">
        <v>2417</v>
      </c>
      <c r="B1305" t="s">
        <v>51</v>
      </c>
      <c r="C1305" t="s">
        <v>121</v>
      </c>
      <c r="D1305">
        <v>2013</v>
      </c>
      <c r="E1305">
        <v>2500</v>
      </c>
      <c r="F1305" t="s">
        <v>111</v>
      </c>
      <c r="G1305" t="s">
        <v>302</v>
      </c>
      <c r="H1305" t="s">
        <v>27</v>
      </c>
      <c r="I1305" t="s">
        <v>27</v>
      </c>
      <c r="J1305" t="s">
        <v>27</v>
      </c>
      <c r="K1305">
        <v>145000</v>
      </c>
      <c r="L1305">
        <v>3455</v>
      </c>
      <c r="M1305">
        <v>72.359737478925055</v>
      </c>
    </row>
    <row r="1306" spans="1:13" x14ac:dyDescent="0.3">
      <c r="A1306" t="s">
        <v>2418</v>
      </c>
      <c r="B1306" t="s">
        <v>51</v>
      </c>
      <c r="C1306" t="s">
        <v>121</v>
      </c>
      <c r="D1306">
        <v>2013</v>
      </c>
      <c r="E1306">
        <v>1500</v>
      </c>
      <c r="F1306" t="s">
        <v>119</v>
      </c>
      <c r="G1306" t="s">
        <v>54</v>
      </c>
      <c r="H1306" t="s">
        <v>27</v>
      </c>
      <c r="I1306" t="s">
        <v>27</v>
      </c>
      <c r="J1306" t="s">
        <v>27</v>
      </c>
      <c r="K1306">
        <v>1510</v>
      </c>
      <c r="L1306">
        <v>2073</v>
      </c>
      <c r="M1306">
        <v>72.359737478925055</v>
      </c>
    </row>
    <row r="1307" spans="1:13" hidden="1" x14ac:dyDescent="0.3">
      <c r="A1307" t="s">
        <v>2419</v>
      </c>
      <c r="B1307" t="s">
        <v>39</v>
      </c>
      <c r="C1307" t="s">
        <v>41</v>
      </c>
      <c r="D1307">
        <v>2013</v>
      </c>
      <c r="E1307">
        <v>500000</v>
      </c>
      <c r="F1307" t="s">
        <v>34</v>
      </c>
      <c r="G1307" t="s">
        <v>31</v>
      </c>
      <c r="H1307" t="s">
        <v>27</v>
      </c>
      <c r="I1307" t="s">
        <v>27</v>
      </c>
      <c r="J1307" t="s">
        <v>27</v>
      </c>
      <c r="K1307">
        <v>1617</v>
      </c>
      <c r="L1307">
        <v>690992</v>
      </c>
      <c r="M1307">
        <v>72.359737478925055</v>
      </c>
    </row>
    <row r="1308" spans="1:13" hidden="1" x14ac:dyDescent="0.3">
      <c r="A1308" t="s">
        <v>2420</v>
      </c>
      <c r="B1308" t="s">
        <v>28</v>
      </c>
      <c r="C1308" t="s">
        <v>97</v>
      </c>
      <c r="D1308">
        <v>2013</v>
      </c>
      <c r="E1308">
        <v>300000</v>
      </c>
      <c r="F1308" t="s">
        <v>34</v>
      </c>
      <c r="G1308" t="s">
        <v>65</v>
      </c>
      <c r="H1308" t="s">
        <v>27</v>
      </c>
      <c r="I1308" t="s">
        <v>27</v>
      </c>
      <c r="J1308" t="s">
        <v>27</v>
      </c>
      <c r="K1308">
        <v>700</v>
      </c>
      <c r="L1308">
        <v>414595</v>
      </c>
      <c r="M1308">
        <v>72.359737478925055</v>
      </c>
    </row>
    <row r="1309" spans="1:13" hidden="1" x14ac:dyDescent="0.3">
      <c r="A1309" t="s">
        <v>2421</v>
      </c>
      <c r="B1309" t="s">
        <v>51</v>
      </c>
      <c r="C1309" t="s">
        <v>121</v>
      </c>
      <c r="D1309">
        <v>2013</v>
      </c>
      <c r="E1309">
        <v>25000</v>
      </c>
      <c r="F1309" t="s">
        <v>34</v>
      </c>
      <c r="G1309" t="s">
        <v>31</v>
      </c>
      <c r="H1309" t="s">
        <v>27</v>
      </c>
      <c r="I1309" t="s">
        <v>27</v>
      </c>
      <c r="J1309" t="s">
        <v>27</v>
      </c>
      <c r="K1309">
        <v>6000</v>
      </c>
      <c r="L1309">
        <v>34550</v>
      </c>
      <c r="M1309">
        <v>72.359737478925055</v>
      </c>
    </row>
    <row r="1310" spans="1:13" hidden="1" x14ac:dyDescent="0.3">
      <c r="A1310" t="s">
        <v>2422</v>
      </c>
      <c r="B1310" t="s">
        <v>43</v>
      </c>
      <c r="C1310" t="s">
        <v>114</v>
      </c>
      <c r="D1310">
        <v>2013</v>
      </c>
      <c r="E1310" t="s">
        <v>31</v>
      </c>
      <c r="F1310" t="s">
        <v>90</v>
      </c>
      <c r="G1310" t="s">
        <v>31</v>
      </c>
      <c r="H1310" t="s">
        <v>27</v>
      </c>
      <c r="I1310" t="s">
        <v>27</v>
      </c>
      <c r="J1310" t="s">
        <v>27</v>
      </c>
      <c r="K1310">
        <v>1977</v>
      </c>
      <c r="L1310" t="s">
        <v>31</v>
      </c>
      <c r="M1310">
        <v>72.359737478925055</v>
      </c>
    </row>
    <row r="1311" spans="1:13" hidden="1" x14ac:dyDescent="0.3">
      <c r="A1311" t="s">
        <v>2423</v>
      </c>
      <c r="B1311" t="s">
        <v>51</v>
      </c>
      <c r="C1311" t="s">
        <v>121</v>
      </c>
      <c r="D1311">
        <v>2013</v>
      </c>
      <c r="E1311" t="s">
        <v>31</v>
      </c>
      <c r="F1311" t="s">
        <v>34</v>
      </c>
      <c r="G1311" t="s">
        <v>31</v>
      </c>
      <c r="H1311" t="s">
        <v>27</v>
      </c>
      <c r="I1311" t="s">
        <v>27</v>
      </c>
      <c r="J1311" t="s">
        <v>33</v>
      </c>
      <c r="K1311">
        <v>4800</v>
      </c>
      <c r="L1311" t="s">
        <v>31</v>
      </c>
      <c r="M1311">
        <v>72.359737478925055</v>
      </c>
    </row>
    <row r="1312" spans="1:13" hidden="1" x14ac:dyDescent="0.3">
      <c r="A1312" t="s">
        <v>2424</v>
      </c>
      <c r="B1312" t="s">
        <v>51</v>
      </c>
      <c r="C1312" t="s">
        <v>121</v>
      </c>
      <c r="D1312">
        <v>2013</v>
      </c>
      <c r="E1312">
        <v>1900000</v>
      </c>
      <c r="F1312" t="s">
        <v>34</v>
      </c>
      <c r="G1312" t="s">
        <v>54</v>
      </c>
      <c r="H1312" t="s">
        <v>27</v>
      </c>
      <c r="I1312" t="s">
        <v>27</v>
      </c>
      <c r="J1312" t="s">
        <v>33</v>
      </c>
      <c r="K1312">
        <v>21900</v>
      </c>
      <c r="L1312">
        <v>2625770</v>
      </c>
      <c r="M1312">
        <v>72.359737478925055</v>
      </c>
    </row>
    <row r="1313" spans="1:13" hidden="1" x14ac:dyDescent="0.3">
      <c r="A1313" t="s">
        <v>2425</v>
      </c>
      <c r="B1313" t="s">
        <v>51</v>
      </c>
      <c r="C1313" t="s">
        <v>121</v>
      </c>
      <c r="D1313">
        <v>2013</v>
      </c>
      <c r="E1313" t="s">
        <v>31</v>
      </c>
      <c r="F1313" t="s">
        <v>109</v>
      </c>
      <c r="G1313" t="s">
        <v>54</v>
      </c>
      <c r="H1313" t="s">
        <v>27</v>
      </c>
      <c r="I1313" t="s">
        <v>27</v>
      </c>
      <c r="J1313" t="s">
        <v>27</v>
      </c>
      <c r="K1313">
        <v>25567</v>
      </c>
      <c r="L1313" t="s">
        <v>31</v>
      </c>
      <c r="M1313">
        <v>72.359737478925055</v>
      </c>
    </row>
    <row r="1314" spans="1:13" hidden="1" x14ac:dyDescent="0.3">
      <c r="A1314" t="s">
        <v>2426</v>
      </c>
      <c r="B1314" t="s">
        <v>39</v>
      </c>
      <c r="C1314" t="s">
        <v>142</v>
      </c>
      <c r="D1314">
        <v>2013</v>
      </c>
      <c r="E1314">
        <v>10000</v>
      </c>
      <c r="F1314" t="s">
        <v>34</v>
      </c>
      <c r="G1314" t="s">
        <v>31</v>
      </c>
      <c r="H1314" t="s">
        <v>27</v>
      </c>
      <c r="I1314" t="s">
        <v>27</v>
      </c>
      <c r="J1314" t="s">
        <v>27</v>
      </c>
      <c r="K1314">
        <v>225</v>
      </c>
      <c r="L1314">
        <v>13820</v>
      </c>
      <c r="M1314">
        <v>72.359737478925055</v>
      </c>
    </row>
    <row r="1315" spans="1:13" hidden="1" x14ac:dyDescent="0.3">
      <c r="A1315" t="s">
        <v>2427</v>
      </c>
      <c r="B1315" t="s">
        <v>28</v>
      </c>
      <c r="C1315" t="s">
        <v>278</v>
      </c>
      <c r="D1315">
        <v>2013</v>
      </c>
      <c r="E1315">
        <v>1000000</v>
      </c>
      <c r="F1315" t="s">
        <v>60</v>
      </c>
      <c r="G1315" t="s">
        <v>31</v>
      </c>
      <c r="H1315" t="s">
        <v>27</v>
      </c>
      <c r="I1315" t="s">
        <v>27</v>
      </c>
      <c r="J1315" t="s">
        <v>33</v>
      </c>
      <c r="K1315" t="s">
        <v>31</v>
      </c>
      <c r="L1315">
        <v>1381984</v>
      </c>
      <c r="M1315">
        <v>72.359737478925055</v>
      </c>
    </row>
    <row r="1316" spans="1:13" hidden="1" x14ac:dyDescent="0.3">
      <c r="A1316" t="s">
        <v>2428</v>
      </c>
      <c r="B1316" t="s">
        <v>51</v>
      </c>
      <c r="C1316" t="s">
        <v>121</v>
      </c>
      <c r="D1316">
        <v>2013</v>
      </c>
      <c r="E1316" t="s">
        <v>31</v>
      </c>
      <c r="F1316" t="s">
        <v>34</v>
      </c>
      <c r="G1316" t="s">
        <v>31</v>
      </c>
      <c r="H1316" t="s">
        <v>27</v>
      </c>
      <c r="I1316" t="s">
        <v>27</v>
      </c>
      <c r="J1316" t="s">
        <v>33</v>
      </c>
      <c r="K1316" t="s">
        <v>31</v>
      </c>
      <c r="L1316" t="s">
        <v>31</v>
      </c>
      <c r="M1316">
        <v>72.359737478925055</v>
      </c>
    </row>
    <row r="1317" spans="1:13" hidden="1" x14ac:dyDescent="0.3">
      <c r="A1317" t="s">
        <v>2429</v>
      </c>
      <c r="B1317" t="s">
        <v>28</v>
      </c>
      <c r="C1317" t="s">
        <v>67</v>
      </c>
      <c r="D1317">
        <v>2013</v>
      </c>
      <c r="E1317">
        <v>1100000</v>
      </c>
      <c r="F1317" t="s">
        <v>34</v>
      </c>
      <c r="G1317" t="s">
        <v>65</v>
      </c>
      <c r="H1317" t="s">
        <v>27</v>
      </c>
      <c r="I1317" t="s">
        <v>27</v>
      </c>
      <c r="J1317" t="s">
        <v>33</v>
      </c>
      <c r="K1317" t="s">
        <v>31</v>
      </c>
      <c r="L1317">
        <v>1520182</v>
      </c>
      <c r="M1317">
        <v>72.359737478925055</v>
      </c>
    </row>
    <row r="1318" spans="1:13" hidden="1" x14ac:dyDescent="0.3">
      <c r="A1318" t="s">
        <v>195</v>
      </c>
      <c r="B1318" t="s">
        <v>39</v>
      </c>
      <c r="C1318" t="s">
        <v>157</v>
      </c>
      <c r="D1318">
        <v>2014</v>
      </c>
      <c r="E1318" t="s">
        <v>31</v>
      </c>
      <c r="F1318" t="s">
        <v>49</v>
      </c>
      <c r="G1318" t="s">
        <v>196</v>
      </c>
      <c r="H1318" t="s">
        <v>27</v>
      </c>
      <c r="I1318" t="s">
        <v>27</v>
      </c>
      <c r="J1318" t="s">
        <v>33</v>
      </c>
      <c r="K1318">
        <v>2023000</v>
      </c>
      <c r="L1318" t="s">
        <v>31</v>
      </c>
      <c r="M1318">
        <v>73.533577009267162</v>
      </c>
    </row>
    <row r="1319" spans="1:13" hidden="1" x14ac:dyDescent="0.3">
      <c r="A1319" t="s">
        <v>357</v>
      </c>
      <c r="B1319" t="s">
        <v>39</v>
      </c>
      <c r="C1319" t="s">
        <v>157</v>
      </c>
      <c r="D1319">
        <v>2014</v>
      </c>
      <c r="E1319">
        <v>5000000</v>
      </c>
      <c r="F1319" t="s">
        <v>119</v>
      </c>
      <c r="G1319" t="s">
        <v>31</v>
      </c>
      <c r="H1319" t="s">
        <v>27</v>
      </c>
      <c r="I1319" t="s">
        <v>27</v>
      </c>
      <c r="J1319" t="s">
        <v>27</v>
      </c>
      <c r="K1319">
        <v>27000000</v>
      </c>
      <c r="L1319">
        <v>6799615</v>
      </c>
      <c r="M1319">
        <v>73.533577009267162</v>
      </c>
    </row>
    <row r="1320" spans="1:13" hidden="1" x14ac:dyDescent="0.3">
      <c r="A1320" t="s">
        <v>361</v>
      </c>
      <c r="B1320" t="s">
        <v>28</v>
      </c>
      <c r="C1320" t="s">
        <v>68</v>
      </c>
      <c r="D1320">
        <v>2014</v>
      </c>
      <c r="E1320" t="s">
        <v>31</v>
      </c>
      <c r="F1320" t="s">
        <v>53</v>
      </c>
      <c r="G1320" t="s">
        <v>31</v>
      </c>
      <c r="H1320" t="s">
        <v>27</v>
      </c>
      <c r="I1320" t="s">
        <v>27</v>
      </c>
      <c r="J1320" t="s">
        <v>27</v>
      </c>
      <c r="K1320">
        <v>109257</v>
      </c>
      <c r="L1320" t="s">
        <v>31</v>
      </c>
      <c r="M1320">
        <v>73.533577009267162</v>
      </c>
    </row>
    <row r="1321" spans="1:13" hidden="1" x14ac:dyDescent="0.3">
      <c r="A1321" t="s">
        <v>362</v>
      </c>
      <c r="B1321" t="s">
        <v>28</v>
      </c>
      <c r="C1321" t="s">
        <v>99</v>
      </c>
      <c r="D1321">
        <v>2014</v>
      </c>
      <c r="E1321">
        <v>1600000</v>
      </c>
      <c r="F1321" t="s">
        <v>34</v>
      </c>
      <c r="G1321" t="s">
        <v>65</v>
      </c>
      <c r="H1321" t="s">
        <v>27</v>
      </c>
      <c r="I1321" t="s">
        <v>27</v>
      </c>
      <c r="J1321" t="s">
        <v>27</v>
      </c>
      <c r="K1321">
        <v>36</v>
      </c>
      <c r="L1321">
        <v>2175877</v>
      </c>
      <c r="M1321">
        <v>73.533577009267162</v>
      </c>
    </row>
    <row r="1322" spans="1:13" hidden="1" x14ac:dyDescent="0.3">
      <c r="A1322" t="s">
        <v>363</v>
      </c>
      <c r="B1322" t="s">
        <v>51</v>
      </c>
      <c r="C1322" t="s">
        <v>121</v>
      </c>
      <c r="D1322">
        <v>2014</v>
      </c>
      <c r="E1322" t="s">
        <v>31</v>
      </c>
      <c r="F1322" t="s">
        <v>111</v>
      </c>
      <c r="G1322" t="s">
        <v>364</v>
      </c>
      <c r="H1322" t="s">
        <v>27</v>
      </c>
      <c r="I1322" t="s">
        <v>27</v>
      </c>
      <c r="J1322" t="s">
        <v>33</v>
      </c>
      <c r="K1322">
        <v>185120</v>
      </c>
      <c r="L1322" t="s">
        <v>31</v>
      </c>
      <c r="M1322">
        <v>73.533577009267162</v>
      </c>
    </row>
    <row r="1323" spans="1:13" hidden="1" x14ac:dyDescent="0.3">
      <c r="A1323" t="s">
        <v>369</v>
      </c>
      <c r="B1323" t="s">
        <v>28</v>
      </c>
      <c r="C1323" t="s">
        <v>278</v>
      </c>
      <c r="D1323">
        <v>2014</v>
      </c>
      <c r="E1323" t="s">
        <v>31</v>
      </c>
      <c r="F1323" t="s">
        <v>90</v>
      </c>
      <c r="G1323" t="s">
        <v>31</v>
      </c>
      <c r="H1323" t="s">
        <v>27</v>
      </c>
      <c r="I1323" t="s">
        <v>27</v>
      </c>
      <c r="J1323" t="s">
        <v>27</v>
      </c>
      <c r="K1323">
        <v>8141</v>
      </c>
      <c r="L1323" t="s">
        <v>31</v>
      </c>
      <c r="M1323">
        <v>73.533577009267162</v>
      </c>
    </row>
    <row r="1324" spans="1:13" hidden="1" x14ac:dyDescent="0.3">
      <c r="A1324" t="s">
        <v>371</v>
      </c>
      <c r="B1324" t="s">
        <v>51</v>
      </c>
      <c r="C1324" t="s">
        <v>56</v>
      </c>
      <c r="D1324">
        <v>2014</v>
      </c>
      <c r="E1324" t="s">
        <v>31</v>
      </c>
      <c r="F1324" t="s">
        <v>45</v>
      </c>
      <c r="G1324" t="s">
        <v>54</v>
      </c>
      <c r="H1324" t="s">
        <v>27</v>
      </c>
      <c r="I1324" t="s">
        <v>27</v>
      </c>
      <c r="J1324" t="s">
        <v>27</v>
      </c>
      <c r="K1324">
        <v>30000</v>
      </c>
      <c r="L1324" t="s">
        <v>31</v>
      </c>
      <c r="M1324">
        <v>73.533577009267162</v>
      </c>
    </row>
    <row r="1325" spans="1:13" hidden="1" x14ac:dyDescent="0.3">
      <c r="A1325" t="s">
        <v>372</v>
      </c>
      <c r="B1325" t="s">
        <v>51</v>
      </c>
      <c r="C1325" t="s">
        <v>56</v>
      </c>
      <c r="D1325">
        <v>2014</v>
      </c>
      <c r="E1325" t="s">
        <v>31</v>
      </c>
      <c r="F1325" t="s">
        <v>75</v>
      </c>
      <c r="G1325" t="s">
        <v>31</v>
      </c>
      <c r="H1325" t="s">
        <v>27</v>
      </c>
      <c r="I1325" t="s">
        <v>27</v>
      </c>
      <c r="J1325" t="s">
        <v>27</v>
      </c>
      <c r="K1325">
        <v>300</v>
      </c>
      <c r="L1325" t="s">
        <v>31</v>
      </c>
      <c r="M1325">
        <v>73.533577009267162</v>
      </c>
    </row>
    <row r="1326" spans="1:13" hidden="1" x14ac:dyDescent="0.3">
      <c r="A1326" t="s">
        <v>374</v>
      </c>
      <c r="B1326" t="s">
        <v>51</v>
      </c>
      <c r="C1326" t="s">
        <v>121</v>
      </c>
      <c r="D1326">
        <v>2014</v>
      </c>
      <c r="E1326" t="s">
        <v>31</v>
      </c>
      <c r="F1326" t="s">
        <v>90</v>
      </c>
      <c r="G1326" t="s">
        <v>54</v>
      </c>
      <c r="H1326" t="s">
        <v>27</v>
      </c>
      <c r="I1326" t="s">
        <v>27</v>
      </c>
      <c r="J1326" t="s">
        <v>27</v>
      </c>
      <c r="K1326">
        <v>87500</v>
      </c>
      <c r="L1326" t="s">
        <v>31</v>
      </c>
      <c r="M1326">
        <v>73.533577009267162</v>
      </c>
    </row>
    <row r="1327" spans="1:13" hidden="1" x14ac:dyDescent="0.3">
      <c r="A1327" t="s">
        <v>376</v>
      </c>
      <c r="B1327" t="s">
        <v>51</v>
      </c>
      <c r="C1327" t="s">
        <v>121</v>
      </c>
      <c r="D1327">
        <v>2014</v>
      </c>
      <c r="E1327" t="s">
        <v>31</v>
      </c>
      <c r="F1327" t="s">
        <v>47</v>
      </c>
      <c r="G1327" t="s">
        <v>31</v>
      </c>
      <c r="H1327" t="s">
        <v>27</v>
      </c>
      <c r="I1327" t="s">
        <v>27</v>
      </c>
      <c r="J1327" t="s">
        <v>27</v>
      </c>
      <c r="K1327">
        <v>41151</v>
      </c>
      <c r="L1327" t="s">
        <v>31</v>
      </c>
      <c r="M1327">
        <v>73.533577009267162</v>
      </c>
    </row>
    <row r="1328" spans="1:13" hidden="1" x14ac:dyDescent="0.3">
      <c r="A1328" t="s">
        <v>378</v>
      </c>
      <c r="B1328" t="s">
        <v>28</v>
      </c>
      <c r="C1328" t="s">
        <v>99</v>
      </c>
      <c r="D1328">
        <v>2014</v>
      </c>
      <c r="E1328" t="s">
        <v>31</v>
      </c>
      <c r="F1328" t="s">
        <v>47</v>
      </c>
      <c r="G1328" t="s">
        <v>31</v>
      </c>
      <c r="H1328" t="s">
        <v>27</v>
      </c>
      <c r="I1328" t="s">
        <v>27</v>
      </c>
      <c r="J1328" t="s">
        <v>27</v>
      </c>
      <c r="K1328">
        <v>18</v>
      </c>
      <c r="L1328" t="s">
        <v>31</v>
      </c>
      <c r="M1328">
        <v>73.533577009267162</v>
      </c>
    </row>
    <row r="1329" spans="1:13" hidden="1" x14ac:dyDescent="0.3">
      <c r="A1329" t="s">
        <v>381</v>
      </c>
      <c r="B1329" t="s">
        <v>28</v>
      </c>
      <c r="C1329" t="s">
        <v>30</v>
      </c>
      <c r="D1329">
        <v>2014</v>
      </c>
      <c r="E1329">
        <v>2500000</v>
      </c>
      <c r="F1329" t="s">
        <v>73</v>
      </c>
      <c r="G1329" t="s">
        <v>382</v>
      </c>
      <c r="H1329" t="s">
        <v>27</v>
      </c>
      <c r="I1329" t="s">
        <v>27</v>
      </c>
      <c r="J1329" t="s">
        <v>27</v>
      </c>
      <c r="K1329">
        <v>75135</v>
      </c>
      <c r="L1329">
        <v>3399807</v>
      </c>
      <c r="M1329">
        <v>73.533577009267162</v>
      </c>
    </row>
    <row r="1330" spans="1:13" hidden="1" x14ac:dyDescent="0.3">
      <c r="A1330" t="s">
        <v>384</v>
      </c>
      <c r="B1330" t="s">
        <v>28</v>
      </c>
      <c r="C1330" t="s">
        <v>30</v>
      </c>
      <c r="D1330">
        <v>2014</v>
      </c>
      <c r="E1330">
        <v>14000</v>
      </c>
      <c r="F1330" t="s">
        <v>73</v>
      </c>
      <c r="G1330" t="s">
        <v>37</v>
      </c>
      <c r="H1330" t="s">
        <v>27</v>
      </c>
      <c r="I1330" t="s">
        <v>27</v>
      </c>
      <c r="J1330" t="s">
        <v>33</v>
      </c>
      <c r="K1330">
        <v>30000</v>
      </c>
      <c r="L1330">
        <v>19039</v>
      </c>
      <c r="M1330">
        <v>73.533577009267162</v>
      </c>
    </row>
    <row r="1331" spans="1:13" hidden="1" x14ac:dyDescent="0.3">
      <c r="A1331" t="s">
        <v>385</v>
      </c>
      <c r="B1331" t="s">
        <v>51</v>
      </c>
      <c r="C1331" t="s">
        <v>56</v>
      </c>
      <c r="D1331">
        <v>2014</v>
      </c>
      <c r="E1331">
        <v>129000</v>
      </c>
      <c r="F1331" t="s">
        <v>77</v>
      </c>
      <c r="G1331" t="s">
        <v>302</v>
      </c>
      <c r="H1331" t="s">
        <v>27</v>
      </c>
      <c r="I1331" t="s">
        <v>27</v>
      </c>
      <c r="J1331" t="s">
        <v>27</v>
      </c>
      <c r="K1331">
        <v>6904</v>
      </c>
      <c r="L1331">
        <v>175430</v>
      </c>
      <c r="M1331">
        <v>73.533577009267162</v>
      </c>
    </row>
    <row r="1332" spans="1:13" hidden="1" x14ac:dyDescent="0.3">
      <c r="A1332" t="s">
        <v>387</v>
      </c>
      <c r="B1332" t="s">
        <v>91</v>
      </c>
      <c r="C1332" t="s">
        <v>93</v>
      </c>
      <c r="D1332">
        <v>2014</v>
      </c>
      <c r="E1332">
        <v>700000</v>
      </c>
      <c r="F1332" t="s">
        <v>34</v>
      </c>
      <c r="G1332" t="s">
        <v>388</v>
      </c>
      <c r="H1332" t="s">
        <v>27</v>
      </c>
      <c r="I1332" t="s">
        <v>27</v>
      </c>
      <c r="J1332" t="s">
        <v>27</v>
      </c>
      <c r="K1332">
        <v>3250</v>
      </c>
      <c r="L1332">
        <v>951946</v>
      </c>
      <c r="M1332">
        <v>73.533577009267162</v>
      </c>
    </row>
    <row r="1333" spans="1:13" hidden="1" x14ac:dyDescent="0.3">
      <c r="A1333" t="s">
        <v>389</v>
      </c>
      <c r="B1333" t="s">
        <v>51</v>
      </c>
      <c r="C1333" t="s">
        <v>121</v>
      </c>
      <c r="D1333">
        <v>2014</v>
      </c>
      <c r="E1333">
        <v>1600000</v>
      </c>
      <c r="F1333" t="s">
        <v>34</v>
      </c>
      <c r="G1333" t="s">
        <v>31</v>
      </c>
      <c r="H1333" t="s">
        <v>27</v>
      </c>
      <c r="I1333" t="s">
        <v>27</v>
      </c>
      <c r="J1333" t="s">
        <v>27</v>
      </c>
      <c r="K1333">
        <v>102000</v>
      </c>
      <c r="L1333">
        <v>2175877</v>
      </c>
      <c r="M1333">
        <v>73.533577009267162</v>
      </c>
    </row>
    <row r="1334" spans="1:13" hidden="1" x14ac:dyDescent="0.3">
      <c r="A1334" t="s">
        <v>391</v>
      </c>
      <c r="B1334" t="s">
        <v>91</v>
      </c>
      <c r="C1334" t="s">
        <v>93</v>
      </c>
      <c r="D1334">
        <v>2014</v>
      </c>
      <c r="E1334" t="s">
        <v>31</v>
      </c>
      <c r="F1334" t="s">
        <v>73</v>
      </c>
      <c r="G1334" t="s">
        <v>31</v>
      </c>
      <c r="H1334" t="s">
        <v>27</v>
      </c>
      <c r="I1334" t="s">
        <v>27</v>
      </c>
      <c r="J1334" t="s">
        <v>27</v>
      </c>
      <c r="K1334">
        <v>27000</v>
      </c>
      <c r="L1334" t="s">
        <v>31</v>
      </c>
      <c r="M1334">
        <v>73.533577009267162</v>
      </c>
    </row>
    <row r="1335" spans="1:13" hidden="1" x14ac:dyDescent="0.3">
      <c r="A1335" t="s">
        <v>395</v>
      </c>
      <c r="B1335" t="s">
        <v>28</v>
      </c>
      <c r="C1335" t="s">
        <v>99</v>
      </c>
      <c r="D1335">
        <v>2014</v>
      </c>
      <c r="E1335">
        <v>3900000</v>
      </c>
      <c r="F1335" t="s">
        <v>34</v>
      </c>
      <c r="G1335" t="s">
        <v>65</v>
      </c>
      <c r="H1335" t="s">
        <v>27</v>
      </c>
      <c r="I1335" t="s">
        <v>27</v>
      </c>
      <c r="J1335" t="s">
        <v>27</v>
      </c>
      <c r="K1335" t="s">
        <v>31</v>
      </c>
      <c r="L1335">
        <v>5303700</v>
      </c>
      <c r="M1335">
        <v>73.533577009267162</v>
      </c>
    </row>
    <row r="1336" spans="1:13" hidden="1" x14ac:dyDescent="0.3">
      <c r="A1336" t="s">
        <v>396</v>
      </c>
      <c r="B1336" t="s">
        <v>28</v>
      </c>
      <c r="C1336" t="s">
        <v>30</v>
      </c>
      <c r="D1336">
        <v>2014</v>
      </c>
      <c r="E1336" t="s">
        <v>31</v>
      </c>
      <c r="F1336" t="s">
        <v>73</v>
      </c>
      <c r="G1336" t="s">
        <v>82</v>
      </c>
      <c r="H1336" t="s">
        <v>27</v>
      </c>
      <c r="I1336" t="s">
        <v>27</v>
      </c>
      <c r="J1336" t="s">
        <v>27</v>
      </c>
      <c r="K1336" t="s">
        <v>31</v>
      </c>
      <c r="L1336" t="s">
        <v>31</v>
      </c>
      <c r="M1336">
        <v>73.533577009267162</v>
      </c>
    </row>
    <row r="1337" spans="1:13" hidden="1" x14ac:dyDescent="0.3">
      <c r="A1337" t="s">
        <v>397</v>
      </c>
      <c r="B1337" t="s">
        <v>51</v>
      </c>
      <c r="C1337" t="s">
        <v>121</v>
      </c>
      <c r="D1337">
        <v>2014</v>
      </c>
      <c r="E1337" t="s">
        <v>31</v>
      </c>
      <c r="F1337" t="s">
        <v>117</v>
      </c>
      <c r="G1337" t="s">
        <v>31</v>
      </c>
      <c r="H1337" t="s">
        <v>27</v>
      </c>
      <c r="I1337" t="s">
        <v>27</v>
      </c>
      <c r="J1337" t="s">
        <v>27</v>
      </c>
      <c r="K1337">
        <v>2000</v>
      </c>
      <c r="L1337" t="s">
        <v>31</v>
      </c>
      <c r="M1337">
        <v>73.533577009267162</v>
      </c>
    </row>
    <row r="1338" spans="1:13" hidden="1" x14ac:dyDescent="0.3">
      <c r="A1338" t="s">
        <v>398</v>
      </c>
      <c r="B1338" t="s">
        <v>51</v>
      </c>
      <c r="C1338" t="s">
        <v>121</v>
      </c>
      <c r="D1338">
        <v>2014</v>
      </c>
      <c r="E1338" t="s">
        <v>31</v>
      </c>
      <c r="F1338" t="s">
        <v>130</v>
      </c>
      <c r="G1338" t="s">
        <v>31</v>
      </c>
      <c r="H1338" t="s">
        <v>27</v>
      </c>
      <c r="I1338" t="s">
        <v>27</v>
      </c>
      <c r="J1338" t="s">
        <v>27</v>
      </c>
      <c r="K1338">
        <v>2000</v>
      </c>
      <c r="L1338" t="s">
        <v>31</v>
      </c>
      <c r="M1338">
        <v>73.533577009267162</v>
      </c>
    </row>
    <row r="1339" spans="1:13" hidden="1" x14ac:dyDescent="0.3">
      <c r="A1339" t="s">
        <v>399</v>
      </c>
      <c r="B1339" t="s">
        <v>51</v>
      </c>
      <c r="C1339" t="s">
        <v>134</v>
      </c>
      <c r="D1339">
        <v>2014</v>
      </c>
      <c r="E1339">
        <v>20000</v>
      </c>
      <c r="F1339" t="s">
        <v>34</v>
      </c>
      <c r="G1339" t="s">
        <v>31</v>
      </c>
      <c r="H1339" t="s">
        <v>27</v>
      </c>
      <c r="I1339" t="s">
        <v>27</v>
      </c>
      <c r="J1339" t="s">
        <v>27</v>
      </c>
      <c r="K1339">
        <v>150</v>
      </c>
      <c r="L1339">
        <v>27198</v>
      </c>
      <c r="M1339">
        <v>73.533577009267162</v>
      </c>
    </row>
    <row r="1340" spans="1:13" hidden="1" x14ac:dyDescent="0.3">
      <c r="A1340" t="s">
        <v>1146</v>
      </c>
      <c r="B1340" t="s">
        <v>51</v>
      </c>
      <c r="C1340" t="s">
        <v>134</v>
      </c>
      <c r="D1340">
        <v>2014</v>
      </c>
      <c r="E1340" t="s">
        <v>31</v>
      </c>
      <c r="F1340" t="s">
        <v>130</v>
      </c>
      <c r="G1340" t="s">
        <v>31</v>
      </c>
      <c r="H1340" t="s">
        <v>27</v>
      </c>
      <c r="I1340" t="s">
        <v>27</v>
      </c>
      <c r="J1340" t="s">
        <v>27</v>
      </c>
      <c r="K1340">
        <v>350</v>
      </c>
      <c r="L1340" t="s">
        <v>31</v>
      </c>
      <c r="M1340">
        <v>73.533577009267162</v>
      </c>
    </row>
    <row r="1341" spans="1:13" hidden="1" x14ac:dyDescent="0.3">
      <c r="A1341" t="s">
        <v>1147</v>
      </c>
      <c r="B1341" t="s">
        <v>28</v>
      </c>
      <c r="C1341" t="s">
        <v>67</v>
      </c>
      <c r="D1341">
        <v>2014</v>
      </c>
      <c r="E1341">
        <v>250000</v>
      </c>
      <c r="F1341" t="s">
        <v>34</v>
      </c>
      <c r="G1341" t="s">
        <v>31</v>
      </c>
      <c r="H1341" t="s">
        <v>27</v>
      </c>
      <c r="I1341" t="s">
        <v>27</v>
      </c>
      <c r="J1341" t="s">
        <v>33</v>
      </c>
      <c r="K1341" t="s">
        <v>31</v>
      </c>
      <c r="L1341">
        <v>339981</v>
      </c>
      <c r="M1341">
        <v>73.533577009267162</v>
      </c>
    </row>
    <row r="1342" spans="1:13" hidden="1" x14ac:dyDescent="0.3">
      <c r="A1342" t="s">
        <v>1148</v>
      </c>
      <c r="B1342" t="s">
        <v>91</v>
      </c>
      <c r="C1342" t="s">
        <v>93</v>
      </c>
      <c r="D1342">
        <v>2014</v>
      </c>
      <c r="E1342" t="s">
        <v>31</v>
      </c>
      <c r="F1342" t="s">
        <v>53</v>
      </c>
      <c r="G1342" t="s">
        <v>31</v>
      </c>
      <c r="H1342" t="s">
        <v>27</v>
      </c>
      <c r="I1342" t="s">
        <v>27</v>
      </c>
      <c r="J1342" t="s">
        <v>27</v>
      </c>
      <c r="K1342">
        <v>604</v>
      </c>
      <c r="L1342" t="s">
        <v>31</v>
      </c>
      <c r="M1342">
        <v>73.533577009267162</v>
      </c>
    </row>
    <row r="1343" spans="1:13" hidden="1" x14ac:dyDescent="0.3">
      <c r="A1343" t="s">
        <v>1149</v>
      </c>
      <c r="B1343" t="s">
        <v>91</v>
      </c>
      <c r="C1343" t="s">
        <v>93</v>
      </c>
      <c r="D1343">
        <v>2014</v>
      </c>
      <c r="E1343">
        <v>100000</v>
      </c>
      <c r="F1343" t="s">
        <v>60</v>
      </c>
      <c r="G1343" t="s">
        <v>54</v>
      </c>
      <c r="H1343" t="s">
        <v>27</v>
      </c>
      <c r="I1343" t="s">
        <v>27</v>
      </c>
      <c r="J1343" t="s">
        <v>33</v>
      </c>
      <c r="K1343">
        <v>513387</v>
      </c>
      <c r="L1343">
        <v>135992</v>
      </c>
      <c r="M1343">
        <v>73.533577009267162</v>
      </c>
    </row>
    <row r="1344" spans="1:13" hidden="1" x14ac:dyDescent="0.3">
      <c r="A1344" t="s">
        <v>1150</v>
      </c>
      <c r="B1344" t="s">
        <v>91</v>
      </c>
      <c r="C1344" t="s">
        <v>93</v>
      </c>
      <c r="D1344">
        <v>2014</v>
      </c>
      <c r="E1344">
        <v>3000</v>
      </c>
      <c r="F1344" t="s">
        <v>81</v>
      </c>
      <c r="G1344" t="s">
        <v>31</v>
      </c>
      <c r="H1344" t="s">
        <v>27</v>
      </c>
      <c r="I1344" t="s">
        <v>27</v>
      </c>
      <c r="J1344" t="s">
        <v>27</v>
      </c>
      <c r="K1344">
        <v>12281</v>
      </c>
      <c r="L1344">
        <v>4080</v>
      </c>
      <c r="M1344">
        <v>73.533577009267162</v>
      </c>
    </row>
    <row r="1345" spans="1:13" hidden="1" x14ac:dyDescent="0.3">
      <c r="A1345" t="s">
        <v>1151</v>
      </c>
      <c r="B1345" t="s">
        <v>28</v>
      </c>
      <c r="C1345" t="s">
        <v>64</v>
      </c>
      <c r="D1345">
        <v>2014</v>
      </c>
      <c r="E1345">
        <v>2000000</v>
      </c>
      <c r="F1345" t="s">
        <v>34</v>
      </c>
      <c r="G1345" t="s">
        <v>100</v>
      </c>
      <c r="H1345" t="s">
        <v>27</v>
      </c>
      <c r="I1345" t="s">
        <v>27</v>
      </c>
      <c r="J1345" t="s">
        <v>27</v>
      </c>
      <c r="K1345">
        <v>15</v>
      </c>
      <c r="L1345">
        <v>2719846</v>
      </c>
      <c r="M1345">
        <v>73.533577009267162</v>
      </c>
    </row>
    <row r="1346" spans="1:13" hidden="1" x14ac:dyDescent="0.3">
      <c r="A1346" t="s">
        <v>1152</v>
      </c>
      <c r="B1346" t="s">
        <v>91</v>
      </c>
      <c r="C1346" t="s">
        <v>93</v>
      </c>
      <c r="D1346">
        <v>2014</v>
      </c>
      <c r="E1346" t="s">
        <v>31</v>
      </c>
      <c r="F1346" t="s">
        <v>73</v>
      </c>
      <c r="G1346" t="s">
        <v>31</v>
      </c>
      <c r="H1346" t="s">
        <v>27</v>
      </c>
      <c r="I1346" t="s">
        <v>27</v>
      </c>
      <c r="J1346" t="s">
        <v>27</v>
      </c>
      <c r="K1346">
        <v>381</v>
      </c>
      <c r="L1346" t="s">
        <v>31</v>
      </c>
      <c r="M1346">
        <v>73.533577009267162</v>
      </c>
    </row>
    <row r="1347" spans="1:13" hidden="1" x14ac:dyDescent="0.3">
      <c r="A1347" t="s">
        <v>1153</v>
      </c>
      <c r="B1347" t="s">
        <v>91</v>
      </c>
      <c r="C1347" t="s">
        <v>93</v>
      </c>
      <c r="D1347">
        <v>2014</v>
      </c>
      <c r="E1347" t="s">
        <v>31</v>
      </c>
      <c r="F1347" t="s">
        <v>90</v>
      </c>
      <c r="G1347" t="s">
        <v>31</v>
      </c>
      <c r="H1347" t="s">
        <v>27</v>
      </c>
      <c r="I1347" t="s">
        <v>27</v>
      </c>
      <c r="J1347" t="s">
        <v>33</v>
      </c>
      <c r="K1347">
        <v>94783</v>
      </c>
      <c r="L1347" t="s">
        <v>31</v>
      </c>
      <c r="M1347">
        <v>73.533577009267162</v>
      </c>
    </row>
    <row r="1348" spans="1:13" hidden="1" x14ac:dyDescent="0.3">
      <c r="A1348" t="s">
        <v>1154</v>
      </c>
      <c r="B1348" t="s">
        <v>51</v>
      </c>
      <c r="C1348" t="s">
        <v>56</v>
      </c>
      <c r="D1348">
        <v>2014</v>
      </c>
      <c r="E1348" t="s">
        <v>31</v>
      </c>
      <c r="F1348" t="s">
        <v>119</v>
      </c>
      <c r="G1348" t="s">
        <v>31</v>
      </c>
      <c r="H1348" t="s">
        <v>27</v>
      </c>
      <c r="I1348" t="s">
        <v>27</v>
      </c>
      <c r="J1348" t="s">
        <v>27</v>
      </c>
      <c r="K1348">
        <v>50000</v>
      </c>
      <c r="L1348" t="s">
        <v>31</v>
      </c>
      <c r="M1348">
        <v>73.533577009267162</v>
      </c>
    </row>
    <row r="1349" spans="1:13" hidden="1" x14ac:dyDescent="0.3">
      <c r="A1349" t="s">
        <v>1155</v>
      </c>
      <c r="B1349" t="s">
        <v>51</v>
      </c>
      <c r="C1349" t="s">
        <v>121</v>
      </c>
      <c r="D1349">
        <v>2014</v>
      </c>
      <c r="E1349" t="s">
        <v>31</v>
      </c>
      <c r="F1349" t="s">
        <v>47</v>
      </c>
      <c r="G1349" t="s">
        <v>31</v>
      </c>
      <c r="H1349" t="s">
        <v>27</v>
      </c>
      <c r="I1349" t="s">
        <v>27</v>
      </c>
      <c r="J1349" t="s">
        <v>27</v>
      </c>
      <c r="K1349">
        <v>4085</v>
      </c>
      <c r="L1349" t="s">
        <v>31</v>
      </c>
      <c r="M1349">
        <v>73.533577009267162</v>
      </c>
    </row>
    <row r="1350" spans="1:13" hidden="1" x14ac:dyDescent="0.3">
      <c r="A1350" t="s">
        <v>1156</v>
      </c>
      <c r="B1350" t="s">
        <v>51</v>
      </c>
      <c r="C1350" t="s">
        <v>52</v>
      </c>
      <c r="D1350">
        <v>2014</v>
      </c>
      <c r="E1350" t="s">
        <v>31</v>
      </c>
      <c r="F1350" t="s">
        <v>130</v>
      </c>
      <c r="G1350" t="s">
        <v>31</v>
      </c>
      <c r="H1350" t="s">
        <v>27</v>
      </c>
      <c r="I1350" t="s">
        <v>27</v>
      </c>
      <c r="J1350" t="s">
        <v>27</v>
      </c>
      <c r="K1350">
        <v>5203</v>
      </c>
      <c r="L1350" t="s">
        <v>31</v>
      </c>
      <c r="M1350">
        <v>73.533577009267162</v>
      </c>
    </row>
    <row r="1351" spans="1:13" hidden="1" x14ac:dyDescent="0.3">
      <c r="A1351" t="s">
        <v>1157</v>
      </c>
      <c r="B1351" t="s">
        <v>51</v>
      </c>
      <c r="C1351" t="s">
        <v>121</v>
      </c>
      <c r="D1351">
        <v>2014</v>
      </c>
      <c r="E1351">
        <v>1400</v>
      </c>
      <c r="F1351" t="s">
        <v>49</v>
      </c>
      <c r="G1351" t="s">
        <v>54</v>
      </c>
      <c r="H1351" t="s">
        <v>27</v>
      </c>
      <c r="I1351" t="s">
        <v>27</v>
      </c>
      <c r="J1351" t="s">
        <v>27</v>
      </c>
      <c r="K1351">
        <v>3000</v>
      </c>
      <c r="L1351">
        <v>1904</v>
      </c>
      <c r="M1351">
        <v>73.533577009267162</v>
      </c>
    </row>
    <row r="1352" spans="1:13" hidden="1" x14ac:dyDescent="0.3">
      <c r="A1352" t="s">
        <v>1158</v>
      </c>
      <c r="B1352" t="s">
        <v>51</v>
      </c>
      <c r="C1352" t="s">
        <v>121</v>
      </c>
      <c r="D1352">
        <v>2014</v>
      </c>
      <c r="E1352" t="s">
        <v>31</v>
      </c>
      <c r="F1352" t="s">
        <v>81</v>
      </c>
      <c r="G1352" t="s">
        <v>54</v>
      </c>
      <c r="H1352" t="s">
        <v>27</v>
      </c>
      <c r="I1352" t="s">
        <v>27</v>
      </c>
      <c r="J1352" t="s">
        <v>27</v>
      </c>
      <c r="K1352">
        <v>60345</v>
      </c>
      <c r="L1352" t="s">
        <v>31</v>
      </c>
      <c r="M1352">
        <v>73.533577009267162</v>
      </c>
    </row>
    <row r="1353" spans="1:13" hidden="1" x14ac:dyDescent="0.3">
      <c r="A1353" t="s">
        <v>1159</v>
      </c>
      <c r="B1353" t="s">
        <v>51</v>
      </c>
      <c r="C1353" t="s">
        <v>56</v>
      </c>
      <c r="D1353">
        <v>2014</v>
      </c>
      <c r="E1353" t="s">
        <v>31</v>
      </c>
      <c r="F1353" t="s">
        <v>62</v>
      </c>
      <c r="G1353" t="s">
        <v>31</v>
      </c>
      <c r="H1353" t="s">
        <v>27</v>
      </c>
      <c r="I1353" t="s">
        <v>27</v>
      </c>
      <c r="J1353" t="s">
        <v>27</v>
      </c>
      <c r="K1353" t="s">
        <v>31</v>
      </c>
      <c r="L1353" t="s">
        <v>31</v>
      </c>
      <c r="M1353">
        <v>73.533577009267162</v>
      </c>
    </row>
    <row r="1354" spans="1:13" hidden="1" x14ac:dyDescent="0.3">
      <c r="A1354" t="s">
        <v>1160</v>
      </c>
      <c r="B1354" t="s">
        <v>28</v>
      </c>
      <c r="C1354" t="s">
        <v>67</v>
      </c>
      <c r="D1354">
        <v>2014</v>
      </c>
      <c r="E1354">
        <v>100000</v>
      </c>
      <c r="F1354" t="s">
        <v>34</v>
      </c>
      <c r="G1354" t="s">
        <v>31</v>
      </c>
      <c r="H1354" t="s">
        <v>27</v>
      </c>
      <c r="I1354" t="s">
        <v>27</v>
      </c>
      <c r="J1354" t="s">
        <v>33</v>
      </c>
      <c r="K1354" t="s">
        <v>31</v>
      </c>
      <c r="L1354">
        <v>135992</v>
      </c>
      <c r="M1354">
        <v>73.533577009267162</v>
      </c>
    </row>
    <row r="1355" spans="1:13" hidden="1" x14ac:dyDescent="0.3">
      <c r="A1355" t="s">
        <v>1161</v>
      </c>
      <c r="B1355" t="s">
        <v>28</v>
      </c>
      <c r="C1355" t="s">
        <v>67</v>
      </c>
      <c r="D1355">
        <v>2014</v>
      </c>
      <c r="E1355" t="s">
        <v>31</v>
      </c>
      <c r="F1355" t="s">
        <v>34</v>
      </c>
      <c r="G1355" t="s">
        <v>82</v>
      </c>
      <c r="H1355" t="s">
        <v>27</v>
      </c>
      <c r="I1355" t="s">
        <v>27</v>
      </c>
      <c r="J1355" t="s">
        <v>33</v>
      </c>
      <c r="K1355">
        <v>30</v>
      </c>
      <c r="L1355" t="s">
        <v>31</v>
      </c>
      <c r="M1355">
        <v>73.533577009267162</v>
      </c>
    </row>
    <row r="1356" spans="1:13" x14ac:dyDescent="0.3">
      <c r="D1356" s="2" t="s">
        <v>2571</v>
      </c>
      <c r="E1356" s="2">
        <f>SUM(E1255,E1272,E1276,E1306)</f>
        <v>545500</v>
      </c>
    </row>
    <row r="1357" spans="1:13" x14ac:dyDescent="0.3">
      <c r="A1357" t="s">
        <v>1743</v>
      </c>
      <c r="B1357" t="s">
        <v>51</v>
      </c>
      <c r="C1357" t="s">
        <v>121</v>
      </c>
      <c r="D1357">
        <v>2014</v>
      </c>
      <c r="E1357">
        <v>200000</v>
      </c>
      <c r="F1357" t="s">
        <v>119</v>
      </c>
      <c r="G1357" t="s">
        <v>31</v>
      </c>
      <c r="H1357" t="s">
        <v>27</v>
      </c>
      <c r="I1357" t="s">
        <v>27</v>
      </c>
      <c r="J1357" t="s">
        <v>27</v>
      </c>
      <c r="K1357">
        <v>67500</v>
      </c>
      <c r="L1357">
        <v>271985</v>
      </c>
      <c r="M1357">
        <v>73.533577009267162</v>
      </c>
    </row>
    <row r="1358" spans="1:13" hidden="1" x14ac:dyDescent="0.3">
      <c r="A1358" t="s">
        <v>1749</v>
      </c>
      <c r="B1358" t="s">
        <v>51</v>
      </c>
      <c r="C1358" t="s">
        <v>56</v>
      </c>
      <c r="D1358">
        <v>2014</v>
      </c>
      <c r="E1358" t="s">
        <v>31</v>
      </c>
      <c r="F1358" t="s">
        <v>119</v>
      </c>
      <c r="G1358" t="s">
        <v>31</v>
      </c>
      <c r="H1358" t="s">
        <v>27</v>
      </c>
      <c r="I1358" t="s">
        <v>27</v>
      </c>
      <c r="J1358" t="s">
        <v>27</v>
      </c>
      <c r="K1358">
        <v>600</v>
      </c>
      <c r="L1358" t="s">
        <v>31</v>
      </c>
      <c r="M1358">
        <v>73.533577009267162</v>
      </c>
    </row>
    <row r="1359" spans="1:13" hidden="1" x14ac:dyDescent="0.3">
      <c r="A1359" t="s">
        <v>1750</v>
      </c>
      <c r="B1359" t="s">
        <v>51</v>
      </c>
      <c r="C1359" t="s">
        <v>121</v>
      </c>
      <c r="D1359">
        <v>2014</v>
      </c>
      <c r="E1359" t="s">
        <v>31</v>
      </c>
      <c r="F1359" t="s">
        <v>47</v>
      </c>
      <c r="G1359" t="s">
        <v>402</v>
      </c>
      <c r="H1359" t="s">
        <v>27</v>
      </c>
      <c r="I1359" t="s">
        <v>27</v>
      </c>
      <c r="J1359" t="s">
        <v>27</v>
      </c>
      <c r="K1359">
        <v>8978</v>
      </c>
      <c r="L1359" t="s">
        <v>31</v>
      </c>
      <c r="M1359">
        <v>73.533577009267162</v>
      </c>
    </row>
    <row r="1360" spans="1:13" hidden="1" x14ac:dyDescent="0.3">
      <c r="A1360" t="s">
        <v>1751</v>
      </c>
      <c r="B1360" t="s">
        <v>51</v>
      </c>
      <c r="C1360" t="s">
        <v>121</v>
      </c>
      <c r="D1360">
        <v>2014</v>
      </c>
      <c r="E1360" t="s">
        <v>31</v>
      </c>
      <c r="F1360" t="s">
        <v>53</v>
      </c>
      <c r="G1360" t="s">
        <v>54</v>
      </c>
      <c r="H1360" t="s">
        <v>27</v>
      </c>
      <c r="I1360" t="s">
        <v>27</v>
      </c>
      <c r="J1360" t="s">
        <v>27</v>
      </c>
      <c r="K1360">
        <v>9000</v>
      </c>
      <c r="L1360" t="s">
        <v>31</v>
      </c>
      <c r="M1360">
        <v>73.533577009267162</v>
      </c>
    </row>
    <row r="1361" spans="1:13" hidden="1" x14ac:dyDescent="0.3">
      <c r="A1361" t="s">
        <v>1752</v>
      </c>
      <c r="B1361" t="s">
        <v>39</v>
      </c>
      <c r="C1361" t="s">
        <v>59</v>
      </c>
      <c r="D1361">
        <v>2014</v>
      </c>
      <c r="E1361">
        <v>34000</v>
      </c>
      <c r="F1361" t="s">
        <v>60</v>
      </c>
      <c r="G1361" t="s">
        <v>31</v>
      </c>
      <c r="H1361" t="s">
        <v>27</v>
      </c>
      <c r="I1361" t="s">
        <v>27</v>
      </c>
      <c r="J1361" t="s">
        <v>33</v>
      </c>
      <c r="K1361">
        <v>13000</v>
      </c>
      <c r="L1361">
        <v>46237</v>
      </c>
      <c r="M1361">
        <v>73.533577009267162</v>
      </c>
    </row>
    <row r="1362" spans="1:13" hidden="1" x14ac:dyDescent="0.3">
      <c r="A1362" t="s">
        <v>1753</v>
      </c>
      <c r="B1362" t="s">
        <v>39</v>
      </c>
      <c r="C1362" t="s">
        <v>41</v>
      </c>
      <c r="D1362">
        <v>2014</v>
      </c>
      <c r="E1362">
        <v>100000</v>
      </c>
      <c r="F1362" t="s">
        <v>34</v>
      </c>
      <c r="G1362" t="s">
        <v>31</v>
      </c>
      <c r="H1362" t="s">
        <v>27</v>
      </c>
      <c r="I1362" t="s">
        <v>27</v>
      </c>
      <c r="J1362" t="s">
        <v>27</v>
      </c>
      <c r="K1362">
        <v>429</v>
      </c>
      <c r="L1362">
        <v>135992</v>
      </c>
      <c r="M1362">
        <v>73.533577009267162</v>
      </c>
    </row>
    <row r="1363" spans="1:13" hidden="1" x14ac:dyDescent="0.3">
      <c r="A1363" t="s">
        <v>1754</v>
      </c>
      <c r="B1363" t="s">
        <v>51</v>
      </c>
      <c r="C1363" t="s">
        <v>121</v>
      </c>
      <c r="D1363">
        <v>2014</v>
      </c>
      <c r="E1363" t="s">
        <v>31</v>
      </c>
      <c r="F1363" t="s">
        <v>119</v>
      </c>
      <c r="G1363" t="s">
        <v>31</v>
      </c>
      <c r="H1363" t="s">
        <v>27</v>
      </c>
      <c r="I1363" t="s">
        <v>27</v>
      </c>
      <c r="J1363" t="s">
        <v>27</v>
      </c>
      <c r="K1363">
        <v>500052</v>
      </c>
      <c r="L1363" t="s">
        <v>31</v>
      </c>
      <c r="M1363">
        <v>73.533577009267162</v>
      </c>
    </row>
    <row r="1364" spans="1:13" hidden="1" x14ac:dyDescent="0.3">
      <c r="A1364" t="s">
        <v>1755</v>
      </c>
      <c r="B1364" t="s">
        <v>43</v>
      </c>
      <c r="C1364" t="s">
        <v>114</v>
      </c>
      <c r="D1364">
        <v>2014</v>
      </c>
      <c r="E1364" t="s">
        <v>31</v>
      </c>
      <c r="F1364" t="s">
        <v>45</v>
      </c>
      <c r="G1364" t="s">
        <v>31</v>
      </c>
      <c r="H1364" t="s">
        <v>27</v>
      </c>
      <c r="I1364" t="s">
        <v>27</v>
      </c>
      <c r="J1364" t="s">
        <v>27</v>
      </c>
      <c r="K1364">
        <v>39343</v>
      </c>
      <c r="L1364" t="s">
        <v>31</v>
      </c>
      <c r="M1364">
        <v>73.533577009267162</v>
      </c>
    </row>
    <row r="1365" spans="1:13" hidden="1" x14ac:dyDescent="0.3">
      <c r="A1365" t="s">
        <v>1756</v>
      </c>
      <c r="B1365" t="s">
        <v>28</v>
      </c>
      <c r="C1365" t="s">
        <v>99</v>
      </c>
      <c r="D1365">
        <v>2014</v>
      </c>
      <c r="E1365">
        <v>270000</v>
      </c>
      <c r="F1365" t="s">
        <v>34</v>
      </c>
      <c r="G1365" t="s">
        <v>100</v>
      </c>
      <c r="H1365" t="s">
        <v>27</v>
      </c>
      <c r="I1365" t="s">
        <v>27</v>
      </c>
      <c r="J1365" t="s">
        <v>27</v>
      </c>
      <c r="K1365">
        <v>300</v>
      </c>
      <c r="L1365">
        <v>367179</v>
      </c>
      <c r="M1365">
        <v>73.533577009267162</v>
      </c>
    </row>
    <row r="1366" spans="1:13" hidden="1" x14ac:dyDescent="0.3">
      <c r="A1366" t="s">
        <v>1757</v>
      </c>
      <c r="B1366" t="s">
        <v>28</v>
      </c>
      <c r="C1366" t="s">
        <v>30</v>
      </c>
      <c r="D1366">
        <v>2014</v>
      </c>
      <c r="E1366">
        <v>66000</v>
      </c>
      <c r="F1366" t="s">
        <v>34</v>
      </c>
      <c r="G1366" t="s">
        <v>31</v>
      </c>
      <c r="H1366" t="s">
        <v>27</v>
      </c>
      <c r="I1366" t="s">
        <v>27</v>
      </c>
      <c r="J1366" t="s">
        <v>27</v>
      </c>
      <c r="K1366">
        <v>834</v>
      </c>
      <c r="L1366">
        <v>89755</v>
      </c>
      <c r="M1366">
        <v>73.533577009267162</v>
      </c>
    </row>
    <row r="1367" spans="1:13" hidden="1" x14ac:dyDescent="0.3">
      <c r="A1367" t="s">
        <v>1758</v>
      </c>
      <c r="B1367" t="s">
        <v>28</v>
      </c>
      <c r="C1367" t="s">
        <v>30</v>
      </c>
      <c r="D1367">
        <v>2014</v>
      </c>
      <c r="E1367">
        <v>500</v>
      </c>
      <c r="F1367" t="s">
        <v>73</v>
      </c>
      <c r="G1367" t="s">
        <v>181</v>
      </c>
      <c r="H1367" t="s">
        <v>27</v>
      </c>
      <c r="I1367" t="s">
        <v>27</v>
      </c>
      <c r="J1367" t="s">
        <v>27</v>
      </c>
      <c r="K1367">
        <v>1500</v>
      </c>
      <c r="L1367">
        <v>680</v>
      </c>
      <c r="M1367">
        <v>73.533577009267162</v>
      </c>
    </row>
    <row r="1368" spans="1:13" hidden="1" x14ac:dyDescent="0.3">
      <c r="A1368" t="s">
        <v>1759</v>
      </c>
      <c r="B1368" t="s">
        <v>28</v>
      </c>
      <c r="C1368" t="s">
        <v>99</v>
      </c>
      <c r="D1368">
        <v>2014</v>
      </c>
      <c r="E1368">
        <v>170000</v>
      </c>
      <c r="F1368" t="s">
        <v>34</v>
      </c>
      <c r="G1368" t="s">
        <v>262</v>
      </c>
      <c r="H1368" t="s">
        <v>27</v>
      </c>
      <c r="I1368" t="s">
        <v>27</v>
      </c>
      <c r="J1368" t="s">
        <v>33</v>
      </c>
      <c r="K1368" t="s">
        <v>31</v>
      </c>
      <c r="L1368">
        <v>231187</v>
      </c>
      <c r="M1368">
        <v>73.533577009267162</v>
      </c>
    </row>
    <row r="1369" spans="1:13" hidden="1" x14ac:dyDescent="0.3">
      <c r="A1369" t="s">
        <v>1760</v>
      </c>
      <c r="B1369" t="s">
        <v>51</v>
      </c>
      <c r="C1369" t="s">
        <v>121</v>
      </c>
      <c r="D1369">
        <v>2014</v>
      </c>
      <c r="E1369">
        <v>8000</v>
      </c>
      <c r="F1369" t="s">
        <v>47</v>
      </c>
      <c r="G1369" t="s">
        <v>31</v>
      </c>
      <c r="H1369" t="s">
        <v>27</v>
      </c>
      <c r="I1369" t="s">
        <v>27</v>
      </c>
      <c r="J1369" t="s">
        <v>27</v>
      </c>
      <c r="K1369">
        <v>18000</v>
      </c>
      <c r="L1369">
        <v>10879</v>
      </c>
      <c r="M1369">
        <v>73.533577009267162</v>
      </c>
    </row>
    <row r="1370" spans="1:13" hidden="1" x14ac:dyDescent="0.3">
      <c r="A1370" t="s">
        <v>1761</v>
      </c>
      <c r="B1370" t="s">
        <v>51</v>
      </c>
      <c r="C1370" t="s">
        <v>121</v>
      </c>
      <c r="D1370">
        <v>2014</v>
      </c>
      <c r="E1370" t="s">
        <v>31</v>
      </c>
      <c r="F1370" t="s">
        <v>60</v>
      </c>
      <c r="G1370" t="s">
        <v>31</v>
      </c>
      <c r="H1370" t="s">
        <v>27</v>
      </c>
      <c r="I1370" t="s">
        <v>27</v>
      </c>
      <c r="J1370" t="s">
        <v>27</v>
      </c>
      <c r="K1370">
        <v>12555</v>
      </c>
      <c r="L1370" t="s">
        <v>31</v>
      </c>
      <c r="M1370">
        <v>73.533577009267162</v>
      </c>
    </row>
    <row r="1371" spans="1:13" hidden="1" x14ac:dyDescent="0.3">
      <c r="A1371" t="s">
        <v>1762</v>
      </c>
      <c r="B1371" t="s">
        <v>39</v>
      </c>
      <c r="C1371" t="s">
        <v>157</v>
      </c>
      <c r="D1371">
        <v>2014</v>
      </c>
      <c r="E1371">
        <v>58000</v>
      </c>
      <c r="F1371" t="s">
        <v>90</v>
      </c>
      <c r="G1371" t="s">
        <v>31</v>
      </c>
      <c r="H1371" t="s">
        <v>27</v>
      </c>
      <c r="I1371" t="s">
        <v>27</v>
      </c>
      <c r="J1371" t="s">
        <v>33</v>
      </c>
      <c r="K1371">
        <v>1300000</v>
      </c>
      <c r="L1371">
        <v>78876</v>
      </c>
      <c r="M1371">
        <v>73.533577009267162</v>
      </c>
    </row>
    <row r="1372" spans="1:13" hidden="1" x14ac:dyDescent="0.3">
      <c r="A1372" t="s">
        <v>1763</v>
      </c>
      <c r="B1372" t="s">
        <v>39</v>
      </c>
      <c r="C1372" t="s">
        <v>157</v>
      </c>
      <c r="D1372">
        <v>2014</v>
      </c>
      <c r="E1372" t="s">
        <v>31</v>
      </c>
      <c r="F1372" t="s">
        <v>111</v>
      </c>
      <c r="G1372" t="s">
        <v>31</v>
      </c>
      <c r="H1372" t="s">
        <v>27</v>
      </c>
      <c r="I1372" t="s">
        <v>27</v>
      </c>
      <c r="J1372" t="s">
        <v>33</v>
      </c>
      <c r="K1372">
        <v>51180</v>
      </c>
      <c r="L1372" t="s">
        <v>31</v>
      </c>
      <c r="M1372">
        <v>73.533577009267162</v>
      </c>
    </row>
    <row r="1373" spans="1:13" hidden="1" x14ac:dyDescent="0.3">
      <c r="A1373" t="s">
        <v>1764</v>
      </c>
      <c r="B1373" t="s">
        <v>39</v>
      </c>
      <c r="C1373" t="s">
        <v>157</v>
      </c>
      <c r="D1373">
        <v>2014</v>
      </c>
      <c r="E1373" t="s">
        <v>31</v>
      </c>
      <c r="F1373" t="s">
        <v>81</v>
      </c>
      <c r="G1373" t="s">
        <v>31</v>
      </c>
      <c r="H1373" t="s">
        <v>27</v>
      </c>
      <c r="I1373" t="s">
        <v>27</v>
      </c>
      <c r="J1373" t="s">
        <v>27</v>
      </c>
      <c r="K1373">
        <v>460000</v>
      </c>
      <c r="L1373" t="s">
        <v>31</v>
      </c>
      <c r="M1373">
        <v>73.533577009267162</v>
      </c>
    </row>
    <row r="1374" spans="1:13" hidden="1" x14ac:dyDescent="0.3">
      <c r="A1374" t="s">
        <v>2430</v>
      </c>
      <c r="B1374" t="s">
        <v>51</v>
      </c>
      <c r="C1374" t="s">
        <v>121</v>
      </c>
      <c r="D1374">
        <v>2014</v>
      </c>
      <c r="E1374" t="s">
        <v>31</v>
      </c>
      <c r="F1374" t="s">
        <v>49</v>
      </c>
      <c r="G1374" t="s">
        <v>31</v>
      </c>
      <c r="H1374" t="s">
        <v>27</v>
      </c>
      <c r="I1374" t="s">
        <v>27</v>
      </c>
      <c r="J1374" t="s">
        <v>27</v>
      </c>
      <c r="K1374">
        <v>20000</v>
      </c>
      <c r="L1374" t="s">
        <v>31</v>
      </c>
      <c r="M1374">
        <v>73.533577009267162</v>
      </c>
    </row>
    <row r="1375" spans="1:13" hidden="1" x14ac:dyDescent="0.3">
      <c r="A1375" t="s">
        <v>2431</v>
      </c>
      <c r="B1375" t="s">
        <v>28</v>
      </c>
      <c r="C1375" t="s">
        <v>68</v>
      </c>
      <c r="D1375">
        <v>2014</v>
      </c>
      <c r="E1375" t="s">
        <v>31</v>
      </c>
      <c r="F1375" t="s">
        <v>77</v>
      </c>
      <c r="G1375" t="s">
        <v>31</v>
      </c>
      <c r="H1375" t="s">
        <v>27</v>
      </c>
      <c r="I1375" t="s">
        <v>27</v>
      </c>
      <c r="J1375" t="s">
        <v>27</v>
      </c>
      <c r="K1375" t="s">
        <v>31</v>
      </c>
      <c r="L1375" t="s">
        <v>31</v>
      </c>
      <c r="M1375">
        <v>73.533577009267162</v>
      </c>
    </row>
    <row r="1376" spans="1:13" hidden="1" x14ac:dyDescent="0.3">
      <c r="A1376" t="s">
        <v>2432</v>
      </c>
      <c r="B1376" t="s">
        <v>28</v>
      </c>
      <c r="C1376" t="s">
        <v>68</v>
      </c>
      <c r="D1376">
        <v>2014</v>
      </c>
      <c r="E1376">
        <v>2500000</v>
      </c>
      <c r="F1376" t="s">
        <v>34</v>
      </c>
      <c r="G1376" t="s">
        <v>31</v>
      </c>
      <c r="H1376" t="s">
        <v>27</v>
      </c>
      <c r="I1376" t="s">
        <v>27</v>
      </c>
      <c r="J1376" t="s">
        <v>33</v>
      </c>
      <c r="K1376" t="s">
        <v>31</v>
      </c>
      <c r="L1376">
        <v>3399807</v>
      </c>
      <c r="M1376">
        <v>73.533577009267162</v>
      </c>
    </row>
    <row r="1377" spans="1:13" hidden="1" x14ac:dyDescent="0.3">
      <c r="A1377" t="s">
        <v>2433</v>
      </c>
      <c r="B1377" t="s">
        <v>51</v>
      </c>
      <c r="C1377" t="s">
        <v>134</v>
      </c>
      <c r="D1377">
        <v>2014</v>
      </c>
      <c r="E1377">
        <v>200000</v>
      </c>
      <c r="F1377" t="s">
        <v>111</v>
      </c>
      <c r="G1377" t="s">
        <v>31</v>
      </c>
      <c r="H1377" t="s">
        <v>27</v>
      </c>
      <c r="I1377" t="s">
        <v>27</v>
      </c>
      <c r="J1377" t="s">
        <v>33</v>
      </c>
      <c r="K1377">
        <v>11400</v>
      </c>
      <c r="L1377">
        <v>271985</v>
      </c>
      <c r="M1377">
        <v>73.533577009267162</v>
      </c>
    </row>
    <row r="1378" spans="1:13" hidden="1" x14ac:dyDescent="0.3">
      <c r="A1378" t="s">
        <v>2434</v>
      </c>
      <c r="B1378" t="s">
        <v>28</v>
      </c>
      <c r="C1378" t="s">
        <v>67</v>
      </c>
      <c r="D1378">
        <v>2014</v>
      </c>
      <c r="E1378">
        <v>250000</v>
      </c>
      <c r="F1378" t="s">
        <v>34</v>
      </c>
      <c r="G1378" t="s">
        <v>68</v>
      </c>
      <c r="H1378" t="s">
        <v>27</v>
      </c>
      <c r="I1378" t="s">
        <v>27</v>
      </c>
      <c r="J1378" t="s">
        <v>33</v>
      </c>
      <c r="K1378" t="s">
        <v>31</v>
      </c>
      <c r="L1378">
        <v>339981</v>
      </c>
      <c r="M1378">
        <v>73.533577009267162</v>
      </c>
    </row>
    <row r="1379" spans="1:13" hidden="1" x14ac:dyDescent="0.3">
      <c r="A1379" t="s">
        <v>2435</v>
      </c>
      <c r="B1379" t="s">
        <v>28</v>
      </c>
      <c r="C1379" t="s">
        <v>67</v>
      </c>
      <c r="D1379">
        <v>2014</v>
      </c>
      <c r="E1379">
        <v>210000</v>
      </c>
      <c r="F1379" t="s">
        <v>34</v>
      </c>
      <c r="G1379" t="s">
        <v>31</v>
      </c>
      <c r="H1379" t="s">
        <v>27</v>
      </c>
      <c r="I1379" t="s">
        <v>27</v>
      </c>
      <c r="J1379" t="s">
        <v>27</v>
      </c>
      <c r="K1379" t="s">
        <v>31</v>
      </c>
      <c r="L1379">
        <v>285584</v>
      </c>
      <c r="M1379">
        <v>73.533577009267162</v>
      </c>
    </row>
    <row r="1380" spans="1:13" hidden="1" x14ac:dyDescent="0.3">
      <c r="A1380" t="s">
        <v>2436</v>
      </c>
      <c r="B1380" t="s">
        <v>28</v>
      </c>
      <c r="C1380" t="s">
        <v>67</v>
      </c>
      <c r="D1380">
        <v>2014</v>
      </c>
      <c r="E1380">
        <v>2000</v>
      </c>
      <c r="F1380" t="s">
        <v>34</v>
      </c>
      <c r="G1380" t="s">
        <v>31</v>
      </c>
      <c r="H1380" t="s">
        <v>27</v>
      </c>
      <c r="I1380" t="s">
        <v>27</v>
      </c>
      <c r="J1380" t="s">
        <v>27</v>
      </c>
      <c r="K1380" t="s">
        <v>31</v>
      </c>
      <c r="L1380">
        <v>2720</v>
      </c>
      <c r="M1380">
        <v>73.533577009267162</v>
      </c>
    </row>
    <row r="1381" spans="1:13" hidden="1" x14ac:dyDescent="0.3">
      <c r="A1381" t="s">
        <v>2437</v>
      </c>
      <c r="B1381" t="s">
        <v>28</v>
      </c>
      <c r="C1381" t="s">
        <v>67</v>
      </c>
      <c r="D1381">
        <v>2014</v>
      </c>
      <c r="E1381">
        <v>750000</v>
      </c>
      <c r="F1381" t="s">
        <v>34</v>
      </c>
      <c r="G1381" t="s">
        <v>68</v>
      </c>
      <c r="H1381" t="s">
        <v>27</v>
      </c>
      <c r="I1381" t="s">
        <v>27</v>
      </c>
      <c r="J1381" t="s">
        <v>33</v>
      </c>
      <c r="K1381" t="s">
        <v>31</v>
      </c>
      <c r="L1381">
        <v>1019942</v>
      </c>
      <c r="M1381">
        <v>73.533577009267162</v>
      </c>
    </row>
    <row r="1382" spans="1:13" hidden="1" x14ac:dyDescent="0.3">
      <c r="A1382" t="s">
        <v>2438</v>
      </c>
      <c r="B1382" t="s">
        <v>28</v>
      </c>
      <c r="C1382" t="s">
        <v>30</v>
      </c>
      <c r="D1382">
        <v>2014</v>
      </c>
      <c r="E1382" t="s">
        <v>31</v>
      </c>
      <c r="F1382" t="s">
        <v>90</v>
      </c>
      <c r="G1382" t="s">
        <v>82</v>
      </c>
      <c r="H1382" t="s">
        <v>27</v>
      </c>
      <c r="I1382" t="s">
        <v>27</v>
      </c>
      <c r="J1382" t="s">
        <v>27</v>
      </c>
      <c r="K1382">
        <v>100000</v>
      </c>
      <c r="L1382" t="s">
        <v>31</v>
      </c>
      <c r="M1382">
        <v>73.533577009267162</v>
      </c>
    </row>
    <row r="1383" spans="1:13" hidden="1" x14ac:dyDescent="0.3">
      <c r="A1383" t="s">
        <v>2439</v>
      </c>
      <c r="B1383" t="s">
        <v>51</v>
      </c>
      <c r="C1383" t="s">
        <v>121</v>
      </c>
      <c r="D1383">
        <v>2014</v>
      </c>
      <c r="E1383">
        <v>62000</v>
      </c>
      <c r="F1383" t="s">
        <v>130</v>
      </c>
      <c r="G1383" t="s">
        <v>31</v>
      </c>
      <c r="H1383" t="s">
        <v>27</v>
      </c>
      <c r="I1383" t="s">
        <v>27</v>
      </c>
      <c r="J1383" t="s">
        <v>27</v>
      </c>
      <c r="K1383" t="s">
        <v>31</v>
      </c>
      <c r="L1383">
        <v>84315</v>
      </c>
      <c r="M1383">
        <v>73.533577009267162</v>
      </c>
    </row>
    <row r="1384" spans="1:13" hidden="1" x14ac:dyDescent="0.3">
      <c r="A1384" t="s">
        <v>2440</v>
      </c>
      <c r="B1384" t="s">
        <v>51</v>
      </c>
      <c r="C1384" t="s">
        <v>121</v>
      </c>
      <c r="D1384">
        <v>2014</v>
      </c>
      <c r="E1384" t="s">
        <v>31</v>
      </c>
      <c r="F1384" t="s">
        <v>117</v>
      </c>
      <c r="G1384" t="s">
        <v>31</v>
      </c>
      <c r="H1384" t="s">
        <v>27</v>
      </c>
      <c r="I1384" t="s">
        <v>27</v>
      </c>
      <c r="J1384" t="s">
        <v>33</v>
      </c>
      <c r="K1384">
        <v>231360</v>
      </c>
      <c r="L1384" t="s">
        <v>31</v>
      </c>
      <c r="M1384">
        <v>73.533577009267162</v>
      </c>
    </row>
    <row r="1385" spans="1:13" hidden="1" x14ac:dyDescent="0.3">
      <c r="A1385" t="s">
        <v>2441</v>
      </c>
      <c r="B1385" t="s">
        <v>51</v>
      </c>
      <c r="C1385" t="s">
        <v>121</v>
      </c>
      <c r="D1385">
        <v>2014</v>
      </c>
      <c r="E1385" t="s">
        <v>31</v>
      </c>
      <c r="F1385" t="s">
        <v>166</v>
      </c>
      <c r="G1385" t="s">
        <v>54</v>
      </c>
      <c r="H1385" t="s">
        <v>27</v>
      </c>
      <c r="I1385" t="s">
        <v>27</v>
      </c>
      <c r="J1385" t="s">
        <v>27</v>
      </c>
      <c r="K1385">
        <v>116</v>
      </c>
      <c r="L1385" t="s">
        <v>31</v>
      </c>
      <c r="M1385">
        <v>73.533577009267162</v>
      </c>
    </row>
    <row r="1386" spans="1:13" hidden="1" x14ac:dyDescent="0.3">
      <c r="A1386" t="s">
        <v>2442</v>
      </c>
      <c r="B1386" t="s">
        <v>28</v>
      </c>
      <c r="C1386" t="s">
        <v>30</v>
      </c>
      <c r="D1386">
        <v>2014</v>
      </c>
      <c r="E1386">
        <v>25000</v>
      </c>
      <c r="F1386" t="s">
        <v>73</v>
      </c>
      <c r="G1386" t="s">
        <v>37</v>
      </c>
      <c r="H1386" t="s">
        <v>27</v>
      </c>
      <c r="I1386" t="s">
        <v>27</v>
      </c>
      <c r="J1386" t="s">
        <v>27</v>
      </c>
      <c r="K1386">
        <v>7500</v>
      </c>
      <c r="L1386">
        <v>33998</v>
      </c>
      <c r="M1386">
        <v>73.533577009267162</v>
      </c>
    </row>
    <row r="1387" spans="1:13" hidden="1" x14ac:dyDescent="0.3">
      <c r="A1387" t="s">
        <v>2443</v>
      </c>
      <c r="B1387" t="s">
        <v>28</v>
      </c>
      <c r="C1387" t="s">
        <v>30</v>
      </c>
      <c r="D1387">
        <v>2014</v>
      </c>
      <c r="E1387">
        <v>2000</v>
      </c>
      <c r="F1387" t="s">
        <v>73</v>
      </c>
      <c r="G1387" t="s">
        <v>82</v>
      </c>
      <c r="H1387" t="s">
        <v>27</v>
      </c>
      <c r="I1387" t="s">
        <v>27</v>
      </c>
      <c r="J1387" t="s">
        <v>33</v>
      </c>
      <c r="K1387">
        <v>30000</v>
      </c>
      <c r="L1387">
        <v>2720</v>
      </c>
      <c r="M1387">
        <v>73.533577009267162</v>
      </c>
    </row>
    <row r="1388" spans="1:13" hidden="1" x14ac:dyDescent="0.3">
      <c r="A1388" t="s">
        <v>2444</v>
      </c>
      <c r="B1388" t="s">
        <v>43</v>
      </c>
      <c r="C1388" t="s">
        <v>114</v>
      </c>
      <c r="D1388">
        <v>2014</v>
      </c>
      <c r="E1388" t="s">
        <v>31</v>
      </c>
      <c r="F1388" t="s">
        <v>115</v>
      </c>
      <c r="G1388" t="s">
        <v>31</v>
      </c>
      <c r="H1388" t="s">
        <v>27</v>
      </c>
      <c r="I1388" t="s">
        <v>27</v>
      </c>
      <c r="J1388" t="s">
        <v>27</v>
      </c>
      <c r="K1388">
        <v>12783</v>
      </c>
      <c r="L1388" t="s">
        <v>31</v>
      </c>
      <c r="M1388">
        <v>73.533577009267162</v>
      </c>
    </row>
    <row r="1389" spans="1:13" hidden="1" x14ac:dyDescent="0.3">
      <c r="A1389" t="s">
        <v>2445</v>
      </c>
      <c r="B1389" t="s">
        <v>51</v>
      </c>
      <c r="C1389" t="s">
        <v>56</v>
      </c>
      <c r="D1389">
        <v>2014</v>
      </c>
      <c r="E1389">
        <v>90000</v>
      </c>
      <c r="F1389" t="s">
        <v>34</v>
      </c>
      <c r="G1389" t="s">
        <v>54</v>
      </c>
      <c r="H1389" t="s">
        <v>27</v>
      </c>
      <c r="I1389" t="s">
        <v>27</v>
      </c>
      <c r="J1389" t="s">
        <v>27</v>
      </c>
      <c r="K1389">
        <v>40</v>
      </c>
      <c r="L1389">
        <v>122393</v>
      </c>
      <c r="M1389">
        <v>73.533577009267162</v>
      </c>
    </row>
    <row r="1390" spans="1:13" hidden="1" x14ac:dyDescent="0.3">
      <c r="A1390" t="s">
        <v>2446</v>
      </c>
      <c r="B1390" t="s">
        <v>51</v>
      </c>
      <c r="C1390" t="s">
        <v>121</v>
      </c>
      <c r="D1390">
        <v>2014</v>
      </c>
      <c r="E1390" t="s">
        <v>31</v>
      </c>
      <c r="F1390" t="s">
        <v>53</v>
      </c>
      <c r="G1390" t="s">
        <v>31</v>
      </c>
      <c r="H1390" t="s">
        <v>27</v>
      </c>
      <c r="I1390" t="s">
        <v>27</v>
      </c>
      <c r="J1390" t="s">
        <v>33</v>
      </c>
      <c r="K1390">
        <v>83878</v>
      </c>
      <c r="L1390" t="s">
        <v>31</v>
      </c>
      <c r="M1390">
        <v>73.533577009267162</v>
      </c>
    </row>
    <row r="1391" spans="1:13" hidden="1" x14ac:dyDescent="0.3">
      <c r="A1391" t="s">
        <v>2447</v>
      </c>
      <c r="B1391" t="s">
        <v>51</v>
      </c>
      <c r="C1391" t="s">
        <v>121</v>
      </c>
      <c r="D1391">
        <v>2014</v>
      </c>
      <c r="E1391" t="s">
        <v>31</v>
      </c>
      <c r="F1391" t="s">
        <v>53</v>
      </c>
      <c r="G1391" t="s">
        <v>31</v>
      </c>
      <c r="H1391" t="s">
        <v>27</v>
      </c>
      <c r="I1391" t="s">
        <v>27</v>
      </c>
      <c r="J1391" t="s">
        <v>27</v>
      </c>
      <c r="K1391" t="s">
        <v>31</v>
      </c>
      <c r="L1391" t="s">
        <v>31</v>
      </c>
      <c r="M1391">
        <v>73.533577009267162</v>
      </c>
    </row>
    <row r="1392" spans="1:13" hidden="1" x14ac:dyDescent="0.3">
      <c r="A1392" t="s">
        <v>2448</v>
      </c>
      <c r="B1392" t="s">
        <v>39</v>
      </c>
      <c r="C1392" t="s">
        <v>157</v>
      </c>
      <c r="D1392">
        <v>2014</v>
      </c>
      <c r="E1392">
        <v>2200000</v>
      </c>
      <c r="F1392" t="s">
        <v>34</v>
      </c>
      <c r="G1392" t="s">
        <v>31</v>
      </c>
      <c r="H1392" t="s">
        <v>27</v>
      </c>
      <c r="I1392" t="s">
        <v>27</v>
      </c>
      <c r="J1392" t="s">
        <v>27</v>
      </c>
      <c r="K1392" t="s">
        <v>31</v>
      </c>
      <c r="L1392">
        <v>2991831</v>
      </c>
      <c r="M1392">
        <v>73.533577009267162</v>
      </c>
    </row>
    <row r="1393" spans="1:13" hidden="1" x14ac:dyDescent="0.3">
      <c r="A1393" t="s">
        <v>2449</v>
      </c>
      <c r="B1393" t="s">
        <v>39</v>
      </c>
      <c r="C1393" t="s">
        <v>157</v>
      </c>
      <c r="D1393">
        <v>2014</v>
      </c>
      <c r="E1393">
        <v>2000</v>
      </c>
      <c r="F1393" t="s">
        <v>45</v>
      </c>
      <c r="G1393" t="s">
        <v>196</v>
      </c>
      <c r="H1393" t="s">
        <v>27</v>
      </c>
      <c r="I1393" t="s">
        <v>27</v>
      </c>
      <c r="J1393" t="s">
        <v>33</v>
      </c>
      <c r="K1393">
        <v>1000000</v>
      </c>
      <c r="L1393">
        <v>2720</v>
      </c>
      <c r="M1393">
        <v>73.533577009267162</v>
      </c>
    </row>
    <row r="1394" spans="1:13" hidden="1" x14ac:dyDescent="0.3">
      <c r="A1394" t="s">
        <v>2450</v>
      </c>
      <c r="B1394" t="s">
        <v>39</v>
      </c>
      <c r="C1394" t="s">
        <v>157</v>
      </c>
      <c r="D1394">
        <v>2014</v>
      </c>
      <c r="E1394">
        <v>10000</v>
      </c>
      <c r="F1394" t="s">
        <v>234</v>
      </c>
      <c r="G1394" t="s">
        <v>196</v>
      </c>
      <c r="H1394" t="s">
        <v>27</v>
      </c>
      <c r="I1394" t="s">
        <v>27</v>
      </c>
      <c r="J1394" t="s">
        <v>27</v>
      </c>
      <c r="K1394">
        <v>91545</v>
      </c>
      <c r="L1394">
        <v>13599</v>
      </c>
      <c r="M1394">
        <v>73.533577009267162</v>
      </c>
    </row>
    <row r="1395" spans="1:13" hidden="1" x14ac:dyDescent="0.3">
      <c r="A1395" t="s">
        <v>307</v>
      </c>
      <c r="B1395" t="s">
        <v>39</v>
      </c>
      <c r="C1395" t="s">
        <v>157</v>
      </c>
      <c r="D1395">
        <v>2015</v>
      </c>
      <c r="E1395" t="s">
        <v>31</v>
      </c>
      <c r="F1395" t="s">
        <v>47</v>
      </c>
      <c r="G1395" t="s">
        <v>40</v>
      </c>
      <c r="H1395" t="s">
        <v>27</v>
      </c>
      <c r="I1395" t="s">
        <v>27</v>
      </c>
      <c r="J1395" t="s">
        <v>27</v>
      </c>
      <c r="K1395" t="s">
        <v>31</v>
      </c>
      <c r="L1395" t="s">
        <v>31</v>
      </c>
      <c r="M1395">
        <v>73.620802936586429</v>
      </c>
    </row>
    <row r="1396" spans="1:13" hidden="1" x14ac:dyDescent="0.3">
      <c r="A1396" t="s">
        <v>308</v>
      </c>
      <c r="B1396" t="s">
        <v>39</v>
      </c>
      <c r="C1396" t="s">
        <v>157</v>
      </c>
      <c r="D1396">
        <v>2015</v>
      </c>
      <c r="E1396">
        <v>4500000</v>
      </c>
      <c r="F1396" t="s">
        <v>34</v>
      </c>
      <c r="G1396" t="s">
        <v>31</v>
      </c>
      <c r="H1396" t="s">
        <v>27</v>
      </c>
      <c r="I1396" t="s">
        <v>27</v>
      </c>
      <c r="J1396" t="s">
        <v>27</v>
      </c>
      <c r="K1396" t="s">
        <v>31</v>
      </c>
      <c r="L1396">
        <v>6112403</v>
      </c>
      <c r="M1396">
        <v>73.620802936586429</v>
      </c>
    </row>
    <row r="1397" spans="1:13" hidden="1" x14ac:dyDescent="0.3">
      <c r="A1397" t="s">
        <v>313</v>
      </c>
      <c r="B1397" t="s">
        <v>28</v>
      </c>
      <c r="C1397" t="s">
        <v>30</v>
      </c>
      <c r="D1397">
        <v>2015</v>
      </c>
      <c r="E1397" t="s">
        <v>31</v>
      </c>
      <c r="F1397" t="s">
        <v>75</v>
      </c>
      <c r="G1397" t="s">
        <v>31</v>
      </c>
      <c r="H1397" t="s">
        <v>27</v>
      </c>
      <c r="I1397" t="s">
        <v>27</v>
      </c>
      <c r="J1397" t="s">
        <v>27</v>
      </c>
      <c r="K1397">
        <v>2133</v>
      </c>
      <c r="L1397" t="s">
        <v>31</v>
      </c>
      <c r="M1397">
        <v>73.620802936586429</v>
      </c>
    </row>
    <row r="1398" spans="1:13" hidden="1" x14ac:dyDescent="0.3">
      <c r="A1398" t="s">
        <v>316</v>
      </c>
      <c r="B1398" t="s">
        <v>51</v>
      </c>
      <c r="C1398" t="s">
        <v>52</v>
      </c>
      <c r="D1398">
        <v>2015</v>
      </c>
      <c r="E1398" t="s">
        <v>31</v>
      </c>
      <c r="F1398" t="s">
        <v>57</v>
      </c>
      <c r="G1398" t="s">
        <v>31</v>
      </c>
      <c r="H1398" t="s">
        <v>27</v>
      </c>
      <c r="I1398" t="s">
        <v>27</v>
      </c>
      <c r="J1398" t="s">
        <v>27</v>
      </c>
      <c r="K1398">
        <v>10000</v>
      </c>
      <c r="L1398" t="s">
        <v>31</v>
      </c>
      <c r="M1398">
        <v>73.620802936586429</v>
      </c>
    </row>
    <row r="1399" spans="1:13" hidden="1" x14ac:dyDescent="0.3">
      <c r="A1399" t="s">
        <v>317</v>
      </c>
      <c r="B1399" t="s">
        <v>28</v>
      </c>
      <c r="C1399" t="s">
        <v>99</v>
      </c>
      <c r="D1399">
        <v>2015</v>
      </c>
      <c r="E1399">
        <v>270000</v>
      </c>
      <c r="F1399" t="s">
        <v>34</v>
      </c>
      <c r="G1399" t="s">
        <v>100</v>
      </c>
      <c r="H1399" t="s">
        <v>27</v>
      </c>
      <c r="I1399" t="s">
        <v>27</v>
      </c>
      <c r="J1399" t="s">
        <v>27</v>
      </c>
      <c r="K1399" t="s">
        <v>31</v>
      </c>
      <c r="L1399">
        <v>366744</v>
      </c>
      <c r="M1399">
        <v>73.620802936586429</v>
      </c>
    </row>
    <row r="1400" spans="1:13" hidden="1" x14ac:dyDescent="0.3">
      <c r="A1400" t="s">
        <v>318</v>
      </c>
      <c r="B1400" t="s">
        <v>28</v>
      </c>
      <c r="C1400" t="s">
        <v>30</v>
      </c>
      <c r="D1400">
        <v>2015</v>
      </c>
      <c r="E1400">
        <v>90000</v>
      </c>
      <c r="F1400" t="s">
        <v>102</v>
      </c>
      <c r="G1400" t="s">
        <v>85</v>
      </c>
      <c r="H1400" t="s">
        <v>33</v>
      </c>
      <c r="I1400" t="s">
        <v>27</v>
      </c>
      <c r="J1400" t="s">
        <v>27</v>
      </c>
      <c r="K1400">
        <v>6710</v>
      </c>
      <c r="L1400">
        <v>122248</v>
      </c>
      <c r="M1400">
        <v>73.620802936586429</v>
      </c>
    </row>
    <row r="1401" spans="1:13" hidden="1" x14ac:dyDescent="0.3">
      <c r="A1401" t="s">
        <v>320</v>
      </c>
      <c r="B1401" t="s">
        <v>28</v>
      </c>
      <c r="C1401" t="s">
        <v>30</v>
      </c>
      <c r="D1401">
        <v>2015</v>
      </c>
      <c r="E1401">
        <v>2000000</v>
      </c>
      <c r="F1401" t="s">
        <v>34</v>
      </c>
      <c r="G1401" t="s">
        <v>37</v>
      </c>
      <c r="H1401" t="s">
        <v>27</v>
      </c>
      <c r="I1401" t="s">
        <v>27</v>
      </c>
      <c r="J1401" t="s">
        <v>27</v>
      </c>
      <c r="K1401">
        <v>800</v>
      </c>
      <c r="L1401">
        <v>2716623</v>
      </c>
      <c r="M1401">
        <v>73.620802936586429</v>
      </c>
    </row>
    <row r="1402" spans="1:13" hidden="1" x14ac:dyDescent="0.3">
      <c r="A1402" t="s">
        <v>321</v>
      </c>
      <c r="B1402" t="s">
        <v>51</v>
      </c>
      <c r="C1402" t="s">
        <v>121</v>
      </c>
      <c r="D1402">
        <v>2015</v>
      </c>
      <c r="E1402" t="s">
        <v>31</v>
      </c>
      <c r="F1402" t="s">
        <v>166</v>
      </c>
      <c r="G1402" t="s">
        <v>31</v>
      </c>
      <c r="H1402" t="s">
        <v>27</v>
      </c>
      <c r="I1402" t="s">
        <v>27</v>
      </c>
      <c r="J1402" t="s">
        <v>27</v>
      </c>
      <c r="K1402">
        <v>3500</v>
      </c>
      <c r="L1402" t="s">
        <v>31</v>
      </c>
      <c r="M1402">
        <v>73.620802936586429</v>
      </c>
    </row>
    <row r="1403" spans="1:13" hidden="1" x14ac:dyDescent="0.3">
      <c r="A1403" t="s">
        <v>322</v>
      </c>
      <c r="B1403" t="s">
        <v>51</v>
      </c>
      <c r="C1403" t="s">
        <v>56</v>
      </c>
      <c r="D1403">
        <v>2015</v>
      </c>
      <c r="E1403">
        <v>2000</v>
      </c>
      <c r="F1403" t="s">
        <v>34</v>
      </c>
      <c r="G1403" t="s">
        <v>31</v>
      </c>
      <c r="H1403" t="s">
        <v>27</v>
      </c>
      <c r="I1403" t="s">
        <v>27</v>
      </c>
      <c r="J1403" t="s">
        <v>27</v>
      </c>
      <c r="K1403" t="s">
        <v>31</v>
      </c>
      <c r="L1403">
        <v>2717</v>
      </c>
      <c r="M1403">
        <v>73.620802936586429</v>
      </c>
    </row>
    <row r="1404" spans="1:13" hidden="1" x14ac:dyDescent="0.3">
      <c r="A1404" t="s">
        <v>324</v>
      </c>
      <c r="B1404" t="s">
        <v>28</v>
      </c>
      <c r="C1404" t="s">
        <v>30</v>
      </c>
      <c r="D1404">
        <v>2015</v>
      </c>
      <c r="E1404">
        <v>482810</v>
      </c>
      <c r="F1404" t="s">
        <v>35</v>
      </c>
      <c r="G1404" t="s">
        <v>82</v>
      </c>
      <c r="H1404" t="s">
        <v>33</v>
      </c>
      <c r="I1404" t="s">
        <v>27</v>
      </c>
      <c r="J1404" t="s">
        <v>33</v>
      </c>
      <c r="K1404">
        <v>28594</v>
      </c>
      <c r="L1404">
        <v>655806</v>
      </c>
      <c r="M1404">
        <v>73.620802936586429</v>
      </c>
    </row>
    <row r="1405" spans="1:13" hidden="1" x14ac:dyDescent="0.3">
      <c r="A1405" t="s">
        <v>325</v>
      </c>
      <c r="B1405" t="s">
        <v>51</v>
      </c>
      <c r="C1405" t="s">
        <v>121</v>
      </c>
      <c r="D1405">
        <v>2015</v>
      </c>
      <c r="E1405" t="s">
        <v>31</v>
      </c>
      <c r="F1405" t="s">
        <v>57</v>
      </c>
      <c r="G1405" t="s">
        <v>31</v>
      </c>
      <c r="H1405" t="s">
        <v>27</v>
      </c>
      <c r="I1405" t="s">
        <v>27</v>
      </c>
      <c r="J1405" t="s">
        <v>27</v>
      </c>
      <c r="K1405">
        <v>2326</v>
      </c>
      <c r="L1405" t="s">
        <v>31</v>
      </c>
      <c r="M1405">
        <v>73.620802936586429</v>
      </c>
    </row>
    <row r="1406" spans="1:13" hidden="1" x14ac:dyDescent="0.3">
      <c r="A1406" t="s">
        <v>330</v>
      </c>
      <c r="B1406" t="s">
        <v>51</v>
      </c>
      <c r="C1406" t="s">
        <v>121</v>
      </c>
      <c r="D1406">
        <v>2015</v>
      </c>
      <c r="E1406" t="s">
        <v>31</v>
      </c>
      <c r="F1406" t="s">
        <v>130</v>
      </c>
      <c r="G1406" t="s">
        <v>31</v>
      </c>
      <c r="H1406" t="s">
        <v>27</v>
      </c>
      <c r="I1406" t="s">
        <v>27</v>
      </c>
      <c r="J1406" t="s">
        <v>27</v>
      </c>
      <c r="K1406">
        <v>50000</v>
      </c>
      <c r="L1406" t="s">
        <v>31</v>
      </c>
      <c r="M1406">
        <v>73.620802936586429</v>
      </c>
    </row>
    <row r="1407" spans="1:13" hidden="1" x14ac:dyDescent="0.3">
      <c r="A1407" t="s">
        <v>333</v>
      </c>
      <c r="B1407" t="s">
        <v>28</v>
      </c>
      <c r="C1407" t="s">
        <v>68</v>
      </c>
      <c r="D1407">
        <v>2015</v>
      </c>
      <c r="E1407">
        <v>94000</v>
      </c>
      <c r="F1407" t="s">
        <v>53</v>
      </c>
      <c r="G1407" t="s">
        <v>31</v>
      </c>
      <c r="H1407" t="s">
        <v>27</v>
      </c>
      <c r="I1407" t="s">
        <v>27</v>
      </c>
      <c r="J1407" t="s">
        <v>33</v>
      </c>
      <c r="K1407">
        <v>200620</v>
      </c>
      <c r="L1407">
        <v>127681</v>
      </c>
      <c r="M1407">
        <v>73.620802936586429</v>
      </c>
    </row>
    <row r="1408" spans="1:13" hidden="1" x14ac:dyDescent="0.3">
      <c r="A1408" t="s">
        <v>334</v>
      </c>
      <c r="B1408" t="s">
        <v>51</v>
      </c>
      <c r="C1408" t="s">
        <v>121</v>
      </c>
      <c r="D1408">
        <v>2015</v>
      </c>
      <c r="E1408" t="s">
        <v>31</v>
      </c>
      <c r="F1408" t="s">
        <v>70</v>
      </c>
      <c r="G1408" t="s">
        <v>31</v>
      </c>
      <c r="H1408" t="s">
        <v>27</v>
      </c>
      <c r="I1408" t="s">
        <v>27</v>
      </c>
      <c r="J1408" t="s">
        <v>33</v>
      </c>
      <c r="K1408">
        <v>45297</v>
      </c>
      <c r="L1408" t="s">
        <v>31</v>
      </c>
      <c r="M1408">
        <v>73.620802936586429</v>
      </c>
    </row>
    <row r="1409" spans="1:13" hidden="1" x14ac:dyDescent="0.3">
      <c r="A1409" t="s">
        <v>337</v>
      </c>
      <c r="B1409" t="s">
        <v>28</v>
      </c>
      <c r="C1409" t="s">
        <v>99</v>
      </c>
      <c r="D1409">
        <v>2015</v>
      </c>
      <c r="E1409">
        <v>650000</v>
      </c>
      <c r="F1409" t="s">
        <v>34</v>
      </c>
      <c r="G1409" t="s">
        <v>100</v>
      </c>
      <c r="H1409" t="s">
        <v>27</v>
      </c>
      <c r="I1409" t="s">
        <v>27</v>
      </c>
      <c r="J1409" t="s">
        <v>27</v>
      </c>
      <c r="K1409" t="s">
        <v>31</v>
      </c>
      <c r="L1409">
        <v>882903</v>
      </c>
      <c r="M1409">
        <v>73.620802936586429</v>
      </c>
    </row>
    <row r="1410" spans="1:13" hidden="1" x14ac:dyDescent="0.3">
      <c r="A1410" t="s">
        <v>342</v>
      </c>
      <c r="B1410" t="s">
        <v>51</v>
      </c>
      <c r="C1410" t="s">
        <v>56</v>
      </c>
      <c r="D1410">
        <v>2015</v>
      </c>
      <c r="E1410" t="s">
        <v>31</v>
      </c>
      <c r="F1410" t="s">
        <v>34</v>
      </c>
      <c r="G1410" t="s">
        <v>31</v>
      </c>
      <c r="H1410" t="s">
        <v>27</v>
      </c>
      <c r="I1410" t="s">
        <v>27</v>
      </c>
      <c r="J1410" t="s">
        <v>27</v>
      </c>
      <c r="K1410">
        <v>12000</v>
      </c>
      <c r="L1410" t="s">
        <v>31</v>
      </c>
      <c r="M1410">
        <v>73.620802936586429</v>
      </c>
    </row>
    <row r="1411" spans="1:13" hidden="1" x14ac:dyDescent="0.3">
      <c r="A1411" t="s">
        <v>344</v>
      </c>
      <c r="B1411" t="s">
        <v>91</v>
      </c>
      <c r="C1411" t="s">
        <v>105</v>
      </c>
      <c r="D1411">
        <v>2015</v>
      </c>
      <c r="E1411">
        <v>600000</v>
      </c>
      <c r="F1411" t="s">
        <v>60</v>
      </c>
      <c r="G1411" t="s">
        <v>31</v>
      </c>
      <c r="H1411" t="s">
        <v>27</v>
      </c>
      <c r="I1411" t="s">
        <v>27</v>
      </c>
      <c r="J1411" t="s">
        <v>27</v>
      </c>
      <c r="K1411">
        <v>4000</v>
      </c>
      <c r="L1411">
        <v>814987</v>
      </c>
      <c r="M1411">
        <v>73.620802936586429</v>
      </c>
    </row>
    <row r="1412" spans="1:13" hidden="1" x14ac:dyDescent="0.3">
      <c r="A1412" t="s">
        <v>345</v>
      </c>
      <c r="B1412" t="s">
        <v>28</v>
      </c>
      <c r="C1412" t="s">
        <v>64</v>
      </c>
      <c r="D1412">
        <v>2015</v>
      </c>
      <c r="E1412">
        <v>2000</v>
      </c>
      <c r="F1412" t="s">
        <v>73</v>
      </c>
      <c r="G1412" t="s">
        <v>100</v>
      </c>
      <c r="H1412" t="s">
        <v>27</v>
      </c>
      <c r="I1412" t="s">
        <v>27</v>
      </c>
      <c r="J1412" t="s">
        <v>27</v>
      </c>
      <c r="K1412">
        <v>1471</v>
      </c>
      <c r="L1412">
        <v>2717</v>
      </c>
      <c r="M1412">
        <v>73.620802936586429</v>
      </c>
    </row>
    <row r="1413" spans="1:13" hidden="1" x14ac:dyDescent="0.3">
      <c r="A1413" t="s">
        <v>346</v>
      </c>
      <c r="B1413" t="s">
        <v>51</v>
      </c>
      <c r="C1413" t="s">
        <v>121</v>
      </c>
      <c r="D1413">
        <v>2015</v>
      </c>
      <c r="E1413" t="s">
        <v>31</v>
      </c>
      <c r="F1413" t="s">
        <v>109</v>
      </c>
      <c r="G1413" t="s">
        <v>54</v>
      </c>
      <c r="H1413" t="s">
        <v>27</v>
      </c>
      <c r="I1413" t="s">
        <v>27</v>
      </c>
      <c r="J1413" t="s">
        <v>27</v>
      </c>
      <c r="K1413">
        <v>1185</v>
      </c>
      <c r="L1413" t="s">
        <v>31</v>
      </c>
      <c r="M1413">
        <v>73.620802936586429</v>
      </c>
    </row>
    <row r="1414" spans="1:13" hidden="1" x14ac:dyDescent="0.3">
      <c r="A1414" t="s">
        <v>347</v>
      </c>
      <c r="B1414" t="s">
        <v>51</v>
      </c>
      <c r="C1414" t="s">
        <v>56</v>
      </c>
      <c r="D1414">
        <v>2015</v>
      </c>
      <c r="E1414">
        <v>1500000</v>
      </c>
      <c r="F1414" t="s">
        <v>60</v>
      </c>
      <c r="G1414" t="s">
        <v>54</v>
      </c>
      <c r="H1414" t="s">
        <v>27</v>
      </c>
      <c r="I1414" t="s">
        <v>27</v>
      </c>
      <c r="J1414" t="s">
        <v>33</v>
      </c>
      <c r="K1414">
        <v>193881</v>
      </c>
      <c r="L1414">
        <v>2037468</v>
      </c>
      <c r="M1414">
        <v>73.620802936586429</v>
      </c>
    </row>
    <row r="1415" spans="1:13" hidden="1" x14ac:dyDescent="0.3">
      <c r="A1415" t="s">
        <v>348</v>
      </c>
      <c r="B1415" t="s">
        <v>91</v>
      </c>
      <c r="C1415" t="s">
        <v>105</v>
      </c>
      <c r="D1415">
        <v>2015</v>
      </c>
      <c r="E1415" t="s">
        <v>31</v>
      </c>
      <c r="F1415" t="s">
        <v>161</v>
      </c>
      <c r="G1415" t="s">
        <v>31</v>
      </c>
      <c r="H1415" t="s">
        <v>27</v>
      </c>
      <c r="I1415" t="s">
        <v>27</v>
      </c>
      <c r="J1415" t="s">
        <v>27</v>
      </c>
      <c r="K1415">
        <v>18450</v>
      </c>
      <c r="L1415" t="s">
        <v>31</v>
      </c>
      <c r="M1415">
        <v>73.620802936586429</v>
      </c>
    </row>
    <row r="1416" spans="1:13" hidden="1" x14ac:dyDescent="0.3">
      <c r="A1416" t="s">
        <v>354</v>
      </c>
      <c r="B1416" t="s">
        <v>28</v>
      </c>
      <c r="C1416" t="s">
        <v>67</v>
      </c>
      <c r="D1416">
        <v>2015</v>
      </c>
      <c r="E1416">
        <v>80000</v>
      </c>
      <c r="F1416" t="s">
        <v>34</v>
      </c>
      <c r="G1416" t="s">
        <v>355</v>
      </c>
      <c r="H1416" t="s">
        <v>27</v>
      </c>
      <c r="I1416" t="s">
        <v>27</v>
      </c>
      <c r="J1416" t="s">
        <v>33</v>
      </c>
      <c r="K1416" t="s">
        <v>31</v>
      </c>
      <c r="L1416">
        <v>108665</v>
      </c>
      <c r="M1416">
        <v>73.620802936586429</v>
      </c>
    </row>
    <row r="1417" spans="1:13" hidden="1" x14ac:dyDescent="0.3">
      <c r="A1417" t="s">
        <v>356</v>
      </c>
      <c r="B1417" t="s">
        <v>39</v>
      </c>
      <c r="C1417" t="s">
        <v>157</v>
      </c>
      <c r="D1417">
        <v>2015</v>
      </c>
      <c r="E1417">
        <v>100000</v>
      </c>
      <c r="F1417" t="s">
        <v>115</v>
      </c>
      <c r="G1417" t="s">
        <v>31</v>
      </c>
      <c r="H1417" t="s">
        <v>27</v>
      </c>
      <c r="I1417" t="s">
        <v>27</v>
      </c>
      <c r="J1417" t="s">
        <v>27</v>
      </c>
      <c r="K1417">
        <v>700000</v>
      </c>
      <c r="L1417">
        <v>135831</v>
      </c>
      <c r="M1417">
        <v>73.620802936586429</v>
      </c>
    </row>
    <row r="1418" spans="1:13" hidden="1" x14ac:dyDescent="0.3">
      <c r="A1418" t="s">
        <v>368</v>
      </c>
      <c r="B1418" t="s">
        <v>51</v>
      </c>
      <c r="C1418" t="s">
        <v>121</v>
      </c>
      <c r="D1418">
        <v>2015</v>
      </c>
      <c r="E1418" t="s">
        <v>31</v>
      </c>
      <c r="F1418" t="s">
        <v>111</v>
      </c>
      <c r="G1418" t="s">
        <v>31</v>
      </c>
      <c r="H1418" t="s">
        <v>27</v>
      </c>
      <c r="I1418" t="s">
        <v>27</v>
      </c>
      <c r="J1418" t="s">
        <v>33</v>
      </c>
      <c r="K1418">
        <v>92890</v>
      </c>
      <c r="L1418" t="s">
        <v>31</v>
      </c>
      <c r="M1418">
        <v>73.620802936586429</v>
      </c>
    </row>
    <row r="1419" spans="1:13" hidden="1" x14ac:dyDescent="0.3">
      <c r="A1419" t="s">
        <v>1162</v>
      </c>
      <c r="B1419" t="s">
        <v>39</v>
      </c>
      <c r="C1419" t="s">
        <v>157</v>
      </c>
      <c r="D1419">
        <v>2015</v>
      </c>
      <c r="E1419" t="s">
        <v>31</v>
      </c>
      <c r="F1419" t="s">
        <v>161</v>
      </c>
      <c r="G1419" t="s">
        <v>31</v>
      </c>
      <c r="H1419" t="s">
        <v>27</v>
      </c>
      <c r="I1419" t="s">
        <v>27</v>
      </c>
      <c r="J1419" t="s">
        <v>27</v>
      </c>
      <c r="K1419" t="s">
        <v>31</v>
      </c>
      <c r="L1419" t="s">
        <v>31</v>
      </c>
      <c r="M1419">
        <v>73.620802936586429</v>
      </c>
    </row>
    <row r="1420" spans="1:13" hidden="1" x14ac:dyDescent="0.3">
      <c r="A1420" t="s">
        <v>1163</v>
      </c>
      <c r="B1420" t="s">
        <v>28</v>
      </c>
      <c r="C1420" t="s">
        <v>67</v>
      </c>
      <c r="D1420">
        <v>2015</v>
      </c>
      <c r="E1420">
        <v>100000</v>
      </c>
      <c r="F1420" t="s">
        <v>34</v>
      </c>
      <c r="G1420" t="s">
        <v>68</v>
      </c>
      <c r="H1420" t="s">
        <v>27</v>
      </c>
      <c r="I1420" t="s">
        <v>27</v>
      </c>
      <c r="J1420" t="s">
        <v>33</v>
      </c>
      <c r="K1420" t="s">
        <v>31</v>
      </c>
      <c r="L1420">
        <v>135831</v>
      </c>
      <c r="M1420">
        <v>73.620802936586429</v>
      </c>
    </row>
    <row r="1421" spans="1:13" hidden="1" x14ac:dyDescent="0.3">
      <c r="A1421" t="s">
        <v>1164</v>
      </c>
      <c r="B1421" t="s">
        <v>51</v>
      </c>
      <c r="C1421" t="s">
        <v>134</v>
      </c>
      <c r="D1421">
        <v>2015</v>
      </c>
      <c r="E1421">
        <v>5000</v>
      </c>
      <c r="F1421" t="s">
        <v>90</v>
      </c>
      <c r="G1421" t="s">
        <v>31</v>
      </c>
      <c r="H1421" t="s">
        <v>33</v>
      </c>
      <c r="I1421" t="s">
        <v>27</v>
      </c>
      <c r="J1421" t="s">
        <v>27</v>
      </c>
      <c r="K1421">
        <v>1112</v>
      </c>
      <c r="L1421">
        <v>6792</v>
      </c>
      <c r="M1421">
        <v>73.620802936586429</v>
      </c>
    </row>
    <row r="1422" spans="1:13" hidden="1" x14ac:dyDescent="0.3">
      <c r="A1422" t="s">
        <v>1165</v>
      </c>
      <c r="B1422" t="s">
        <v>91</v>
      </c>
      <c r="C1422" t="s">
        <v>93</v>
      </c>
      <c r="D1422">
        <v>2015</v>
      </c>
      <c r="E1422" t="s">
        <v>31</v>
      </c>
      <c r="F1422" t="s">
        <v>47</v>
      </c>
      <c r="G1422" t="s">
        <v>54</v>
      </c>
      <c r="H1422" t="s">
        <v>27</v>
      </c>
      <c r="I1422" t="s">
        <v>27</v>
      </c>
      <c r="J1422" t="s">
        <v>27</v>
      </c>
      <c r="K1422">
        <v>41236</v>
      </c>
      <c r="L1422" t="s">
        <v>31</v>
      </c>
      <c r="M1422">
        <v>73.620802936586429</v>
      </c>
    </row>
    <row r="1423" spans="1:13" hidden="1" x14ac:dyDescent="0.3">
      <c r="A1423" t="s">
        <v>1166</v>
      </c>
      <c r="B1423" t="s">
        <v>51</v>
      </c>
      <c r="C1423" t="s">
        <v>121</v>
      </c>
      <c r="D1423">
        <v>2015</v>
      </c>
      <c r="E1423" t="s">
        <v>31</v>
      </c>
      <c r="F1423" t="s">
        <v>45</v>
      </c>
      <c r="G1423" t="s">
        <v>31</v>
      </c>
      <c r="H1423" t="s">
        <v>27</v>
      </c>
      <c r="I1423" t="s">
        <v>27</v>
      </c>
      <c r="J1423" t="s">
        <v>27</v>
      </c>
      <c r="K1423">
        <v>45000</v>
      </c>
      <c r="L1423" t="s">
        <v>31</v>
      </c>
      <c r="M1423">
        <v>73.620802936586429</v>
      </c>
    </row>
    <row r="1424" spans="1:13" hidden="1" x14ac:dyDescent="0.3">
      <c r="A1424" t="s">
        <v>1167</v>
      </c>
      <c r="B1424" t="s">
        <v>28</v>
      </c>
      <c r="C1424" t="s">
        <v>67</v>
      </c>
      <c r="D1424">
        <v>2015</v>
      </c>
      <c r="E1424">
        <v>170000</v>
      </c>
      <c r="F1424" t="s">
        <v>34</v>
      </c>
      <c r="G1424" t="s">
        <v>31</v>
      </c>
      <c r="H1424" t="s">
        <v>27</v>
      </c>
      <c r="I1424" t="s">
        <v>27</v>
      </c>
      <c r="J1424" t="s">
        <v>27</v>
      </c>
      <c r="K1424" t="s">
        <v>31</v>
      </c>
      <c r="L1424">
        <v>230913</v>
      </c>
      <c r="M1424">
        <v>73.620802936586429</v>
      </c>
    </row>
    <row r="1425" spans="1:13" hidden="1" x14ac:dyDescent="0.3">
      <c r="A1425" t="s">
        <v>1168</v>
      </c>
      <c r="B1425" t="s">
        <v>51</v>
      </c>
      <c r="C1425" t="s">
        <v>121</v>
      </c>
      <c r="D1425">
        <v>2015</v>
      </c>
      <c r="E1425" t="s">
        <v>31</v>
      </c>
      <c r="F1425" t="s">
        <v>47</v>
      </c>
      <c r="G1425" t="s">
        <v>31</v>
      </c>
      <c r="H1425" t="s">
        <v>27</v>
      </c>
      <c r="I1425" t="s">
        <v>27</v>
      </c>
      <c r="J1425" t="s">
        <v>27</v>
      </c>
      <c r="K1425">
        <v>8105</v>
      </c>
      <c r="L1425" t="s">
        <v>31</v>
      </c>
      <c r="M1425">
        <v>73.620802936586429</v>
      </c>
    </row>
    <row r="1426" spans="1:13" hidden="1" x14ac:dyDescent="0.3">
      <c r="A1426" t="s">
        <v>1169</v>
      </c>
      <c r="B1426" t="s">
        <v>28</v>
      </c>
      <c r="C1426" t="s">
        <v>97</v>
      </c>
      <c r="D1426">
        <v>2015</v>
      </c>
      <c r="E1426">
        <v>500000</v>
      </c>
      <c r="F1426" t="s">
        <v>34</v>
      </c>
      <c r="G1426" t="s">
        <v>65</v>
      </c>
      <c r="H1426" t="s">
        <v>27</v>
      </c>
      <c r="I1426" t="s">
        <v>27</v>
      </c>
      <c r="J1426" t="s">
        <v>27</v>
      </c>
      <c r="K1426">
        <v>3312</v>
      </c>
      <c r="L1426">
        <v>679156</v>
      </c>
      <c r="M1426">
        <v>73.620802936586429</v>
      </c>
    </row>
    <row r="1427" spans="1:13" hidden="1" x14ac:dyDescent="0.3">
      <c r="A1427" t="s">
        <v>1170</v>
      </c>
      <c r="B1427" t="s">
        <v>28</v>
      </c>
      <c r="C1427" t="s">
        <v>97</v>
      </c>
      <c r="D1427">
        <v>2015</v>
      </c>
      <c r="E1427">
        <v>1400000</v>
      </c>
      <c r="F1427" t="s">
        <v>34</v>
      </c>
      <c r="G1427" t="s">
        <v>100</v>
      </c>
      <c r="H1427" t="s">
        <v>27</v>
      </c>
      <c r="I1427" t="s">
        <v>27</v>
      </c>
      <c r="J1427" t="s">
        <v>27</v>
      </c>
      <c r="K1427">
        <v>12</v>
      </c>
      <c r="L1427">
        <v>1901636</v>
      </c>
      <c r="M1427">
        <v>73.620802936586429</v>
      </c>
    </row>
    <row r="1428" spans="1:13" hidden="1" x14ac:dyDescent="0.3">
      <c r="A1428" t="s">
        <v>1171</v>
      </c>
      <c r="B1428" t="s">
        <v>91</v>
      </c>
      <c r="C1428" t="s">
        <v>105</v>
      </c>
      <c r="D1428">
        <v>2015</v>
      </c>
      <c r="E1428" t="s">
        <v>31</v>
      </c>
      <c r="F1428" t="s">
        <v>60</v>
      </c>
      <c r="G1428" t="s">
        <v>31</v>
      </c>
      <c r="H1428" t="s">
        <v>27</v>
      </c>
      <c r="I1428" t="s">
        <v>27</v>
      </c>
      <c r="J1428" t="s">
        <v>27</v>
      </c>
      <c r="K1428">
        <v>3600</v>
      </c>
      <c r="L1428" t="s">
        <v>31</v>
      </c>
      <c r="M1428">
        <v>73.620802936586429</v>
      </c>
    </row>
    <row r="1429" spans="1:13" hidden="1" x14ac:dyDescent="0.3">
      <c r="A1429" t="s">
        <v>1172</v>
      </c>
      <c r="B1429" t="s">
        <v>51</v>
      </c>
      <c r="C1429" t="s">
        <v>56</v>
      </c>
      <c r="D1429">
        <v>2015</v>
      </c>
      <c r="E1429" t="s">
        <v>31</v>
      </c>
      <c r="F1429" t="s">
        <v>242</v>
      </c>
      <c r="G1429" t="s">
        <v>29</v>
      </c>
      <c r="H1429" t="s">
        <v>27</v>
      </c>
      <c r="I1429" t="s">
        <v>27</v>
      </c>
      <c r="J1429" t="s">
        <v>27</v>
      </c>
      <c r="K1429">
        <v>10089</v>
      </c>
      <c r="L1429" t="s">
        <v>31</v>
      </c>
      <c r="M1429">
        <v>73.620802936586429</v>
      </c>
    </row>
    <row r="1430" spans="1:13" hidden="1" x14ac:dyDescent="0.3">
      <c r="A1430" t="s">
        <v>1173</v>
      </c>
      <c r="B1430" t="s">
        <v>28</v>
      </c>
      <c r="C1430" t="s">
        <v>1174</v>
      </c>
      <c r="D1430">
        <v>2015</v>
      </c>
      <c r="E1430" t="s">
        <v>31</v>
      </c>
      <c r="F1430" t="s">
        <v>115</v>
      </c>
      <c r="G1430" t="s">
        <v>31</v>
      </c>
      <c r="H1430" t="s">
        <v>27</v>
      </c>
      <c r="I1430" t="s">
        <v>27</v>
      </c>
      <c r="J1430" t="s">
        <v>27</v>
      </c>
      <c r="K1430">
        <v>20000</v>
      </c>
      <c r="L1430" t="s">
        <v>31</v>
      </c>
      <c r="M1430">
        <v>73.620802936586429</v>
      </c>
    </row>
    <row r="1431" spans="1:13" hidden="1" x14ac:dyDescent="0.3">
      <c r="A1431" t="s">
        <v>1175</v>
      </c>
      <c r="B1431" t="s">
        <v>51</v>
      </c>
      <c r="C1431" t="s">
        <v>121</v>
      </c>
      <c r="D1431">
        <v>2015</v>
      </c>
      <c r="E1431" t="s">
        <v>31</v>
      </c>
      <c r="F1431" t="s">
        <v>53</v>
      </c>
      <c r="G1431" t="s">
        <v>31</v>
      </c>
      <c r="H1431" t="s">
        <v>27</v>
      </c>
      <c r="I1431" t="s">
        <v>27</v>
      </c>
      <c r="J1431" t="s">
        <v>33</v>
      </c>
      <c r="K1431">
        <v>147405</v>
      </c>
      <c r="L1431" t="s">
        <v>31</v>
      </c>
      <c r="M1431">
        <v>73.620802936586429</v>
      </c>
    </row>
    <row r="1432" spans="1:13" hidden="1" x14ac:dyDescent="0.3">
      <c r="A1432" t="s">
        <v>1176</v>
      </c>
      <c r="B1432" t="s">
        <v>39</v>
      </c>
      <c r="C1432" t="s">
        <v>41</v>
      </c>
      <c r="D1432">
        <v>2015</v>
      </c>
      <c r="E1432" t="s">
        <v>31</v>
      </c>
      <c r="F1432" t="s">
        <v>77</v>
      </c>
      <c r="G1432" t="s">
        <v>31</v>
      </c>
      <c r="H1432" t="s">
        <v>27</v>
      </c>
      <c r="I1432" t="s">
        <v>27</v>
      </c>
      <c r="J1432" t="s">
        <v>27</v>
      </c>
      <c r="K1432">
        <v>13036</v>
      </c>
      <c r="L1432" t="s">
        <v>31</v>
      </c>
      <c r="M1432">
        <v>73.620802936586429</v>
      </c>
    </row>
    <row r="1433" spans="1:13" hidden="1" x14ac:dyDescent="0.3">
      <c r="A1433" t="s">
        <v>1177</v>
      </c>
      <c r="B1433" t="s">
        <v>28</v>
      </c>
      <c r="C1433" t="s">
        <v>64</v>
      </c>
      <c r="D1433">
        <v>2015</v>
      </c>
      <c r="E1433" t="s">
        <v>31</v>
      </c>
      <c r="F1433" t="s">
        <v>60</v>
      </c>
      <c r="G1433" t="s">
        <v>82</v>
      </c>
      <c r="H1433" t="s">
        <v>27</v>
      </c>
      <c r="I1433" t="s">
        <v>27</v>
      </c>
      <c r="J1433" t="s">
        <v>27</v>
      </c>
      <c r="K1433">
        <v>938</v>
      </c>
      <c r="L1433" t="s">
        <v>31</v>
      </c>
      <c r="M1433">
        <v>73.620802936586429</v>
      </c>
    </row>
    <row r="1434" spans="1:13" hidden="1" x14ac:dyDescent="0.3">
      <c r="A1434" t="s">
        <v>1178</v>
      </c>
      <c r="B1434" t="s">
        <v>43</v>
      </c>
      <c r="C1434" t="s">
        <v>44</v>
      </c>
      <c r="D1434">
        <v>2015</v>
      </c>
      <c r="E1434" t="s">
        <v>31</v>
      </c>
      <c r="F1434" t="s">
        <v>45</v>
      </c>
      <c r="G1434" t="s">
        <v>31</v>
      </c>
      <c r="H1434" t="s">
        <v>27</v>
      </c>
      <c r="I1434" t="s">
        <v>27</v>
      </c>
      <c r="J1434" t="s">
        <v>27</v>
      </c>
      <c r="K1434">
        <v>20000</v>
      </c>
      <c r="L1434" t="s">
        <v>31</v>
      </c>
      <c r="M1434">
        <v>73.620802936586429</v>
      </c>
    </row>
    <row r="1435" spans="1:13" hidden="1" x14ac:dyDescent="0.3">
      <c r="A1435" t="s">
        <v>1179</v>
      </c>
      <c r="B1435" t="s">
        <v>28</v>
      </c>
      <c r="C1435" t="s">
        <v>30</v>
      </c>
      <c r="D1435">
        <v>2015</v>
      </c>
      <c r="E1435" t="s">
        <v>31</v>
      </c>
      <c r="F1435" t="s">
        <v>45</v>
      </c>
      <c r="G1435" t="s">
        <v>37</v>
      </c>
      <c r="H1435" t="s">
        <v>27</v>
      </c>
      <c r="I1435" t="s">
        <v>27</v>
      </c>
      <c r="J1435" t="s">
        <v>27</v>
      </c>
      <c r="K1435">
        <v>1969</v>
      </c>
      <c r="L1435" t="s">
        <v>31</v>
      </c>
      <c r="M1435">
        <v>73.620802936586429</v>
      </c>
    </row>
    <row r="1436" spans="1:13" hidden="1" x14ac:dyDescent="0.3">
      <c r="A1436" t="s">
        <v>1180</v>
      </c>
      <c r="B1436" t="s">
        <v>51</v>
      </c>
      <c r="C1436" t="s">
        <v>121</v>
      </c>
      <c r="D1436">
        <v>2015</v>
      </c>
      <c r="E1436" t="s">
        <v>31</v>
      </c>
      <c r="F1436" t="s">
        <v>73</v>
      </c>
      <c r="G1436" t="s">
        <v>31</v>
      </c>
      <c r="H1436" t="s">
        <v>27</v>
      </c>
      <c r="I1436" t="s">
        <v>27</v>
      </c>
      <c r="J1436" t="s">
        <v>27</v>
      </c>
      <c r="K1436">
        <v>3000</v>
      </c>
      <c r="L1436" t="s">
        <v>31</v>
      </c>
      <c r="M1436">
        <v>73.620802936586429</v>
      </c>
    </row>
    <row r="1437" spans="1:13" hidden="1" x14ac:dyDescent="0.3">
      <c r="A1437" t="s">
        <v>1181</v>
      </c>
      <c r="B1437" t="s">
        <v>28</v>
      </c>
      <c r="C1437" t="s">
        <v>64</v>
      </c>
      <c r="D1437">
        <v>2015</v>
      </c>
      <c r="E1437">
        <v>950000</v>
      </c>
      <c r="F1437" t="s">
        <v>34</v>
      </c>
      <c r="G1437" t="s">
        <v>65</v>
      </c>
      <c r="H1437" t="s">
        <v>27</v>
      </c>
      <c r="I1437" t="s">
        <v>27</v>
      </c>
      <c r="J1437" t="s">
        <v>27</v>
      </c>
      <c r="K1437">
        <v>40</v>
      </c>
      <c r="L1437">
        <v>1290396</v>
      </c>
      <c r="M1437">
        <v>73.620802936586429</v>
      </c>
    </row>
    <row r="1438" spans="1:13" hidden="1" x14ac:dyDescent="0.3">
      <c r="A1438" t="s">
        <v>1182</v>
      </c>
      <c r="B1438" t="s">
        <v>39</v>
      </c>
      <c r="C1438" t="s">
        <v>142</v>
      </c>
      <c r="D1438">
        <v>2015</v>
      </c>
      <c r="E1438">
        <v>150000</v>
      </c>
      <c r="F1438" t="s">
        <v>34</v>
      </c>
      <c r="G1438" t="s">
        <v>176</v>
      </c>
      <c r="H1438" t="s">
        <v>27</v>
      </c>
      <c r="I1438" t="s">
        <v>27</v>
      </c>
      <c r="J1438" t="s">
        <v>27</v>
      </c>
      <c r="K1438">
        <v>4508</v>
      </c>
      <c r="L1438">
        <v>203747</v>
      </c>
      <c r="M1438">
        <v>73.620802936586429</v>
      </c>
    </row>
    <row r="1439" spans="1:13" hidden="1" x14ac:dyDescent="0.3">
      <c r="A1439" t="s">
        <v>1183</v>
      </c>
      <c r="B1439" t="s">
        <v>51</v>
      </c>
      <c r="C1439" t="s">
        <v>121</v>
      </c>
      <c r="D1439">
        <v>2015</v>
      </c>
      <c r="E1439" t="s">
        <v>31</v>
      </c>
      <c r="F1439" t="s">
        <v>115</v>
      </c>
      <c r="G1439" t="s">
        <v>31</v>
      </c>
      <c r="H1439" t="s">
        <v>27</v>
      </c>
      <c r="I1439" t="s">
        <v>27</v>
      </c>
      <c r="J1439" t="s">
        <v>27</v>
      </c>
      <c r="K1439" t="s">
        <v>31</v>
      </c>
      <c r="L1439" t="s">
        <v>31</v>
      </c>
      <c r="M1439">
        <v>73.620802936586429</v>
      </c>
    </row>
    <row r="1440" spans="1:13" hidden="1" x14ac:dyDescent="0.3">
      <c r="A1440" t="s">
        <v>1184</v>
      </c>
      <c r="B1440" t="s">
        <v>91</v>
      </c>
      <c r="C1440" t="s">
        <v>380</v>
      </c>
      <c r="D1440">
        <v>2015</v>
      </c>
      <c r="E1440" t="s">
        <v>31</v>
      </c>
      <c r="F1440" t="s">
        <v>109</v>
      </c>
      <c r="G1440" t="s">
        <v>31</v>
      </c>
      <c r="H1440" t="s">
        <v>27</v>
      </c>
      <c r="I1440" t="s">
        <v>27</v>
      </c>
      <c r="J1440" t="s">
        <v>27</v>
      </c>
      <c r="K1440">
        <v>130042</v>
      </c>
      <c r="L1440" t="s">
        <v>31</v>
      </c>
      <c r="M1440">
        <v>73.620802936586429</v>
      </c>
    </row>
    <row r="1441" spans="1:13" hidden="1" x14ac:dyDescent="0.3">
      <c r="A1441" t="s">
        <v>1185</v>
      </c>
      <c r="B1441" t="s">
        <v>51</v>
      </c>
      <c r="C1441" t="s">
        <v>121</v>
      </c>
      <c r="D1441">
        <v>2015</v>
      </c>
      <c r="E1441" t="s">
        <v>31</v>
      </c>
      <c r="F1441" t="s">
        <v>57</v>
      </c>
      <c r="G1441" t="s">
        <v>31</v>
      </c>
      <c r="H1441" t="s">
        <v>33</v>
      </c>
      <c r="I1441" t="s">
        <v>27</v>
      </c>
      <c r="J1441" t="s">
        <v>27</v>
      </c>
      <c r="K1441">
        <v>23000</v>
      </c>
      <c r="L1441" t="s">
        <v>31</v>
      </c>
      <c r="M1441">
        <v>73.620802936586429</v>
      </c>
    </row>
    <row r="1442" spans="1:13" hidden="1" x14ac:dyDescent="0.3">
      <c r="A1442" t="s">
        <v>1186</v>
      </c>
      <c r="B1442" t="s">
        <v>51</v>
      </c>
      <c r="C1442" t="s">
        <v>52</v>
      </c>
      <c r="D1442">
        <v>2015</v>
      </c>
      <c r="E1442">
        <v>600000</v>
      </c>
      <c r="F1442" t="s">
        <v>34</v>
      </c>
      <c r="G1442" t="s">
        <v>29</v>
      </c>
      <c r="H1442" t="s">
        <v>27</v>
      </c>
      <c r="I1442" t="s">
        <v>27</v>
      </c>
      <c r="J1442" t="s">
        <v>27</v>
      </c>
      <c r="K1442">
        <v>4050</v>
      </c>
      <c r="L1442">
        <v>814987</v>
      </c>
      <c r="M1442">
        <v>73.620802936586429</v>
      </c>
    </row>
    <row r="1443" spans="1:13" hidden="1" x14ac:dyDescent="0.3">
      <c r="A1443" t="s">
        <v>1765</v>
      </c>
      <c r="B1443" t="s">
        <v>28</v>
      </c>
      <c r="C1443" t="s">
        <v>189</v>
      </c>
      <c r="D1443">
        <v>2015</v>
      </c>
      <c r="E1443">
        <v>17200</v>
      </c>
      <c r="F1443" t="s">
        <v>130</v>
      </c>
      <c r="G1443" t="s">
        <v>37</v>
      </c>
      <c r="H1443" t="s">
        <v>27</v>
      </c>
      <c r="I1443" t="s">
        <v>27</v>
      </c>
      <c r="J1443" t="s">
        <v>27</v>
      </c>
      <c r="K1443">
        <v>4500</v>
      </c>
      <c r="L1443">
        <v>23363</v>
      </c>
      <c r="M1443">
        <v>73.620802936586429</v>
      </c>
    </row>
    <row r="1444" spans="1:13" hidden="1" x14ac:dyDescent="0.3">
      <c r="A1444" t="s">
        <v>1766</v>
      </c>
      <c r="B1444" t="s">
        <v>51</v>
      </c>
      <c r="C1444" t="s">
        <v>56</v>
      </c>
      <c r="D1444">
        <v>2015</v>
      </c>
      <c r="E1444" t="s">
        <v>31</v>
      </c>
      <c r="F1444" t="s">
        <v>75</v>
      </c>
      <c r="G1444" t="s">
        <v>31</v>
      </c>
      <c r="H1444" t="s">
        <v>27</v>
      </c>
      <c r="I1444" t="s">
        <v>27</v>
      </c>
      <c r="J1444" t="s">
        <v>27</v>
      </c>
      <c r="K1444">
        <v>20950</v>
      </c>
      <c r="L1444" t="s">
        <v>31</v>
      </c>
      <c r="M1444">
        <v>73.620802936586429</v>
      </c>
    </row>
    <row r="1445" spans="1:13" hidden="1" x14ac:dyDescent="0.3">
      <c r="A1445" t="s">
        <v>1767</v>
      </c>
      <c r="B1445" t="s">
        <v>28</v>
      </c>
      <c r="C1445" t="s">
        <v>67</v>
      </c>
      <c r="D1445">
        <v>2015</v>
      </c>
      <c r="E1445">
        <v>150000</v>
      </c>
      <c r="F1445" t="s">
        <v>34</v>
      </c>
      <c r="G1445" t="s">
        <v>68</v>
      </c>
      <c r="H1445" t="s">
        <v>27</v>
      </c>
      <c r="I1445" t="s">
        <v>27</v>
      </c>
      <c r="J1445" t="s">
        <v>27</v>
      </c>
      <c r="K1445" t="s">
        <v>31</v>
      </c>
      <c r="L1445">
        <v>203747</v>
      </c>
      <c r="M1445">
        <v>73.620802936586429</v>
      </c>
    </row>
    <row r="1446" spans="1:13" hidden="1" x14ac:dyDescent="0.3">
      <c r="A1446" t="s">
        <v>1768</v>
      </c>
      <c r="B1446" t="s">
        <v>51</v>
      </c>
      <c r="C1446" t="s">
        <v>52</v>
      </c>
      <c r="D1446">
        <v>2015</v>
      </c>
      <c r="E1446" t="s">
        <v>31</v>
      </c>
      <c r="F1446" t="s">
        <v>119</v>
      </c>
      <c r="G1446" t="s">
        <v>31</v>
      </c>
      <c r="H1446" t="s">
        <v>27</v>
      </c>
      <c r="I1446" t="s">
        <v>27</v>
      </c>
      <c r="J1446" t="s">
        <v>27</v>
      </c>
      <c r="K1446">
        <v>1000</v>
      </c>
      <c r="L1446" t="s">
        <v>31</v>
      </c>
      <c r="M1446">
        <v>73.620802936586429</v>
      </c>
    </row>
    <row r="1447" spans="1:13" hidden="1" x14ac:dyDescent="0.3">
      <c r="A1447" t="s">
        <v>1769</v>
      </c>
      <c r="B1447" t="s">
        <v>91</v>
      </c>
      <c r="C1447" t="s">
        <v>105</v>
      </c>
      <c r="D1447">
        <v>2015</v>
      </c>
      <c r="E1447" t="s">
        <v>31</v>
      </c>
      <c r="F1447" t="s">
        <v>130</v>
      </c>
      <c r="G1447" t="s">
        <v>31</v>
      </c>
      <c r="H1447" t="s">
        <v>27</v>
      </c>
      <c r="I1447" t="s">
        <v>27</v>
      </c>
      <c r="J1447" t="s">
        <v>27</v>
      </c>
      <c r="K1447" t="s">
        <v>31</v>
      </c>
      <c r="L1447" t="s">
        <v>31</v>
      </c>
      <c r="M1447">
        <v>73.620802936586429</v>
      </c>
    </row>
    <row r="1448" spans="1:13" hidden="1" x14ac:dyDescent="0.3">
      <c r="A1448" t="s">
        <v>1770</v>
      </c>
      <c r="B1448" t="s">
        <v>51</v>
      </c>
      <c r="C1448" t="s">
        <v>134</v>
      </c>
      <c r="D1448">
        <v>2015</v>
      </c>
      <c r="E1448" t="s">
        <v>31</v>
      </c>
      <c r="F1448" t="s">
        <v>47</v>
      </c>
      <c r="G1448" t="s">
        <v>37</v>
      </c>
      <c r="H1448" t="s">
        <v>27</v>
      </c>
      <c r="I1448" t="s">
        <v>27</v>
      </c>
      <c r="J1448" t="s">
        <v>27</v>
      </c>
      <c r="K1448">
        <v>348</v>
      </c>
      <c r="L1448" t="s">
        <v>31</v>
      </c>
      <c r="M1448">
        <v>73.620802936586429</v>
      </c>
    </row>
    <row r="1449" spans="1:13" hidden="1" x14ac:dyDescent="0.3">
      <c r="A1449" t="s">
        <v>1771</v>
      </c>
      <c r="B1449" t="s">
        <v>28</v>
      </c>
      <c r="C1449" t="s">
        <v>97</v>
      </c>
      <c r="D1449">
        <v>2015</v>
      </c>
      <c r="E1449">
        <v>1000000</v>
      </c>
      <c r="F1449" t="s">
        <v>34</v>
      </c>
      <c r="G1449" t="s">
        <v>31</v>
      </c>
      <c r="H1449" t="s">
        <v>27</v>
      </c>
      <c r="I1449" t="s">
        <v>27</v>
      </c>
      <c r="J1449" t="s">
        <v>27</v>
      </c>
      <c r="K1449" t="s">
        <v>31</v>
      </c>
      <c r="L1449">
        <v>1358312</v>
      </c>
      <c r="M1449">
        <v>73.620802936586429</v>
      </c>
    </row>
    <row r="1450" spans="1:13" hidden="1" x14ac:dyDescent="0.3">
      <c r="A1450" t="s">
        <v>1772</v>
      </c>
      <c r="B1450" t="s">
        <v>28</v>
      </c>
      <c r="C1450" t="s">
        <v>97</v>
      </c>
      <c r="D1450">
        <v>2015</v>
      </c>
      <c r="E1450">
        <v>160000</v>
      </c>
      <c r="F1450" t="s">
        <v>34</v>
      </c>
      <c r="G1450" t="s">
        <v>100</v>
      </c>
      <c r="H1450" t="s">
        <v>27</v>
      </c>
      <c r="I1450" t="s">
        <v>27</v>
      </c>
      <c r="J1450" t="s">
        <v>27</v>
      </c>
      <c r="K1450">
        <v>40</v>
      </c>
      <c r="L1450">
        <v>217330</v>
      </c>
      <c r="M1450">
        <v>73.620802936586429</v>
      </c>
    </row>
    <row r="1451" spans="1:13" hidden="1" x14ac:dyDescent="0.3">
      <c r="A1451" t="s">
        <v>1773</v>
      </c>
      <c r="B1451" t="s">
        <v>28</v>
      </c>
      <c r="C1451" t="s">
        <v>64</v>
      </c>
      <c r="D1451">
        <v>2015</v>
      </c>
      <c r="E1451" t="s">
        <v>31</v>
      </c>
      <c r="F1451" t="s">
        <v>117</v>
      </c>
      <c r="G1451" t="s">
        <v>31</v>
      </c>
      <c r="H1451" t="s">
        <v>33</v>
      </c>
      <c r="I1451" t="s">
        <v>27</v>
      </c>
      <c r="J1451" t="s">
        <v>33</v>
      </c>
      <c r="K1451">
        <v>10025</v>
      </c>
      <c r="L1451" t="s">
        <v>31</v>
      </c>
      <c r="M1451">
        <v>73.620802936586429</v>
      </c>
    </row>
    <row r="1452" spans="1:13" hidden="1" x14ac:dyDescent="0.3">
      <c r="A1452" t="s">
        <v>1774</v>
      </c>
      <c r="B1452" t="s">
        <v>28</v>
      </c>
      <c r="C1452" t="s">
        <v>97</v>
      </c>
      <c r="D1452">
        <v>2015</v>
      </c>
      <c r="E1452" t="s">
        <v>31</v>
      </c>
      <c r="F1452" t="s">
        <v>73</v>
      </c>
      <c r="G1452" t="s">
        <v>31</v>
      </c>
      <c r="H1452" t="s">
        <v>27</v>
      </c>
      <c r="I1452" t="s">
        <v>27</v>
      </c>
      <c r="J1452" t="s">
        <v>27</v>
      </c>
      <c r="K1452">
        <v>2320</v>
      </c>
      <c r="L1452" t="s">
        <v>31</v>
      </c>
      <c r="M1452">
        <v>73.620802936586429</v>
      </c>
    </row>
    <row r="1453" spans="1:13" hidden="1" x14ac:dyDescent="0.3">
      <c r="A1453" t="s">
        <v>1775</v>
      </c>
      <c r="B1453" t="s">
        <v>51</v>
      </c>
      <c r="C1453" t="s">
        <v>52</v>
      </c>
      <c r="D1453">
        <v>2015</v>
      </c>
      <c r="E1453" t="s">
        <v>31</v>
      </c>
      <c r="F1453" t="s">
        <v>119</v>
      </c>
      <c r="G1453" t="s">
        <v>29</v>
      </c>
      <c r="H1453" t="s">
        <v>27</v>
      </c>
      <c r="I1453" t="s">
        <v>27</v>
      </c>
      <c r="J1453" t="s">
        <v>33</v>
      </c>
      <c r="K1453">
        <v>283140</v>
      </c>
      <c r="L1453" t="s">
        <v>31</v>
      </c>
      <c r="M1453">
        <v>73.620802936586429</v>
      </c>
    </row>
    <row r="1454" spans="1:13" hidden="1" x14ac:dyDescent="0.3">
      <c r="A1454" t="s">
        <v>1776</v>
      </c>
      <c r="B1454" t="s">
        <v>51</v>
      </c>
      <c r="C1454" t="s">
        <v>121</v>
      </c>
      <c r="D1454">
        <v>2015</v>
      </c>
      <c r="E1454" t="s">
        <v>31</v>
      </c>
      <c r="F1454" t="s">
        <v>117</v>
      </c>
      <c r="G1454" t="s">
        <v>31</v>
      </c>
      <c r="H1454" t="s">
        <v>27</v>
      </c>
      <c r="I1454" t="s">
        <v>27</v>
      </c>
      <c r="J1454" t="s">
        <v>27</v>
      </c>
      <c r="K1454">
        <v>3700</v>
      </c>
      <c r="L1454" t="s">
        <v>31</v>
      </c>
      <c r="M1454">
        <v>73.620802936586429</v>
      </c>
    </row>
    <row r="1455" spans="1:13" hidden="1" x14ac:dyDescent="0.3">
      <c r="A1455" t="s">
        <v>1777</v>
      </c>
      <c r="B1455" t="s">
        <v>39</v>
      </c>
      <c r="C1455" t="s">
        <v>142</v>
      </c>
      <c r="D1455">
        <v>2015</v>
      </c>
      <c r="E1455">
        <v>2000</v>
      </c>
      <c r="F1455" t="s">
        <v>34</v>
      </c>
      <c r="G1455" t="s">
        <v>31</v>
      </c>
      <c r="H1455" t="s">
        <v>27</v>
      </c>
      <c r="I1455" t="s">
        <v>27</v>
      </c>
      <c r="J1455" t="s">
        <v>33</v>
      </c>
      <c r="K1455">
        <v>129</v>
      </c>
      <c r="L1455">
        <v>2717</v>
      </c>
      <c r="M1455">
        <v>73.620802936586429</v>
      </c>
    </row>
    <row r="1456" spans="1:13" hidden="1" x14ac:dyDescent="0.3">
      <c r="A1456" t="s">
        <v>1778</v>
      </c>
      <c r="B1456" t="s">
        <v>91</v>
      </c>
      <c r="C1456" t="s">
        <v>1779</v>
      </c>
      <c r="D1456">
        <v>2015</v>
      </c>
      <c r="E1456" t="s">
        <v>31</v>
      </c>
      <c r="F1456" t="s">
        <v>109</v>
      </c>
      <c r="G1456" t="s">
        <v>31</v>
      </c>
      <c r="H1456" t="s">
        <v>27</v>
      </c>
      <c r="I1456" t="s">
        <v>27</v>
      </c>
      <c r="J1456" t="s">
        <v>33</v>
      </c>
      <c r="K1456">
        <v>800000</v>
      </c>
      <c r="L1456" t="s">
        <v>31</v>
      </c>
      <c r="M1456">
        <v>73.620802936586429</v>
      </c>
    </row>
    <row r="1457" spans="1:13" hidden="1" x14ac:dyDescent="0.3">
      <c r="A1457" t="s">
        <v>1780</v>
      </c>
      <c r="B1457" t="s">
        <v>51</v>
      </c>
      <c r="C1457" t="s">
        <v>52</v>
      </c>
      <c r="D1457">
        <v>2015</v>
      </c>
      <c r="E1457" t="s">
        <v>31</v>
      </c>
      <c r="F1457" t="s">
        <v>111</v>
      </c>
      <c r="G1457" t="s">
        <v>31</v>
      </c>
      <c r="H1457" t="s">
        <v>27</v>
      </c>
      <c r="I1457" t="s">
        <v>27</v>
      </c>
      <c r="J1457" t="s">
        <v>27</v>
      </c>
      <c r="K1457">
        <v>4000</v>
      </c>
      <c r="L1457" t="s">
        <v>31</v>
      </c>
      <c r="M1457">
        <v>73.620802936586429</v>
      </c>
    </row>
    <row r="1458" spans="1:13" hidden="1" x14ac:dyDescent="0.3">
      <c r="A1458" t="s">
        <v>1781</v>
      </c>
      <c r="B1458" t="s">
        <v>51</v>
      </c>
      <c r="C1458" t="s">
        <v>52</v>
      </c>
      <c r="D1458">
        <v>2015</v>
      </c>
      <c r="E1458">
        <v>100000</v>
      </c>
      <c r="F1458" t="s">
        <v>34</v>
      </c>
      <c r="G1458" t="s">
        <v>31</v>
      </c>
      <c r="H1458" t="s">
        <v>27</v>
      </c>
      <c r="I1458" t="s">
        <v>27</v>
      </c>
      <c r="J1458" t="s">
        <v>33</v>
      </c>
      <c r="K1458">
        <v>600</v>
      </c>
      <c r="L1458">
        <v>135831</v>
      </c>
      <c r="M1458">
        <v>73.620802936586429</v>
      </c>
    </row>
    <row r="1459" spans="1:13" hidden="1" x14ac:dyDescent="0.3">
      <c r="A1459" t="s">
        <v>1782</v>
      </c>
      <c r="B1459" t="s">
        <v>39</v>
      </c>
      <c r="C1459" t="s">
        <v>59</v>
      </c>
      <c r="D1459">
        <v>2015</v>
      </c>
      <c r="E1459">
        <v>1400000</v>
      </c>
      <c r="F1459" t="s">
        <v>34</v>
      </c>
      <c r="G1459" t="s">
        <v>31</v>
      </c>
      <c r="H1459" t="s">
        <v>27</v>
      </c>
      <c r="I1459" t="s">
        <v>27</v>
      </c>
      <c r="J1459" t="s">
        <v>33</v>
      </c>
      <c r="K1459">
        <v>7302</v>
      </c>
      <c r="L1459">
        <v>1901636</v>
      </c>
      <c r="M1459">
        <v>73.620802936586429</v>
      </c>
    </row>
    <row r="1460" spans="1:13" hidden="1" x14ac:dyDescent="0.3">
      <c r="A1460" t="s">
        <v>1783</v>
      </c>
      <c r="B1460" t="s">
        <v>51</v>
      </c>
      <c r="C1460" t="s">
        <v>121</v>
      </c>
      <c r="D1460">
        <v>2015</v>
      </c>
      <c r="E1460" t="s">
        <v>31</v>
      </c>
      <c r="F1460" t="s">
        <v>75</v>
      </c>
      <c r="G1460" t="s">
        <v>31</v>
      </c>
      <c r="H1460" t="s">
        <v>27</v>
      </c>
      <c r="I1460" t="s">
        <v>27</v>
      </c>
      <c r="J1460" t="s">
        <v>27</v>
      </c>
      <c r="K1460">
        <v>250</v>
      </c>
      <c r="L1460" t="s">
        <v>31</v>
      </c>
      <c r="M1460">
        <v>73.620802936586429</v>
      </c>
    </row>
    <row r="1461" spans="1:13" hidden="1" x14ac:dyDescent="0.3">
      <c r="A1461" t="s">
        <v>1784</v>
      </c>
      <c r="B1461" t="s">
        <v>28</v>
      </c>
      <c r="C1461" t="s">
        <v>30</v>
      </c>
      <c r="D1461">
        <v>2015</v>
      </c>
      <c r="E1461">
        <v>823000</v>
      </c>
      <c r="F1461" t="s">
        <v>73</v>
      </c>
      <c r="G1461" t="s">
        <v>37</v>
      </c>
      <c r="H1461" t="s">
        <v>27</v>
      </c>
      <c r="I1461" t="s">
        <v>27</v>
      </c>
      <c r="J1461" t="s">
        <v>27</v>
      </c>
      <c r="K1461">
        <v>15000</v>
      </c>
      <c r="L1461">
        <v>1117891</v>
      </c>
      <c r="M1461">
        <v>73.620802936586429</v>
      </c>
    </row>
    <row r="1462" spans="1:13" x14ac:dyDescent="0.3">
      <c r="D1462" s="2" t="s">
        <v>2571</v>
      </c>
      <c r="E1462" s="2">
        <f>SUM(E1357)</f>
        <v>200000</v>
      </c>
    </row>
    <row r="1463" spans="1:13" x14ac:dyDescent="0.3">
      <c r="A1463" t="s">
        <v>1785</v>
      </c>
      <c r="B1463" t="s">
        <v>51</v>
      </c>
      <c r="C1463" t="s">
        <v>121</v>
      </c>
      <c r="D1463">
        <v>2015</v>
      </c>
      <c r="E1463">
        <v>2000</v>
      </c>
      <c r="F1463" t="s">
        <v>119</v>
      </c>
      <c r="G1463" t="s">
        <v>31</v>
      </c>
      <c r="H1463" t="s">
        <v>27</v>
      </c>
      <c r="I1463" t="s">
        <v>27</v>
      </c>
      <c r="J1463" t="s">
        <v>33</v>
      </c>
      <c r="K1463">
        <v>5370</v>
      </c>
      <c r="L1463">
        <v>2717</v>
      </c>
      <c r="M1463">
        <v>73.620802936586429</v>
      </c>
    </row>
    <row r="1464" spans="1:13" hidden="1" x14ac:dyDescent="0.3">
      <c r="A1464" t="s">
        <v>1786</v>
      </c>
      <c r="B1464" t="s">
        <v>51</v>
      </c>
      <c r="C1464" t="s">
        <v>121</v>
      </c>
      <c r="D1464">
        <v>2015</v>
      </c>
      <c r="E1464" t="s">
        <v>31</v>
      </c>
      <c r="F1464" t="s">
        <v>119</v>
      </c>
      <c r="G1464" t="s">
        <v>31</v>
      </c>
      <c r="H1464" t="s">
        <v>27</v>
      </c>
      <c r="I1464" t="s">
        <v>27</v>
      </c>
      <c r="J1464" t="s">
        <v>27</v>
      </c>
      <c r="K1464">
        <v>9000</v>
      </c>
      <c r="L1464" t="s">
        <v>31</v>
      </c>
      <c r="M1464">
        <v>73.620802936586429</v>
      </c>
    </row>
    <row r="1465" spans="1:13" hidden="1" x14ac:dyDescent="0.3">
      <c r="A1465" t="s">
        <v>1787</v>
      </c>
      <c r="B1465" t="s">
        <v>39</v>
      </c>
      <c r="C1465" t="s">
        <v>59</v>
      </c>
      <c r="D1465">
        <v>2015</v>
      </c>
      <c r="E1465">
        <v>400000</v>
      </c>
      <c r="F1465" t="s">
        <v>34</v>
      </c>
      <c r="G1465" t="s">
        <v>31</v>
      </c>
      <c r="H1465" t="s">
        <v>27</v>
      </c>
      <c r="I1465" t="s">
        <v>27</v>
      </c>
      <c r="J1465" t="s">
        <v>27</v>
      </c>
      <c r="K1465">
        <v>1425</v>
      </c>
      <c r="L1465">
        <v>543325</v>
      </c>
      <c r="M1465">
        <v>73.620802936586429</v>
      </c>
    </row>
    <row r="1466" spans="1:13" hidden="1" x14ac:dyDescent="0.3">
      <c r="A1466" t="s">
        <v>1788</v>
      </c>
      <c r="B1466" t="s">
        <v>28</v>
      </c>
      <c r="C1466" t="s">
        <v>67</v>
      </c>
      <c r="D1466">
        <v>2015</v>
      </c>
      <c r="E1466">
        <v>140000</v>
      </c>
      <c r="F1466" t="s">
        <v>34</v>
      </c>
      <c r="G1466" t="s">
        <v>37</v>
      </c>
      <c r="H1466" t="s">
        <v>27</v>
      </c>
      <c r="I1466" t="s">
        <v>27</v>
      </c>
      <c r="J1466" t="s">
        <v>27</v>
      </c>
      <c r="K1466">
        <v>300</v>
      </c>
      <c r="L1466">
        <v>190164</v>
      </c>
      <c r="M1466">
        <v>73.620802936586429</v>
      </c>
    </row>
    <row r="1467" spans="1:13" hidden="1" x14ac:dyDescent="0.3">
      <c r="A1467" t="s">
        <v>1789</v>
      </c>
      <c r="B1467" t="s">
        <v>51</v>
      </c>
      <c r="C1467" t="s">
        <v>121</v>
      </c>
      <c r="D1467">
        <v>2015</v>
      </c>
      <c r="E1467" t="s">
        <v>31</v>
      </c>
      <c r="F1467" t="s">
        <v>117</v>
      </c>
      <c r="G1467" t="s">
        <v>31</v>
      </c>
      <c r="H1467" t="s">
        <v>33</v>
      </c>
      <c r="I1467" t="s">
        <v>27</v>
      </c>
      <c r="J1467" t="s">
        <v>33</v>
      </c>
      <c r="K1467">
        <v>136450</v>
      </c>
      <c r="L1467" t="s">
        <v>31</v>
      </c>
      <c r="M1467">
        <v>73.620802936586429</v>
      </c>
    </row>
    <row r="1468" spans="1:13" hidden="1" x14ac:dyDescent="0.3">
      <c r="A1468" t="s">
        <v>2451</v>
      </c>
      <c r="B1468" t="s">
        <v>28</v>
      </c>
      <c r="C1468" t="s">
        <v>67</v>
      </c>
      <c r="D1468">
        <v>2015</v>
      </c>
      <c r="E1468">
        <v>100000</v>
      </c>
      <c r="F1468" t="s">
        <v>34</v>
      </c>
      <c r="G1468" t="s">
        <v>31</v>
      </c>
      <c r="H1468" t="s">
        <v>27</v>
      </c>
      <c r="I1468" t="s">
        <v>27</v>
      </c>
      <c r="J1468" t="s">
        <v>27</v>
      </c>
      <c r="K1468" t="s">
        <v>31</v>
      </c>
      <c r="L1468">
        <v>135831</v>
      </c>
      <c r="M1468">
        <v>73.620802936586429</v>
      </c>
    </row>
    <row r="1469" spans="1:13" hidden="1" x14ac:dyDescent="0.3">
      <c r="A1469" t="s">
        <v>2452</v>
      </c>
      <c r="B1469" t="s">
        <v>51</v>
      </c>
      <c r="C1469" t="s">
        <v>121</v>
      </c>
      <c r="D1469">
        <v>2015</v>
      </c>
      <c r="E1469" t="s">
        <v>31</v>
      </c>
      <c r="F1469" t="s">
        <v>130</v>
      </c>
      <c r="G1469" t="s">
        <v>31</v>
      </c>
      <c r="H1469" t="s">
        <v>27</v>
      </c>
      <c r="I1469" t="s">
        <v>27</v>
      </c>
      <c r="J1469" t="s">
        <v>33</v>
      </c>
      <c r="K1469">
        <v>15000</v>
      </c>
      <c r="L1469" t="s">
        <v>31</v>
      </c>
      <c r="M1469">
        <v>73.620802936586429</v>
      </c>
    </row>
    <row r="1470" spans="1:13" hidden="1" x14ac:dyDescent="0.3">
      <c r="A1470" t="s">
        <v>2453</v>
      </c>
      <c r="B1470" t="s">
        <v>28</v>
      </c>
      <c r="C1470" t="s">
        <v>67</v>
      </c>
      <c r="D1470">
        <v>2015</v>
      </c>
      <c r="E1470">
        <v>3000000</v>
      </c>
      <c r="F1470" t="s">
        <v>34</v>
      </c>
      <c r="G1470" t="s">
        <v>31</v>
      </c>
      <c r="H1470" t="s">
        <v>27</v>
      </c>
      <c r="I1470" t="s">
        <v>27</v>
      </c>
      <c r="J1470" t="s">
        <v>27</v>
      </c>
      <c r="K1470" t="s">
        <v>31</v>
      </c>
      <c r="L1470">
        <v>4074935</v>
      </c>
      <c r="M1470">
        <v>73.620802936586429</v>
      </c>
    </row>
    <row r="1471" spans="1:13" hidden="1" x14ac:dyDescent="0.3">
      <c r="A1471" t="s">
        <v>2454</v>
      </c>
      <c r="B1471" t="s">
        <v>39</v>
      </c>
      <c r="C1471" t="s">
        <v>41</v>
      </c>
      <c r="D1471">
        <v>2015</v>
      </c>
      <c r="E1471" t="s">
        <v>31</v>
      </c>
      <c r="F1471" t="s">
        <v>60</v>
      </c>
      <c r="G1471" t="s">
        <v>31</v>
      </c>
      <c r="H1471" t="s">
        <v>27</v>
      </c>
      <c r="I1471" t="s">
        <v>27</v>
      </c>
      <c r="J1471" t="s">
        <v>27</v>
      </c>
      <c r="K1471">
        <v>32</v>
      </c>
      <c r="L1471" t="s">
        <v>31</v>
      </c>
      <c r="M1471">
        <v>73.620802936586429</v>
      </c>
    </row>
    <row r="1472" spans="1:13" hidden="1" x14ac:dyDescent="0.3">
      <c r="A1472" t="s">
        <v>2455</v>
      </c>
      <c r="B1472" t="s">
        <v>28</v>
      </c>
      <c r="C1472" t="s">
        <v>97</v>
      </c>
      <c r="D1472">
        <v>2015</v>
      </c>
      <c r="E1472">
        <v>950000</v>
      </c>
      <c r="F1472" t="s">
        <v>34</v>
      </c>
      <c r="G1472" t="s">
        <v>100</v>
      </c>
      <c r="H1472" t="s">
        <v>27</v>
      </c>
      <c r="I1472" t="s">
        <v>27</v>
      </c>
      <c r="J1472" t="s">
        <v>27</v>
      </c>
      <c r="K1472">
        <v>12</v>
      </c>
      <c r="L1472">
        <v>1290396</v>
      </c>
      <c r="M1472">
        <v>73.620802936586429</v>
      </c>
    </row>
    <row r="1473" spans="1:13" hidden="1" x14ac:dyDescent="0.3">
      <c r="A1473" t="s">
        <v>2456</v>
      </c>
      <c r="B1473" t="s">
        <v>28</v>
      </c>
      <c r="C1473" t="s">
        <v>99</v>
      </c>
      <c r="D1473">
        <v>2015</v>
      </c>
      <c r="E1473">
        <v>2000</v>
      </c>
      <c r="F1473" t="s">
        <v>119</v>
      </c>
      <c r="G1473" t="s">
        <v>31</v>
      </c>
      <c r="H1473" t="s">
        <v>27</v>
      </c>
      <c r="I1473" t="s">
        <v>27</v>
      </c>
      <c r="J1473" t="s">
        <v>27</v>
      </c>
      <c r="K1473">
        <v>11037</v>
      </c>
      <c r="L1473">
        <v>2717</v>
      </c>
      <c r="M1473">
        <v>73.620802936586429</v>
      </c>
    </row>
    <row r="1474" spans="1:13" hidden="1" x14ac:dyDescent="0.3">
      <c r="A1474" t="s">
        <v>2457</v>
      </c>
      <c r="B1474" t="s">
        <v>51</v>
      </c>
      <c r="C1474" t="s">
        <v>134</v>
      </c>
      <c r="D1474">
        <v>2015</v>
      </c>
      <c r="E1474" t="s">
        <v>31</v>
      </c>
      <c r="F1474" t="s">
        <v>119</v>
      </c>
      <c r="G1474" t="s">
        <v>31</v>
      </c>
      <c r="H1474" t="s">
        <v>27</v>
      </c>
      <c r="I1474" t="s">
        <v>27</v>
      </c>
      <c r="J1474" t="s">
        <v>27</v>
      </c>
      <c r="K1474" t="s">
        <v>31</v>
      </c>
      <c r="L1474" t="s">
        <v>31</v>
      </c>
      <c r="M1474">
        <v>73.620802936586429</v>
      </c>
    </row>
    <row r="1475" spans="1:13" hidden="1" x14ac:dyDescent="0.3">
      <c r="A1475" t="s">
        <v>2458</v>
      </c>
      <c r="B1475" t="s">
        <v>51</v>
      </c>
      <c r="C1475" t="s">
        <v>52</v>
      </c>
      <c r="D1475">
        <v>2015</v>
      </c>
      <c r="E1475" t="s">
        <v>31</v>
      </c>
      <c r="F1475" t="s">
        <v>60</v>
      </c>
      <c r="G1475" t="s">
        <v>31</v>
      </c>
      <c r="H1475" t="s">
        <v>27</v>
      </c>
      <c r="I1475" t="s">
        <v>27</v>
      </c>
      <c r="J1475" t="s">
        <v>27</v>
      </c>
      <c r="K1475">
        <v>116</v>
      </c>
      <c r="L1475" t="s">
        <v>31</v>
      </c>
      <c r="M1475">
        <v>73.620802936586429</v>
      </c>
    </row>
    <row r="1476" spans="1:13" hidden="1" x14ac:dyDescent="0.3">
      <c r="A1476" t="s">
        <v>2459</v>
      </c>
      <c r="B1476" t="s">
        <v>28</v>
      </c>
      <c r="C1476" t="s">
        <v>99</v>
      </c>
      <c r="D1476">
        <v>2015</v>
      </c>
      <c r="E1476">
        <v>1400000</v>
      </c>
      <c r="F1476" t="s">
        <v>34</v>
      </c>
      <c r="G1476" t="s">
        <v>100</v>
      </c>
      <c r="H1476" t="s">
        <v>27</v>
      </c>
      <c r="I1476" t="s">
        <v>27</v>
      </c>
      <c r="J1476" t="s">
        <v>27</v>
      </c>
      <c r="K1476" t="s">
        <v>31</v>
      </c>
      <c r="L1476">
        <v>1901636</v>
      </c>
      <c r="M1476">
        <v>73.620802936586429</v>
      </c>
    </row>
    <row r="1477" spans="1:13" hidden="1" x14ac:dyDescent="0.3">
      <c r="A1477" t="s">
        <v>2460</v>
      </c>
      <c r="B1477" t="s">
        <v>51</v>
      </c>
      <c r="C1477" t="s">
        <v>56</v>
      </c>
      <c r="D1477">
        <v>2015</v>
      </c>
      <c r="E1477">
        <v>2700000</v>
      </c>
      <c r="F1477" t="s">
        <v>34</v>
      </c>
      <c r="G1477" t="s">
        <v>302</v>
      </c>
      <c r="H1477" t="s">
        <v>27</v>
      </c>
      <c r="I1477" t="s">
        <v>27</v>
      </c>
      <c r="J1477" t="s">
        <v>27</v>
      </c>
      <c r="K1477">
        <v>12000</v>
      </c>
      <c r="L1477">
        <v>3667442</v>
      </c>
      <c r="M1477">
        <v>73.620802936586429</v>
      </c>
    </row>
    <row r="1478" spans="1:13" hidden="1" x14ac:dyDescent="0.3">
      <c r="A1478" t="s">
        <v>2461</v>
      </c>
      <c r="B1478" t="s">
        <v>51</v>
      </c>
      <c r="C1478" t="s">
        <v>121</v>
      </c>
      <c r="D1478">
        <v>2015</v>
      </c>
      <c r="E1478" t="s">
        <v>31</v>
      </c>
      <c r="F1478" t="s">
        <v>161</v>
      </c>
      <c r="G1478" t="s">
        <v>54</v>
      </c>
      <c r="H1478" t="s">
        <v>27</v>
      </c>
      <c r="I1478" t="s">
        <v>27</v>
      </c>
      <c r="J1478" t="s">
        <v>27</v>
      </c>
      <c r="K1478">
        <v>9666</v>
      </c>
      <c r="L1478" t="s">
        <v>31</v>
      </c>
      <c r="M1478">
        <v>73.620802936586429</v>
      </c>
    </row>
    <row r="1479" spans="1:13" hidden="1" x14ac:dyDescent="0.3">
      <c r="A1479" t="s">
        <v>2462</v>
      </c>
      <c r="B1479" t="s">
        <v>51</v>
      </c>
      <c r="C1479" t="s">
        <v>194</v>
      </c>
      <c r="D1479">
        <v>2015</v>
      </c>
      <c r="E1479" t="s">
        <v>31</v>
      </c>
      <c r="F1479" t="s">
        <v>604</v>
      </c>
      <c r="G1479" t="s">
        <v>31</v>
      </c>
      <c r="H1479" t="s">
        <v>27</v>
      </c>
      <c r="I1479" t="s">
        <v>27</v>
      </c>
      <c r="J1479" t="s">
        <v>27</v>
      </c>
      <c r="K1479">
        <v>199000</v>
      </c>
      <c r="L1479" t="s">
        <v>31</v>
      </c>
      <c r="M1479">
        <v>73.620802936586429</v>
      </c>
    </row>
    <row r="1480" spans="1:13" hidden="1" x14ac:dyDescent="0.3">
      <c r="A1480" t="s">
        <v>2463</v>
      </c>
      <c r="B1480" t="s">
        <v>28</v>
      </c>
      <c r="C1480" t="s">
        <v>64</v>
      </c>
      <c r="D1480">
        <v>2015</v>
      </c>
      <c r="E1480">
        <v>700000</v>
      </c>
      <c r="F1480" t="s">
        <v>34</v>
      </c>
      <c r="G1480" t="s">
        <v>104</v>
      </c>
      <c r="H1480" t="s">
        <v>27</v>
      </c>
      <c r="I1480" t="s">
        <v>27</v>
      </c>
      <c r="J1480" t="s">
        <v>27</v>
      </c>
      <c r="K1480" t="s">
        <v>31</v>
      </c>
      <c r="L1480">
        <v>950818</v>
      </c>
      <c r="M1480">
        <v>73.620802936586429</v>
      </c>
    </row>
    <row r="1481" spans="1:13" hidden="1" x14ac:dyDescent="0.3">
      <c r="A1481" t="s">
        <v>2464</v>
      </c>
      <c r="B1481" t="s">
        <v>51</v>
      </c>
      <c r="C1481" t="s">
        <v>52</v>
      </c>
      <c r="D1481">
        <v>2015</v>
      </c>
      <c r="E1481" t="s">
        <v>31</v>
      </c>
      <c r="F1481" t="s">
        <v>90</v>
      </c>
      <c r="G1481" t="s">
        <v>31</v>
      </c>
      <c r="H1481" t="s">
        <v>27</v>
      </c>
      <c r="I1481" t="s">
        <v>27</v>
      </c>
      <c r="J1481" t="s">
        <v>27</v>
      </c>
      <c r="K1481">
        <v>8291</v>
      </c>
      <c r="L1481" t="s">
        <v>31</v>
      </c>
      <c r="M1481">
        <v>73.620802936586429</v>
      </c>
    </row>
    <row r="1482" spans="1:13" hidden="1" x14ac:dyDescent="0.3">
      <c r="A1482" t="s">
        <v>2465</v>
      </c>
      <c r="B1482" t="s">
        <v>43</v>
      </c>
      <c r="C1482" t="s">
        <v>114</v>
      </c>
      <c r="D1482">
        <v>2015</v>
      </c>
      <c r="E1482" t="s">
        <v>31</v>
      </c>
      <c r="F1482" t="s">
        <v>90</v>
      </c>
      <c r="G1482" t="s">
        <v>31</v>
      </c>
      <c r="H1482" t="s">
        <v>27</v>
      </c>
      <c r="I1482" t="s">
        <v>27</v>
      </c>
      <c r="J1482" t="s">
        <v>27</v>
      </c>
      <c r="K1482">
        <v>15211</v>
      </c>
      <c r="L1482" t="s">
        <v>31</v>
      </c>
      <c r="M1482">
        <v>73.620802936586429</v>
      </c>
    </row>
    <row r="1483" spans="1:13" hidden="1" x14ac:dyDescent="0.3">
      <c r="A1483" t="s">
        <v>2466</v>
      </c>
      <c r="B1483" t="s">
        <v>91</v>
      </c>
      <c r="C1483" t="s">
        <v>798</v>
      </c>
      <c r="D1483">
        <v>2015</v>
      </c>
      <c r="E1483">
        <v>800000</v>
      </c>
      <c r="F1483" t="s">
        <v>60</v>
      </c>
      <c r="G1483" t="s">
        <v>173</v>
      </c>
      <c r="H1483" t="s">
        <v>27</v>
      </c>
      <c r="I1483" t="s">
        <v>27</v>
      </c>
      <c r="J1483" t="s">
        <v>33</v>
      </c>
      <c r="K1483">
        <v>681499</v>
      </c>
      <c r="L1483">
        <v>1086649</v>
      </c>
      <c r="M1483">
        <v>73.620802936586429</v>
      </c>
    </row>
    <row r="1484" spans="1:13" hidden="1" x14ac:dyDescent="0.3">
      <c r="A1484" t="s">
        <v>2467</v>
      </c>
      <c r="B1484" t="s">
        <v>51</v>
      </c>
      <c r="C1484" t="s">
        <v>52</v>
      </c>
      <c r="D1484">
        <v>2015</v>
      </c>
      <c r="E1484" t="s">
        <v>31</v>
      </c>
      <c r="F1484" t="s">
        <v>32</v>
      </c>
      <c r="G1484" t="s">
        <v>31</v>
      </c>
      <c r="H1484" t="s">
        <v>27</v>
      </c>
      <c r="I1484" t="s">
        <v>27</v>
      </c>
      <c r="J1484" t="s">
        <v>27</v>
      </c>
      <c r="K1484">
        <v>20000</v>
      </c>
      <c r="L1484" t="s">
        <v>31</v>
      </c>
      <c r="M1484">
        <v>73.620802936586429</v>
      </c>
    </row>
    <row r="1485" spans="1:13" hidden="1" x14ac:dyDescent="0.3">
      <c r="A1485" t="s">
        <v>2468</v>
      </c>
      <c r="B1485" t="s">
        <v>51</v>
      </c>
      <c r="C1485" t="s">
        <v>121</v>
      </c>
      <c r="D1485">
        <v>2015</v>
      </c>
      <c r="E1485" t="s">
        <v>31</v>
      </c>
      <c r="F1485" t="s">
        <v>90</v>
      </c>
      <c r="G1485" t="s">
        <v>31</v>
      </c>
      <c r="H1485" t="s">
        <v>27</v>
      </c>
      <c r="I1485" t="s">
        <v>27</v>
      </c>
      <c r="J1485" t="s">
        <v>27</v>
      </c>
      <c r="K1485">
        <v>56845</v>
      </c>
      <c r="L1485" t="s">
        <v>31</v>
      </c>
      <c r="M1485">
        <v>73.620802936586429</v>
      </c>
    </row>
    <row r="1486" spans="1:13" hidden="1" x14ac:dyDescent="0.3">
      <c r="A1486" t="s">
        <v>2470</v>
      </c>
      <c r="B1486" t="s">
        <v>51</v>
      </c>
      <c r="C1486" t="s">
        <v>121</v>
      </c>
      <c r="D1486">
        <v>2015</v>
      </c>
      <c r="E1486" t="s">
        <v>31</v>
      </c>
      <c r="F1486" t="s">
        <v>81</v>
      </c>
      <c r="G1486" t="s">
        <v>31</v>
      </c>
      <c r="H1486" t="s">
        <v>27</v>
      </c>
      <c r="I1486" t="s">
        <v>27</v>
      </c>
      <c r="J1486" t="s">
        <v>27</v>
      </c>
      <c r="K1486">
        <v>3750</v>
      </c>
      <c r="L1486" t="s">
        <v>31</v>
      </c>
      <c r="M1486">
        <v>73.620802936586429</v>
      </c>
    </row>
    <row r="1487" spans="1:13" hidden="1" x14ac:dyDescent="0.3">
      <c r="A1487" t="s">
        <v>2471</v>
      </c>
      <c r="B1487" t="s">
        <v>51</v>
      </c>
      <c r="C1487" t="s">
        <v>121</v>
      </c>
      <c r="D1487">
        <v>2015</v>
      </c>
      <c r="E1487" t="s">
        <v>31</v>
      </c>
      <c r="F1487" t="s">
        <v>53</v>
      </c>
      <c r="G1487" t="s">
        <v>54</v>
      </c>
      <c r="H1487" t="s">
        <v>27</v>
      </c>
      <c r="I1487" t="s">
        <v>27</v>
      </c>
      <c r="J1487" t="s">
        <v>27</v>
      </c>
      <c r="K1487">
        <v>3235</v>
      </c>
      <c r="L1487" t="s">
        <v>31</v>
      </c>
      <c r="M1487">
        <v>73.620802936586429</v>
      </c>
    </row>
    <row r="1488" spans="1:13" hidden="1" x14ac:dyDescent="0.3">
      <c r="A1488" t="s">
        <v>2472</v>
      </c>
      <c r="B1488" t="s">
        <v>51</v>
      </c>
      <c r="C1488" t="s">
        <v>121</v>
      </c>
      <c r="D1488">
        <v>2015</v>
      </c>
      <c r="E1488" t="s">
        <v>31</v>
      </c>
      <c r="F1488" t="s">
        <v>130</v>
      </c>
      <c r="G1488" t="s">
        <v>31</v>
      </c>
      <c r="H1488" t="s">
        <v>27</v>
      </c>
      <c r="I1488" t="s">
        <v>27</v>
      </c>
      <c r="J1488" t="s">
        <v>27</v>
      </c>
      <c r="K1488">
        <v>76133</v>
      </c>
      <c r="L1488" t="s">
        <v>31</v>
      </c>
      <c r="M1488">
        <v>73.620802936586429</v>
      </c>
    </row>
    <row r="1489" spans="1:13" hidden="1" x14ac:dyDescent="0.3">
      <c r="A1489" t="s">
        <v>2473</v>
      </c>
      <c r="B1489" t="s">
        <v>28</v>
      </c>
      <c r="C1489" t="s">
        <v>97</v>
      </c>
      <c r="D1489">
        <v>2015</v>
      </c>
      <c r="E1489">
        <v>2000000</v>
      </c>
      <c r="F1489" t="s">
        <v>34</v>
      </c>
      <c r="G1489" t="s">
        <v>37</v>
      </c>
      <c r="H1489" t="s">
        <v>27</v>
      </c>
      <c r="I1489" t="s">
        <v>27</v>
      </c>
      <c r="J1489" t="s">
        <v>33</v>
      </c>
      <c r="K1489">
        <v>60</v>
      </c>
      <c r="L1489">
        <v>2716623</v>
      </c>
      <c r="M1489">
        <v>73.620802936586429</v>
      </c>
    </row>
    <row r="1490" spans="1:13" hidden="1" x14ac:dyDescent="0.3">
      <c r="A1490" t="s">
        <v>2474</v>
      </c>
      <c r="B1490" t="s">
        <v>39</v>
      </c>
      <c r="C1490" t="s">
        <v>41</v>
      </c>
      <c r="D1490">
        <v>2015</v>
      </c>
      <c r="E1490" t="s">
        <v>31</v>
      </c>
      <c r="F1490" t="s">
        <v>47</v>
      </c>
      <c r="G1490" t="s">
        <v>31</v>
      </c>
      <c r="H1490" t="s">
        <v>33</v>
      </c>
      <c r="I1490" t="s">
        <v>27</v>
      </c>
      <c r="J1490" t="s">
        <v>27</v>
      </c>
      <c r="K1490">
        <v>119000</v>
      </c>
      <c r="L1490" t="s">
        <v>31</v>
      </c>
      <c r="M1490">
        <v>73.620802936586429</v>
      </c>
    </row>
    <row r="1491" spans="1:13" hidden="1" x14ac:dyDescent="0.3">
      <c r="A1491" t="s">
        <v>2475</v>
      </c>
      <c r="B1491" t="s">
        <v>39</v>
      </c>
      <c r="C1491" t="s">
        <v>157</v>
      </c>
      <c r="D1491">
        <v>2015</v>
      </c>
      <c r="E1491" t="s">
        <v>31</v>
      </c>
      <c r="F1491" t="s">
        <v>166</v>
      </c>
      <c r="G1491" t="s">
        <v>31</v>
      </c>
      <c r="H1491" t="s">
        <v>27</v>
      </c>
      <c r="I1491" t="s">
        <v>27</v>
      </c>
      <c r="J1491" t="s">
        <v>33</v>
      </c>
      <c r="K1491" t="s">
        <v>31</v>
      </c>
      <c r="L1491" t="s">
        <v>31</v>
      </c>
      <c r="M1491">
        <v>73.620802936586429</v>
      </c>
    </row>
    <row r="1492" spans="1:13" hidden="1" x14ac:dyDescent="0.3">
      <c r="A1492" t="s">
        <v>2476</v>
      </c>
      <c r="B1492" t="s">
        <v>39</v>
      </c>
      <c r="C1492" t="s">
        <v>157</v>
      </c>
      <c r="D1492">
        <v>2015</v>
      </c>
      <c r="E1492" t="s">
        <v>31</v>
      </c>
      <c r="F1492" t="s">
        <v>242</v>
      </c>
      <c r="G1492" t="s">
        <v>31</v>
      </c>
      <c r="H1492" t="s">
        <v>27</v>
      </c>
      <c r="I1492" t="s">
        <v>27</v>
      </c>
      <c r="J1492" t="s">
        <v>27</v>
      </c>
      <c r="K1492">
        <v>100000</v>
      </c>
      <c r="L1492" t="s">
        <v>31</v>
      </c>
      <c r="M1492">
        <v>73.620802936586429</v>
      </c>
    </row>
    <row r="1493" spans="1:13" hidden="1" x14ac:dyDescent="0.3">
      <c r="A1493" t="s">
        <v>239</v>
      </c>
      <c r="B1493" t="s">
        <v>91</v>
      </c>
      <c r="C1493" t="s">
        <v>93</v>
      </c>
      <c r="D1493">
        <v>2016</v>
      </c>
      <c r="E1493" t="s">
        <v>31</v>
      </c>
      <c r="F1493" t="s">
        <v>53</v>
      </c>
      <c r="G1493" t="s">
        <v>31</v>
      </c>
      <c r="H1493" t="s">
        <v>27</v>
      </c>
      <c r="I1493" t="s">
        <v>27</v>
      </c>
      <c r="J1493" t="s">
        <v>27</v>
      </c>
      <c r="K1493">
        <v>257</v>
      </c>
      <c r="L1493" t="s">
        <v>31</v>
      </c>
      <c r="M1493">
        <v>74.549602986434408</v>
      </c>
    </row>
    <row r="1494" spans="1:13" hidden="1" x14ac:dyDescent="0.3">
      <c r="A1494" t="s">
        <v>254</v>
      </c>
      <c r="B1494" t="s">
        <v>51</v>
      </c>
      <c r="C1494" t="s">
        <v>52</v>
      </c>
      <c r="D1494">
        <v>2016</v>
      </c>
      <c r="E1494" t="s">
        <v>31</v>
      </c>
      <c r="F1494" t="s">
        <v>111</v>
      </c>
      <c r="G1494" t="s">
        <v>54</v>
      </c>
      <c r="H1494" t="s">
        <v>27</v>
      </c>
      <c r="I1494" t="s">
        <v>27</v>
      </c>
      <c r="J1494" t="s">
        <v>27</v>
      </c>
      <c r="K1494">
        <v>5300</v>
      </c>
      <c r="L1494" t="s">
        <v>31</v>
      </c>
      <c r="M1494">
        <v>74.549602986434408</v>
      </c>
    </row>
    <row r="1495" spans="1:13" hidden="1" x14ac:dyDescent="0.3">
      <c r="A1495" t="s">
        <v>255</v>
      </c>
      <c r="B1495" t="s">
        <v>51</v>
      </c>
      <c r="C1495" t="s">
        <v>121</v>
      </c>
      <c r="D1495">
        <v>2016</v>
      </c>
      <c r="E1495">
        <v>2000</v>
      </c>
      <c r="F1495" t="s">
        <v>130</v>
      </c>
      <c r="G1495" t="s">
        <v>237</v>
      </c>
      <c r="H1495" t="s">
        <v>27</v>
      </c>
      <c r="I1495" t="s">
        <v>27</v>
      </c>
      <c r="J1495" t="s">
        <v>27</v>
      </c>
      <c r="K1495">
        <v>13650</v>
      </c>
      <c r="L1495">
        <v>2683</v>
      </c>
      <c r="M1495">
        <v>74.549602986434408</v>
      </c>
    </row>
    <row r="1496" spans="1:13" hidden="1" x14ac:dyDescent="0.3">
      <c r="A1496" t="s">
        <v>256</v>
      </c>
      <c r="B1496" t="s">
        <v>43</v>
      </c>
      <c r="C1496" t="s">
        <v>114</v>
      </c>
      <c r="D1496">
        <v>2016</v>
      </c>
      <c r="E1496" t="s">
        <v>31</v>
      </c>
      <c r="F1496" t="s">
        <v>119</v>
      </c>
      <c r="G1496" t="s">
        <v>31</v>
      </c>
      <c r="H1496" t="s">
        <v>27</v>
      </c>
      <c r="I1496" t="s">
        <v>27</v>
      </c>
      <c r="J1496" t="s">
        <v>33</v>
      </c>
      <c r="K1496">
        <v>777</v>
      </c>
      <c r="L1496" t="s">
        <v>31</v>
      </c>
      <c r="M1496">
        <v>74.549602986434408</v>
      </c>
    </row>
    <row r="1497" spans="1:13" hidden="1" x14ac:dyDescent="0.3">
      <c r="A1497" t="s">
        <v>260</v>
      </c>
      <c r="B1497" t="s">
        <v>28</v>
      </c>
      <c r="C1497" t="s">
        <v>30</v>
      </c>
      <c r="D1497">
        <v>2016</v>
      </c>
      <c r="E1497" t="s">
        <v>31</v>
      </c>
      <c r="F1497" t="s">
        <v>166</v>
      </c>
      <c r="G1497" t="s">
        <v>82</v>
      </c>
      <c r="H1497" t="s">
        <v>27</v>
      </c>
      <c r="I1497" t="s">
        <v>27</v>
      </c>
      <c r="J1497" t="s">
        <v>27</v>
      </c>
      <c r="K1497">
        <v>12000</v>
      </c>
      <c r="L1497" t="s">
        <v>31</v>
      </c>
      <c r="M1497">
        <v>74.549602986434408</v>
      </c>
    </row>
    <row r="1498" spans="1:13" hidden="1" x14ac:dyDescent="0.3">
      <c r="A1498" t="s">
        <v>261</v>
      </c>
      <c r="B1498" t="s">
        <v>51</v>
      </c>
      <c r="C1498" t="s">
        <v>56</v>
      </c>
      <c r="D1498">
        <v>2016</v>
      </c>
      <c r="E1498" t="s">
        <v>31</v>
      </c>
      <c r="F1498" t="s">
        <v>73</v>
      </c>
      <c r="G1498" t="s">
        <v>262</v>
      </c>
      <c r="H1498" t="s">
        <v>27</v>
      </c>
      <c r="I1498" t="s">
        <v>27</v>
      </c>
      <c r="J1498" t="s">
        <v>27</v>
      </c>
      <c r="K1498">
        <v>35000</v>
      </c>
      <c r="L1498" t="s">
        <v>31</v>
      </c>
      <c r="M1498">
        <v>74.549602986434408</v>
      </c>
    </row>
    <row r="1499" spans="1:13" hidden="1" x14ac:dyDescent="0.3">
      <c r="A1499" t="s">
        <v>268</v>
      </c>
      <c r="B1499" t="s">
        <v>43</v>
      </c>
      <c r="C1499" t="s">
        <v>44</v>
      </c>
      <c r="D1499">
        <v>2016</v>
      </c>
      <c r="E1499" t="s">
        <v>31</v>
      </c>
      <c r="F1499" t="s">
        <v>45</v>
      </c>
      <c r="G1499" t="s">
        <v>31</v>
      </c>
      <c r="H1499" t="s">
        <v>27</v>
      </c>
      <c r="I1499" t="s">
        <v>27</v>
      </c>
      <c r="J1499" t="s">
        <v>27</v>
      </c>
      <c r="K1499">
        <v>6096</v>
      </c>
      <c r="L1499" t="s">
        <v>31</v>
      </c>
      <c r="M1499">
        <v>74.549602986434408</v>
      </c>
    </row>
    <row r="1500" spans="1:13" hidden="1" x14ac:dyDescent="0.3">
      <c r="A1500" t="s">
        <v>271</v>
      </c>
      <c r="B1500" t="s">
        <v>28</v>
      </c>
      <c r="C1500" t="s">
        <v>30</v>
      </c>
      <c r="D1500">
        <v>2016</v>
      </c>
      <c r="E1500" t="s">
        <v>31</v>
      </c>
      <c r="F1500" t="s">
        <v>148</v>
      </c>
      <c r="G1500" t="s">
        <v>31</v>
      </c>
      <c r="H1500" t="s">
        <v>27</v>
      </c>
      <c r="I1500" t="s">
        <v>27</v>
      </c>
      <c r="J1500" t="s">
        <v>27</v>
      </c>
      <c r="K1500" t="s">
        <v>31</v>
      </c>
      <c r="L1500" t="s">
        <v>31</v>
      </c>
      <c r="M1500">
        <v>74.549602986434408</v>
      </c>
    </row>
    <row r="1501" spans="1:13" hidden="1" x14ac:dyDescent="0.3">
      <c r="A1501" t="s">
        <v>272</v>
      </c>
      <c r="B1501" t="s">
        <v>28</v>
      </c>
      <c r="C1501" t="s">
        <v>30</v>
      </c>
      <c r="D1501">
        <v>2016</v>
      </c>
      <c r="E1501">
        <v>10000000</v>
      </c>
      <c r="F1501" t="s">
        <v>34</v>
      </c>
      <c r="G1501" t="s">
        <v>37</v>
      </c>
      <c r="H1501" t="s">
        <v>27</v>
      </c>
      <c r="I1501" t="s">
        <v>27</v>
      </c>
      <c r="J1501" t="s">
        <v>27</v>
      </c>
      <c r="K1501" t="s">
        <v>31</v>
      </c>
      <c r="L1501">
        <v>13413888</v>
      </c>
      <c r="M1501">
        <v>74.549602986434408</v>
      </c>
    </row>
    <row r="1502" spans="1:13" hidden="1" x14ac:dyDescent="0.3">
      <c r="A1502" t="s">
        <v>273</v>
      </c>
      <c r="B1502" t="s">
        <v>28</v>
      </c>
      <c r="C1502" t="s">
        <v>30</v>
      </c>
      <c r="D1502">
        <v>2016</v>
      </c>
      <c r="E1502" t="s">
        <v>31</v>
      </c>
      <c r="F1502" t="s">
        <v>234</v>
      </c>
      <c r="G1502" t="s">
        <v>31</v>
      </c>
      <c r="H1502" t="s">
        <v>33</v>
      </c>
      <c r="I1502" t="s">
        <v>27</v>
      </c>
      <c r="J1502" t="s">
        <v>27</v>
      </c>
      <c r="K1502">
        <v>125000</v>
      </c>
      <c r="L1502" t="s">
        <v>31</v>
      </c>
      <c r="M1502">
        <v>74.549602986434408</v>
      </c>
    </row>
    <row r="1503" spans="1:13" hidden="1" x14ac:dyDescent="0.3">
      <c r="A1503" t="s">
        <v>274</v>
      </c>
      <c r="B1503" t="s">
        <v>28</v>
      </c>
      <c r="C1503" t="s">
        <v>30</v>
      </c>
      <c r="D1503">
        <v>2016</v>
      </c>
      <c r="E1503">
        <v>2600000</v>
      </c>
      <c r="F1503" t="s">
        <v>242</v>
      </c>
      <c r="G1503" t="s">
        <v>31</v>
      </c>
      <c r="H1503" t="s">
        <v>27</v>
      </c>
      <c r="I1503" t="s">
        <v>27</v>
      </c>
      <c r="J1503" t="s">
        <v>27</v>
      </c>
      <c r="K1503">
        <v>190000</v>
      </c>
      <c r="L1503">
        <v>3487611</v>
      </c>
      <c r="M1503">
        <v>74.549602986434408</v>
      </c>
    </row>
    <row r="1504" spans="1:13" hidden="1" x14ac:dyDescent="0.3">
      <c r="A1504" t="s">
        <v>275</v>
      </c>
      <c r="B1504" t="s">
        <v>51</v>
      </c>
      <c r="C1504" t="s">
        <v>56</v>
      </c>
      <c r="D1504">
        <v>2016</v>
      </c>
      <c r="E1504">
        <v>25000</v>
      </c>
      <c r="F1504" t="s">
        <v>73</v>
      </c>
      <c r="G1504" t="s">
        <v>31</v>
      </c>
      <c r="H1504" t="s">
        <v>27</v>
      </c>
      <c r="I1504" t="s">
        <v>27</v>
      </c>
      <c r="J1504" t="s">
        <v>27</v>
      </c>
      <c r="K1504">
        <v>3000</v>
      </c>
      <c r="L1504">
        <v>33535</v>
      </c>
      <c r="M1504">
        <v>74.549602986434408</v>
      </c>
    </row>
    <row r="1505" spans="1:13" hidden="1" x14ac:dyDescent="0.3">
      <c r="A1505" t="s">
        <v>276</v>
      </c>
      <c r="B1505" t="s">
        <v>51</v>
      </c>
      <c r="C1505" t="s">
        <v>52</v>
      </c>
      <c r="D1505">
        <v>2016</v>
      </c>
      <c r="E1505" t="s">
        <v>31</v>
      </c>
      <c r="F1505" t="s">
        <v>73</v>
      </c>
      <c r="G1505" t="s">
        <v>31</v>
      </c>
      <c r="H1505" t="s">
        <v>27</v>
      </c>
      <c r="I1505" t="s">
        <v>27</v>
      </c>
      <c r="J1505" t="s">
        <v>27</v>
      </c>
      <c r="K1505">
        <v>6000</v>
      </c>
      <c r="L1505" t="s">
        <v>31</v>
      </c>
      <c r="M1505">
        <v>74.549602986434408</v>
      </c>
    </row>
    <row r="1506" spans="1:13" hidden="1" x14ac:dyDescent="0.3">
      <c r="A1506" t="s">
        <v>281</v>
      </c>
      <c r="B1506" t="s">
        <v>39</v>
      </c>
      <c r="C1506" t="s">
        <v>41</v>
      </c>
      <c r="D1506">
        <v>2016</v>
      </c>
      <c r="E1506">
        <v>50000</v>
      </c>
      <c r="F1506" t="s">
        <v>34</v>
      </c>
      <c r="G1506" t="s">
        <v>31</v>
      </c>
      <c r="H1506" t="s">
        <v>27</v>
      </c>
      <c r="I1506" t="s">
        <v>27</v>
      </c>
      <c r="J1506" t="s">
        <v>27</v>
      </c>
      <c r="K1506">
        <v>420</v>
      </c>
      <c r="L1506">
        <v>67069</v>
      </c>
      <c r="M1506">
        <v>74.549602986434408</v>
      </c>
    </row>
    <row r="1507" spans="1:13" hidden="1" x14ac:dyDescent="0.3">
      <c r="A1507" t="s">
        <v>285</v>
      </c>
      <c r="B1507" t="s">
        <v>39</v>
      </c>
      <c r="C1507" t="s">
        <v>41</v>
      </c>
      <c r="D1507">
        <v>2016</v>
      </c>
      <c r="E1507">
        <v>150000</v>
      </c>
      <c r="F1507" t="s">
        <v>34</v>
      </c>
      <c r="G1507" t="s">
        <v>31</v>
      </c>
      <c r="H1507" t="s">
        <v>27</v>
      </c>
      <c r="I1507" t="s">
        <v>27</v>
      </c>
      <c r="J1507" t="s">
        <v>33</v>
      </c>
      <c r="K1507">
        <v>891</v>
      </c>
      <c r="L1507">
        <v>201208</v>
      </c>
      <c r="M1507">
        <v>74.549602986434408</v>
      </c>
    </row>
    <row r="1508" spans="1:13" hidden="1" x14ac:dyDescent="0.3">
      <c r="A1508" t="s">
        <v>288</v>
      </c>
      <c r="B1508" t="s">
        <v>51</v>
      </c>
      <c r="C1508" t="s">
        <v>52</v>
      </c>
      <c r="D1508">
        <v>2016</v>
      </c>
      <c r="E1508" t="s">
        <v>31</v>
      </c>
      <c r="F1508" t="s">
        <v>34</v>
      </c>
      <c r="G1508" t="s">
        <v>31</v>
      </c>
      <c r="H1508" t="s">
        <v>27</v>
      </c>
      <c r="I1508" t="s">
        <v>27</v>
      </c>
      <c r="J1508" t="s">
        <v>27</v>
      </c>
      <c r="K1508" t="s">
        <v>31</v>
      </c>
      <c r="L1508" t="s">
        <v>31</v>
      </c>
      <c r="M1508">
        <v>74.549602986434408</v>
      </c>
    </row>
    <row r="1509" spans="1:13" hidden="1" x14ac:dyDescent="0.3">
      <c r="A1509" t="s">
        <v>289</v>
      </c>
      <c r="B1509" t="s">
        <v>51</v>
      </c>
      <c r="C1509" t="s">
        <v>121</v>
      </c>
      <c r="D1509">
        <v>2016</v>
      </c>
      <c r="E1509" t="s">
        <v>31</v>
      </c>
      <c r="F1509" t="s">
        <v>45</v>
      </c>
      <c r="G1509" t="s">
        <v>290</v>
      </c>
      <c r="H1509" t="s">
        <v>27</v>
      </c>
      <c r="I1509" t="s">
        <v>27</v>
      </c>
      <c r="J1509" t="s">
        <v>27</v>
      </c>
      <c r="K1509" t="s">
        <v>31</v>
      </c>
      <c r="L1509" t="s">
        <v>31</v>
      </c>
      <c r="M1509">
        <v>74.549602986434408</v>
      </c>
    </row>
    <row r="1510" spans="1:13" hidden="1" x14ac:dyDescent="0.3">
      <c r="A1510" t="s">
        <v>292</v>
      </c>
      <c r="B1510" t="s">
        <v>51</v>
      </c>
      <c r="C1510" t="s">
        <v>121</v>
      </c>
      <c r="D1510">
        <v>2016</v>
      </c>
      <c r="E1510">
        <v>1000000</v>
      </c>
      <c r="F1510" t="s">
        <v>130</v>
      </c>
      <c r="G1510" t="s">
        <v>31</v>
      </c>
      <c r="H1510" t="s">
        <v>27</v>
      </c>
      <c r="I1510" t="s">
        <v>27</v>
      </c>
      <c r="J1510" t="s">
        <v>27</v>
      </c>
      <c r="K1510">
        <v>72119</v>
      </c>
      <c r="L1510">
        <v>1341389</v>
      </c>
      <c r="M1510">
        <v>74.549602986434408</v>
      </c>
    </row>
    <row r="1511" spans="1:13" hidden="1" x14ac:dyDescent="0.3">
      <c r="A1511" t="s">
        <v>293</v>
      </c>
      <c r="B1511" t="s">
        <v>51</v>
      </c>
      <c r="C1511" t="s">
        <v>121</v>
      </c>
      <c r="D1511">
        <v>2016</v>
      </c>
      <c r="E1511">
        <v>100000</v>
      </c>
      <c r="F1511" t="s">
        <v>60</v>
      </c>
      <c r="G1511" t="s">
        <v>31</v>
      </c>
      <c r="H1511" t="s">
        <v>27</v>
      </c>
      <c r="I1511" t="s">
        <v>27</v>
      </c>
      <c r="J1511" t="s">
        <v>27</v>
      </c>
      <c r="K1511">
        <v>100</v>
      </c>
      <c r="L1511">
        <v>134139</v>
      </c>
      <c r="M1511">
        <v>74.549602986434408</v>
      </c>
    </row>
    <row r="1512" spans="1:13" hidden="1" x14ac:dyDescent="0.3">
      <c r="A1512" t="s">
        <v>296</v>
      </c>
      <c r="B1512" t="s">
        <v>28</v>
      </c>
      <c r="C1512" t="s">
        <v>64</v>
      </c>
      <c r="D1512">
        <v>2016</v>
      </c>
      <c r="E1512">
        <v>1200000</v>
      </c>
      <c r="F1512" t="s">
        <v>34</v>
      </c>
      <c r="G1512" t="s">
        <v>65</v>
      </c>
      <c r="H1512" t="s">
        <v>27</v>
      </c>
      <c r="I1512" t="s">
        <v>27</v>
      </c>
      <c r="J1512" t="s">
        <v>33</v>
      </c>
      <c r="K1512" t="s">
        <v>31</v>
      </c>
      <c r="L1512">
        <v>1609667</v>
      </c>
      <c r="M1512">
        <v>74.549602986434408</v>
      </c>
    </row>
    <row r="1513" spans="1:13" x14ac:dyDescent="0.3">
      <c r="D1513" s="2" t="s">
        <v>2571</v>
      </c>
      <c r="E1513" s="2">
        <f>SUM(E1463)</f>
        <v>2000</v>
      </c>
    </row>
    <row r="1514" spans="1:13" x14ac:dyDescent="0.3">
      <c r="A1514" t="s">
        <v>298</v>
      </c>
      <c r="B1514" t="s">
        <v>51</v>
      </c>
      <c r="C1514" t="s">
        <v>56</v>
      </c>
      <c r="D1514">
        <v>2016</v>
      </c>
      <c r="E1514">
        <v>100000</v>
      </c>
      <c r="F1514" t="s">
        <v>119</v>
      </c>
      <c r="G1514" t="s">
        <v>54</v>
      </c>
      <c r="H1514" t="s">
        <v>27</v>
      </c>
      <c r="I1514" t="s">
        <v>27</v>
      </c>
      <c r="J1514" t="s">
        <v>27</v>
      </c>
      <c r="K1514" t="s">
        <v>31</v>
      </c>
      <c r="L1514">
        <v>134139</v>
      </c>
      <c r="M1514">
        <v>74.549602986434408</v>
      </c>
    </row>
    <row r="1515" spans="1:13" hidden="1" x14ac:dyDescent="0.3">
      <c r="A1515" t="s">
        <v>301</v>
      </c>
      <c r="B1515" t="s">
        <v>28</v>
      </c>
      <c r="C1515" t="s">
        <v>67</v>
      </c>
      <c r="D1515">
        <v>2016</v>
      </c>
      <c r="E1515">
        <v>1200000</v>
      </c>
      <c r="F1515" t="s">
        <v>34</v>
      </c>
      <c r="G1515" t="s">
        <v>302</v>
      </c>
      <c r="H1515" t="s">
        <v>27</v>
      </c>
      <c r="I1515" t="s">
        <v>27</v>
      </c>
      <c r="J1515" t="s">
        <v>33</v>
      </c>
      <c r="K1515">
        <v>12</v>
      </c>
      <c r="L1515">
        <v>1609667</v>
      </c>
      <c r="M1515">
        <v>74.549602986434408</v>
      </c>
    </row>
    <row r="1516" spans="1:13" hidden="1" x14ac:dyDescent="0.3">
      <c r="A1516" t="s">
        <v>304</v>
      </c>
      <c r="B1516" t="s">
        <v>51</v>
      </c>
      <c r="C1516" t="s">
        <v>56</v>
      </c>
      <c r="D1516">
        <v>2016</v>
      </c>
      <c r="E1516">
        <v>10000</v>
      </c>
      <c r="F1516" t="s">
        <v>109</v>
      </c>
      <c r="G1516" t="s">
        <v>31</v>
      </c>
      <c r="H1516" t="s">
        <v>27</v>
      </c>
      <c r="I1516" t="s">
        <v>27</v>
      </c>
      <c r="J1516" t="s">
        <v>27</v>
      </c>
      <c r="K1516">
        <v>10000</v>
      </c>
      <c r="L1516">
        <v>13414</v>
      </c>
      <c r="M1516">
        <v>74.549602986434408</v>
      </c>
    </row>
    <row r="1517" spans="1:13" hidden="1" x14ac:dyDescent="0.3">
      <c r="A1517" t="s">
        <v>1187</v>
      </c>
      <c r="B1517" t="s">
        <v>28</v>
      </c>
      <c r="C1517" t="s">
        <v>64</v>
      </c>
      <c r="D1517">
        <v>2016</v>
      </c>
      <c r="E1517">
        <v>125000</v>
      </c>
      <c r="F1517" t="s">
        <v>34</v>
      </c>
      <c r="G1517" t="s">
        <v>82</v>
      </c>
      <c r="H1517" t="s">
        <v>27</v>
      </c>
      <c r="I1517" t="s">
        <v>27</v>
      </c>
      <c r="J1517" t="s">
        <v>27</v>
      </c>
      <c r="K1517" t="s">
        <v>31</v>
      </c>
      <c r="L1517">
        <v>167674</v>
      </c>
      <c r="M1517">
        <v>74.549602986434408</v>
      </c>
    </row>
    <row r="1518" spans="1:13" hidden="1" x14ac:dyDescent="0.3">
      <c r="A1518" t="s">
        <v>1188</v>
      </c>
      <c r="B1518" t="s">
        <v>51</v>
      </c>
      <c r="C1518" t="s">
        <v>52</v>
      </c>
      <c r="D1518">
        <v>2016</v>
      </c>
      <c r="E1518" t="s">
        <v>31</v>
      </c>
      <c r="F1518" t="s">
        <v>73</v>
      </c>
      <c r="G1518" t="s">
        <v>54</v>
      </c>
      <c r="H1518" t="s">
        <v>27</v>
      </c>
      <c r="I1518" t="s">
        <v>27</v>
      </c>
      <c r="J1518" t="s">
        <v>27</v>
      </c>
      <c r="K1518">
        <v>6000</v>
      </c>
      <c r="L1518" t="s">
        <v>31</v>
      </c>
      <c r="M1518">
        <v>74.549602986434408</v>
      </c>
    </row>
    <row r="1519" spans="1:13" x14ac:dyDescent="0.3">
      <c r="A1519" t="s">
        <v>1189</v>
      </c>
      <c r="B1519" t="s">
        <v>51</v>
      </c>
      <c r="C1519" t="s">
        <v>52</v>
      </c>
      <c r="D1519">
        <v>2016</v>
      </c>
      <c r="E1519">
        <v>100000</v>
      </c>
      <c r="F1519" t="s">
        <v>119</v>
      </c>
      <c r="G1519" t="s">
        <v>31</v>
      </c>
      <c r="H1519" t="s">
        <v>27</v>
      </c>
      <c r="I1519" t="s">
        <v>27</v>
      </c>
      <c r="J1519" t="s">
        <v>33</v>
      </c>
      <c r="K1519">
        <v>50500</v>
      </c>
      <c r="L1519">
        <v>134139</v>
      </c>
      <c r="M1519">
        <v>74.549602986434408</v>
      </c>
    </row>
    <row r="1520" spans="1:13" hidden="1" x14ac:dyDescent="0.3">
      <c r="A1520" t="s">
        <v>1190</v>
      </c>
      <c r="B1520" t="s">
        <v>51</v>
      </c>
      <c r="C1520" t="s">
        <v>121</v>
      </c>
      <c r="D1520">
        <v>2016</v>
      </c>
      <c r="E1520">
        <v>2000</v>
      </c>
      <c r="F1520" t="s">
        <v>45</v>
      </c>
      <c r="G1520" t="s">
        <v>302</v>
      </c>
      <c r="H1520" t="s">
        <v>27</v>
      </c>
      <c r="I1520" t="s">
        <v>27</v>
      </c>
      <c r="J1520" t="s">
        <v>27</v>
      </c>
      <c r="K1520">
        <v>48280</v>
      </c>
      <c r="L1520">
        <v>2683</v>
      </c>
      <c r="M1520">
        <v>74.549602986434408</v>
      </c>
    </row>
    <row r="1521" spans="1:13" hidden="1" x14ac:dyDescent="0.3">
      <c r="A1521" t="s">
        <v>1191</v>
      </c>
      <c r="B1521" t="s">
        <v>51</v>
      </c>
      <c r="C1521" t="s">
        <v>52</v>
      </c>
      <c r="D1521">
        <v>2016</v>
      </c>
      <c r="E1521">
        <v>3000</v>
      </c>
      <c r="F1521" t="s">
        <v>57</v>
      </c>
      <c r="G1521" t="s">
        <v>1192</v>
      </c>
      <c r="H1521" t="s">
        <v>27</v>
      </c>
      <c r="I1521" t="s">
        <v>27</v>
      </c>
      <c r="J1521" t="s">
        <v>27</v>
      </c>
      <c r="K1521">
        <v>10605</v>
      </c>
      <c r="L1521">
        <v>4024</v>
      </c>
      <c r="M1521">
        <v>74.549602986434408</v>
      </c>
    </row>
    <row r="1522" spans="1:13" hidden="1" x14ac:dyDescent="0.3">
      <c r="A1522" t="s">
        <v>1193</v>
      </c>
      <c r="B1522" t="s">
        <v>28</v>
      </c>
      <c r="C1522" t="s">
        <v>99</v>
      </c>
      <c r="D1522">
        <v>2016</v>
      </c>
      <c r="E1522">
        <v>3900000</v>
      </c>
      <c r="F1522" t="s">
        <v>34</v>
      </c>
      <c r="G1522" t="s">
        <v>65</v>
      </c>
      <c r="H1522" t="s">
        <v>27</v>
      </c>
      <c r="I1522" t="s">
        <v>27</v>
      </c>
      <c r="J1522" t="s">
        <v>27</v>
      </c>
      <c r="K1522">
        <v>3000</v>
      </c>
      <c r="L1522">
        <v>5231416</v>
      </c>
      <c r="M1522">
        <v>74.549602986434408</v>
      </c>
    </row>
    <row r="1523" spans="1:13" hidden="1" x14ac:dyDescent="0.3">
      <c r="A1523" t="s">
        <v>1194</v>
      </c>
      <c r="B1523" t="s">
        <v>28</v>
      </c>
      <c r="C1523" t="s">
        <v>97</v>
      </c>
      <c r="D1523">
        <v>2016</v>
      </c>
      <c r="E1523">
        <v>1700000</v>
      </c>
      <c r="F1523" t="s">
        <v>34</v>
      </c>
      <c r="G1523" t="s">
        <v>65</v>
      </c>
      <c r="H1523" t="s">
        <v>27</v>
      </c>
      <c r="I1523" t="s">
        <v>27</v>
      </c>
      <c r="J1523" t="s">
        <v>27</v>
      </c>
      <c r="K1523">
        <v>10</v>
      </c>
      <c r="L1523">
        <v>2280361</v>
      </c>
      <c r="M1523">
        <v>74.549602986434408</v>
      </c>
    </row>
    <row r="1524" spans="1:13" hidden="1" x14ac:dyDescent="0.3">
      <c r="A1524" t="s">
        <v>1195</v>
      </c>
      <c r="B1524" t="s">
        <v>51</v>
      </c>
      <c r="C1524" t="s">
        <v>52</v>
      </c>
      <c r="D1524">
        <v>2016</v>
      </c>
      <c r="E1524">
        <v>300000</v>
      </c>
      <c r="F1524" t="s">
        <v>34</v>
      </c>
      <c r="G1524" t="s">
        <v>29</v>
      </c>
      <c r="H1524" t="s">
        <v>27</v>
      </c>
      <c r="I1524" t="s">
        <v>27</v>
      </c>
      <c r="J1524" t="s">
        <v>33</v>
      </c>
      <c r="K1524" t="s">
        <v>31</v>
      </c>
      <c r="L1524">
        <v>402417</v>
      </c>
      <c r="M1524">
        <v>74.549602986434408</v>
      </c>
    </row>
    <row r="1525" spans="1:13" hidden="1" x14ac:dyDescent="0.3">
      <c r="A1525" t="s">
        <v>1196</v>
      </c>
      <c r="B1525" t="s">
        <v>51</v>
      </c>
      <c r="C1525" t="s">
        <v>52</v>
      </c>
      <c r="D1525">
        <v>2016</v>
      </c>
      <c r="E1525" t="s">
        <v>31</v>
      </c>
      <c r="F1525" t="s">
        <v>75</v>
      </c>
      <c r="G1525" t="s">
        <v>31</v>
      </c>
      <c r="H1525" t="s">
        <v>27</v>
      </c>
      <c r="I1525" t="s">
        <v>27</v>
      </c>
      <c r="J1525" t="s">
        <v>27</v>
      </c>
      <c r="K1525">
        <v>3400</v>
      </c>
      <c r="L1525" t="s">
        <v>31</v>
      </c>
      <c r="M1525">
        <v>74.549602986434408</v>
      </c>
    </row>
    <row r="1526" spans="1:13" hidden="1" x14ac:dyDescent="0.3">
      <c r="A1526" t="s">
        <v>1197</v>
      </c>
      <c r="B1526" t="s">
        <v>51</v>
      </c>
      <c r="C1526" t="s">
        <v>52</v>
      </c>
      <c r="D1526">
        <v>2016</v>
      </c>
      <c r="E1526" t="s">
        <v>31</v>
      </c>
      <c r="F1526" t="s">
        <v>45</v>
      </c>
      <c r="G1526" t="s">
        <v>54</v>
      </c>
      <c r="H1526" t="s">
        <v>27</v>
      </c>
      <c r="I1526" t="s">
        <v>27</v>
      </c>
      <c r="J1526" t="s">
        <v>27</v>
      </c>
      <c r="K1526">
        <v>18373</v>
      </c>
      <c r="L1526" t="s">
        <v>31</v>
      </c>
      <c r="M1526">
        <v>74.549602986434408</v>
      </c>
    </row>
    <row r="1527" spans="1:13" hidden="1" x14ac:dyDescent="0.3">
      <c r="A1527" t="s">
        <v>1198</v>
      </c>
      <c r="B1527" t="s">
        <v>51</v>
      </c>
      <c r="C1527" t="s">
        <v>52</v>
      </c>
      <c r="D1527">
        <v>2016</v>
      </c>
      <c r="E1527" t="s">
        <v>31</v>
      </c>
      <c r="F1527" t="s">
        <v>77</v>
      </c>
      <c r="G1527" t="s">
        <v>31</v>
      </c>
      <c r="H1527" t="s">
        <v>27</v>
      </c>
      <c r="I1527" t="s">
        <v>27</v>
      </c>
      <c r="J1527" t="s">
        <v>33</v>
      </c>
      <c r="K1527">
        <v>300</v>
      </c>
      <c r="L1527" t="s">
        <v>31</v>
      </c>
      <c r="M1527">
        <v>74.549602986434408</v>
      </c>
    </row>
    <row r="1528" spans="1:13" hidden="1" x14ac:dyDescent="0.3">
      <c r="A1528" t="s">
        <v>1199</v>
      </c>
      <c r="B1528" t="s">
        <v>51</v>
      </c>
      <c r="C1528" t="s">
        <v>121</v>
      </c>
      <c r="D1528">
        <v>2016</v>
      </c>
      <c r="E1528" t="s">
        <v>31</v>
      </c>
      <c r="F1528" t="s">
        <v>45</v>
      </c>
      <c r="G1528" t="s">
        <v>54</v>
      </c>
      <c r="H1528" t="s">
        <v>27</v>
      </c>
      <c r="I1528" t="s">
        <v>27</v>
      </c>
      <c r="J1528" t="s">
        <v>27</v>
      </c>
      <c r="K1528">
        <v>2782</v>
      </c>
      <c r="L1528" t="s">
        <v>31</v>
      </c>
      <c r="M1528">
        <v>74.549602986434408</v>
      </c>
    </row>
    <row r="1529" spans="1:13" hidden="1" x14ac:dyDescent="0.3">
      <c r="A1529" t="s">
        <v>1200</v>
      </c>
      <c r="B1529" t="s">
        <v>28</v>
      </c>
      <c r="C1529" t="s">
        <v>30</v>
      </c>
      <c r="D1529">
        <v>2016</v>
      </c>
      <c r="E1529" t="s">
        <v>31</v>
      </c>
      <c r="F1529" t="s">
        <v>81</v>
      </c>
      <c r="G1529" t="s">
        <v>31</v>
      </c>
      <c r="H1529" t="s">
        <v>27</v>
      </c>
      <c r="I1529" t="s">
        <v>27</v>
      </c>
      <c r="J1529" t="s">
        <v>27</v>
      </c>
      <c r="K1529">
        <v>10570</v>
      </c>
      <c r="L1529" t="s">
        <v>31</v>
      </c>
      <c r="M1529">
        <v>74.549602986434408</v>
      </c>
    </row>
    <row r="1530" spans="1:13" hidden="1" x14ac:dyDescent="0.3">
      <c r="A1530" t="s">
        <v>1201</v>
      </c>
      <c r="B1530" t="s">
        <v>28</v>
      </c>
      <c r="C1530" t="s">
        <v>67</v>
      </c>
      <c r="D1530">
        <v>2016</v>
      </c>
      <c r="E1530">
        <v>100000</v>
      </c>
      <c r="F1530" t="s">
        <v>34</v>
      </c>
      <c r="G1530" t="s">
        <v>68</v>
      </c>
      <c r="H1530" t="s">
        <v>27</v>
      </c>
      <c r="I1530" t="s">
        <v>27</v>
      </c>
      <c r="J1530" t="s">
        <v>27</v>
      </c>
      <c r="K1530" t="s">
        <v>31</v>
      </c>
      <c r="L1530">
        <v>134139</v>
      </c>
      <c r="M1530">
        <v>74.549602986434408</v>
      </c>
    </row>
    <row r="1531" spans="1:13" hidden="1" x14ac:dyDescent="0.3">
      <c r="A1531" t="s">
        <v>1202</v>
      </c>
      <c r="B1531" t="s">
        <v>51</v>
      </c>
      <c r="C1531" t="s">
        <v>52</v>
      </c>
      <c r="D1531">
        <v>2016</v>
      </c>
      <c r="E1531" t="s">
        <v>31</v>
      </c>
      <c r="F1531" t="s">
        <v>70</v>
      </c>
      <c r="G1531" t="s">
        <v>31</v>
      </c>
      <c r="H1531" t="s">
        <v>27</v>
      </c>
      <c r="I1531" t="s">
        <v>27</v>
      </c>
      <c r="J1531" t="s">
        <v>27</v>
      </c>
      <c r="K1531" t="s">
        <v>31</v>
      </c>
      <c r="L1531" t="s">
        <v>31</v>
      </c>
      <c r="M1531">
        <v>74.549602986434408</v>
      </c>
    </row>
    <row r="1532" spans="1:13" hidden="1" x14ac:dyDescent="0.3">
      <c r="A1532" t="s">
        <v>1203</v>
      </c>
      <c r="B1532" t="s">
        <v>51</v>
      </c>
      <c r="C1532" t="s">
        <v>52</v>
      </c>
      <c r="D1532">
        <v>2016</v>
      </c>
      <c r="E1532">
        <v>2300000</v>
      </c>
      <c r="F1532" t="s">
        <v>34</v>
      </c>
      <c r="G1532" t="s">
        <v>31</v>
      </c>
      <c r="H1532" t="s">
        <v>27</v>
      </c>
      <c r="I1532" t="s">
        <v>27</v>
      </c>
      <c r="J1532" t="s">
        <v>33</v>
      </c>
      <c r="K1532" t="s">
        <v>31</v>
      </c>
      <c r="L1532">
        <v>3085194</v>
      </c>
      <c r="M1532">
        <v>74.549602986434408</v>
      </c>
    </row>
    <row r="1533" spans="1:13" hidden="1" x14ac:dyDescent="0.3">
      <c r="A1533" t="s">
        <v>1204</v>
      </c>
      <c r="B1533" t="s">
        <v>39</v>
      </c>
      <c r="C1533" t="s">
        <v>157</v>
      </c>
      <c r="D1533">
        <v>2016</v>
      </c>
      <c r="E1533">
        <v>84000</v>
      </c>
      <c r="F1533" t="s">
        <v>45</v>
      </c>
      <c r="G1533" t="s">
        <v>196</v>
      </c>
      <c r="H1533" t="s">
        <v>27</v>
      </c>
      <c r="I1533" t="s">
        <v>27</v>
      </c>
      <c r="J1533" t="s">
        <v>27</v>
      </c>
      <c r="K1533">
        <v>3600000</v>
      </c>
      <c r="L1533">
        <v>112677</v>
      </c>
      <c r="M1533">
        <v>74.549602986434408</v>
      </c>
    </row>
    <row r="1534" spans="1:13" hidden="1" x14ac:dyDescent="0.3">
      <c r="A1534" t="s">
        <v>1205</v>
      </c>
      <c r="B1534" t="s">
        <v>39</v>
      </c>
      <c r="C1534" t="s">
        <v>157</v>
      </c>
      <c r="D1534">
        <v>2016</v>
      </c>
      <c r="E1534">
        <v>450000</v>
      </c>
      <c r="F1534" t="s">
        <v>111</v>
      </c>
      <c r="G1534" t="s">
        <v>447</v>
      </c>
      <c r="H1534" t="s">
        <v>27</v>
      </c>
      <c r="I1534" t="s">
        <v>27</v>
      </c>
      <c r="J1534" t="s">
        <v>33</v>
      </c>
      <c r="K1534">
        <v>665000</v>
      </c>
      <c r="L1534">
        <v>603625</v>
      </c>
      <c r="M1534">
        <v>74.549602986434408</v>
      </c>
    </row>
    <row r="1535" spans="1:13" hidden="1" x14ac:dyDescent="0.3">
      <c r="A1535" t="s">
        <v>1790</v>
      </c>
      <c r="B1535" t="s">
        <v>28</v>
      </c>
      <c r="C1535" t="s">
        <v>67</v>
      </c>
      <c r="D1535">
        <v>2016</v>
      </c>
      <c r="E1535">
        <v>550000</v>
      </c>
      <c r="F1535" t="s">
        <v>34</v>
      </c>
      <c r="G1535" t="s">
        <v>355</v>
      </c>
      <c r="H1535" t="s">
        <v>27</v>
      </c>
      <c r="I1535" t="s">
        <v>27</v>
      </c>
      <c r="J1535" t="s">
        <v>33</v>
      </c>
      <c r="K1535">
        <v>85000012</v>
      </c>
      <c r="L1535">
        <v>737764</v>
      </c>
      <c r="M1535">
        <v>74.549602986434408</v>
      </c>
    </row>
    <row r="1536" spans="1:13" hidden="1" x14ac:dyDescent="0.3">
      <c r="A1536" t="s">
        <v>1791</v>
      </c>
      <c r="B1536" t="s">
        <v>51</v>
      </c>
      <c r="C1536" t="s">
        <v>121</v>
      </c>
      <c r="D1536">
        <v>2016</v>
      </c>
      <c r="E1536" t="s">
        <v>31</v>
      </c>
      <c r="F1536" t="s">
        <v>109</v>
      </c>
      <c r="G1536" t="s">
        <v>54</v>
      </c>
      <c r="H1536" t="s">
        <v>27</v>
      </c>
      <c r="I1536" t="s">
        <v>27</v>
      </c>
      <c r="J1536" t="s">
        <v>33</v>
      </c>
      <c r="K1536">
        <v>23955</v>
      </c>
      <c r="L1536" t="s">
        <v>31</v>
      </c>
      <c r="M1536">
        <v>74.549602986434408</v>
      </c>
    </row>
    <row r="1537" spans="1:13" hidden="1" x14ac:dyDescent="0.3">
      <c r="A1537" t="s">
        <v>1792</v>
      </c>
      <c r="B1537" t="s">
        <v>28</v>
      </c>
      <c r="C1537" t="s">
        <v>64</v>
      </c>
      <c r="D1537">
        <v>2016</v>
      </c>
      <c r="E1537">
        <v>1600000</v>
      </c>
      <c r="F1537" t="s">
        <v>34</v>
      </c>
      <c r="G1537" t="s">
        <v>37</v>
      </c>
      <c r="H1537" t="s">
        <v>27</v>
      </c>
      <c r="I1537" t="s">
        <v>27</v>
      </c>
      <c r="J1537" t="s">
        <v>33</v>
      </c>
      <c r="K1537" t="s">
        <v>31</v>
      </c>
      <c r="L1537">
        <v>2146222</v>
      </c>
      <c r="M1537">
        <v>74.549602986434408</v>
      </c>
    </row>
    <row r="1538" spans="1:13" hidden="1" x14ac:dyDescent="0.3">
      <c r="A1538" t="s">
        <v>1793</v>
      </c>
      <c r="B1538" t="s">
        <v>28</v>
      </c>
      <c r="C1538" t="s">
        <v>64</v>
      </c>
      <c r="D1538">
        <v>2016</v>
      </c>
      <c r="E1538">
        <v>2300000</v>
      </c>
      <c r="F1538" t="s">
        <v>34</v>
      </c>
      <c r="G1538" t="s">
        <v>65</v>
      </c>
      <c r="H1538" t="s">
        <v>27</v>
      </c>
      <c r="I1538" t="s">
        <v>27</v>
      </c>
      <c r="J1538" t="s">
        <v>27</v>
      </c>
      <c r="K1538">
        <v>300</v>
      </c>
      <c r="L1538">
        <v>3085194</v>
      </c>
      <c r="M1538">
        <v>74.549602986434408</v>
      </c>
    </row>
    <row r="1539" spans="1:13" hidden="1" x14ac:dyDescent="0.3">
      <c r="A1539" t="s">
        <v>1794</v>
      </c>
      <c r="B1539" t="s">
        <v>91</v>
      </c>
      <c r="C1539" t="s">
        <v>93</v>
      </c>
      <c r="D1539">
        <v>2016</v>
      </c>
      <c r="E1539">
        <v>2000000</v>
      </c>
      <c r="F1539" t="s">
        <v>109</v>
      </c>
      <c r="G1539" t="s">
        <v>54</v>
      </c>
      <c r="H1539" t="s">
        <v>33</v>
      </c>
      <c r="I1539" t="s">
        <v>27</v>
      </c>
      <c r="J1539" t="s">
        <v>33</v>
      </c>
      <c r="K1539">
        <v>389364</v>
      </c>
      <c r="L1539">
        <v>2682778</v>
      </c>
      <c r="M1539">
        <v>74.549602986434408</v>
      </c>
    </row>
    <row r="1540" spans="1:13" hidden="1" x14ac:dyDescent="0.3">
      <c r="A1540" t="s">
        <v>1795</v>
      </c>
      <c r="B1540" t="s">
        <v>28</v>
      </c>
      <c r="C1540" t="s">
        <v>65</v>
      </c>
      <c r="D1540">
        <v>2016</v>
      </c>
      <c r="E1540">
        <v>1100000</v>
      </c>
      <c r="F1540" t="s">
        <v>34</v>
      </c>
      <c r="G1540" t="s">
        <v>37</v>
      </c>
      <c r="H1540" t="s">
        <v>27</v>
      </c>
      <c r="I1540" t="s">
        <v>27</v>
      </c>
      <c r="J1540" t="s">
        <v>27</v>
      </c>
      <c r="K1540">
        <v>12</v>
      </c>
      <c r="L1540">
        <v>1475528</v>
      </c>
      <c r="M1540">
        <v>74.549602986434408</v>
      </c>
    </row>
    <row r="1541" spans="1:13" hidden="1" x14ac:dyDescent="0.3">
      <c r="A1541" t="s">
        <v>1796</v>
      </c>
      <c r="B1541" t="s">
        <v>51</v>
      </c>
      <c r="C1541" t="s">
        <v>52</v>
      </c>
      <c r="D1541">
        <v>2016</v>
      </c>
      <c r="E1541" t="s">
        <v>31</v>
      </c>
      <c r="F1541" t="s">
        <v>111</v>
      </c>
      <c r="G1541" t="s">
        <v>54</v>
      </c>
      <c r="H1541" t="s">
        <v>27</v>
      </c>
      <c r="I1541" t="s">
        <v>27</v>
      </c>
      <c r="J1541" t="s">
        <v>27</v>
      </c>
      <c r="K1541">
        <v>120</v>
      </c>
      <c r="L1541" t="s">
        <v>31</v>
      </c>
      <c r="M1541">
        <v>74.549602986434408</v>
      </c>
    </row>
    <row r="1542" spans="1:13" hidden="1" x14ac:dyDescent="0.3">
      <c r="A1542" t="s">
        <v>1797</v>
      </c>
      <c r="B1542" t="s">
        <v>28</v>
      </c>
      <c r="C1542" t="s">
        <v>30</v>
      </c>
      <c r="D1542">
        <v>2016</v>
      </c>
      <c r="E1542" t="s">
        <v>31</v>
      </c>
      <c r="F1542" t="s">
        <v>49</v>
      </c>
      <c r="G1542" t="s">
        <v>31</v>
      </c>
      <c r="H1542" t="s">
        <v>27</v>
      </c>
      <c r="I1542" t="s">
        <v>27</v>
      </c>
      <c r="J1542" t="s">
        <v>27</v>
      </c>
      <c r="K1542">
        <v>151</v>
      </c>
      <c r="L1542" t="s">
        <v>31</v>
      </c>
      <c r="M1542">
        <v>74.549602986434408</v>
      </c>
    </row>
    <row r="1543" spans="1:13" hidden="1" x14ac:dyDescent="0.3">
      <c r="A1543" t="s">
        <v>1798</v>
      </c>
      <c r="B1543" t="s">
        <v>28</v>
      </c>
      <c r="C1543" t="s">
        <v>30</v>
      </c>
      <c r="D1543">
        <v>2016</v>
      </c>
      <c r="E1543" t="s">
        <v>31</v>
      </c>
      <c r="F1543" t="s">
        <v>32</v>
      </c>
      <c r="G1543" t="s">
        <v>31</v>
      </c>
      <c r="H1543" t="s">
        <v>33</v>
      </c>
      <c r="I1543" t="s">
        <v>27</v>
      </c>
      <c r="J1543" t="s">
        <v>27</v>
      </c>
      <c r="K1543">
        <v>10355</v>
      </c>
      <c r="L1543" t="s">
        <v>31</v>
      </c>
      <c r="M1543">
        <v>74.549602986434408</v>
      </c>
    </row>
    <row r="1544" spans="1:13" hidden="1" x14ac:dyDescent="0.3">
      <c r="A1544" t="s">
        <v>1799</v>
      </c>
      <c r="B1544" t="s">
        <v>28</v>
      </c>
      <c r="C1544" t="s">
        <v>30</v>
      </c>
      <c r="D1544">
        <v>2016</v>
      </c>
      <c r="E1544" t="s">
        <v>31</v>
      </c>
      <c r="F1544" t="s">
        <v>73</v>
      </c>
      <c r="G1544" t="s">
        <v>82</v>
      </c>
      <c r="H1544" t="s">
        <v>27</v>
      </c>
      <c r="I1544" t="s">
        <v>27</v>
      </c>
      <c r="J1544" t="s">
        <v>27</v>
      </c>
      <c r="K1544">
        <v>11000</v>
      </c>
      <c r="L1544" t="s">
        <v>31</v>
      </c>
      <c r="M1544">
        <v>74.549602986434408</v>
      </c>
    </row>
    <row r="1545" spans="1:13" hidden="1" x14ac:dyDescent="0.3">
      <c r="A1545" t="s">
        <v>1800</v>
      </c>
      <c r="B1545" t="s">
        <v>51</v>
      </c>
      <c r="C1545" t="s">
        <v>52</v>
      </c>
      <c r="D1545">
        <v>2016</v>
      </c>
      <c r="E1545">
        <v>10000000</v>
      </c>
      <c r="F1545" t="s">
        <v>34</v>
      </c>
      <c r="G1545" t="s">
        <v>31</v>
      </c>
      <c r="H1545" t="s">
        <v>27</v>
      </c>
      <c r="I1545" t="s">
        <v>27</v>
      </c>
      <c r="J1545" t="s">
        <v>33</v>
      </c>
      <c r="K1545">
        <v>70000</v>
      </c>
      <c r="L1545">
        <v>13413888</v>
      </c>
      <c r="M1545">
        <v>74.549602986434408</v>
      </c>
    </row>
    <row r="1546" spans="1:13" hidden="1" x14ac:dyDescent="0.3">
      <c r="A1546" t="s">
        <v>1801</v>
      </c>
      <c r="B1546" t="s">
        <v>91</v>
      </c>
      <c r="C1546" t="s">
        <v>93</v>
      </c>
      <c r="D1546">
        <v>2016</v>
      </c>
      <c r="E1546" t="s">
        <v>31</v>
      </c>
      <c r="F1546" t="s">
        <v>53</v>
      </c>
      <c r="G1546" t="s">
        <v>31</v>
      </c>
      <c r="H1546" t="s">
        <v>27</v>
      </c>
      <c r="I1546" t="s">
        <v>27</v>
      </c>
      <c r="J1546" t="s">
        <v>27</v>
      </c>
      <c r="K1546">
        <v>11182</v>
      </c>
      <c r="L1546" t="s">
        <v>31</v>
      </c>
      <c r="M1546">
        <v>74.549602986434408</v>
      </c>
    </row>
    <row r="1547" spans="1:13" hidden="1" x14ac:dyDescent="0.3">
      <c r="A1547" t="s">
        <v>1802</v>
      </c>
      <c r="B1547" t="s">
        <v>28</v>
      </c>
      <c r="C1547" t="s">
        <v>30</v>
      </c>
      <c r="D1547">
        <v>2016</v>
      </c>
      <c r="E1547">
        <v>600000</v>
      </c>
      <c r="F1547" t="s">
        <v>34</v>
      </c>
      <c r="G1547" t="s">
        <v>85</v>
      </c>
      <c r="H1547" t="s">
        <v>27</v>
      </c>
      <c r="I1547" t="s">
        <v>27</v>
      </c>
      <c r="J1547" t="s">
        <v>27</v>
      </c>
      <c r="K1547">
        <v>14070</v>
      </c>
      <c r="L1547">
        <v>804833</v>
      </c>
      <c r="M1547">
        <v>74.549602986434408</v>
      </c>
    </row>
    <row r="1548" spans="1:13" hidden="1" x14ac:dyDescent="0.3">
      <c r="A1548" t="s">
        <v>1803</v>
      </c>
      <c r="B1548" t="s">
        <v>51</v>
      </c>
      <c r="C1548" t="s">
        <v>121</v>
      </c>
      <c r="D1548">
        <v>2016</v>
      </c>
      <c r="E1548">
        <v>550000</v>
      </c>
      <c r="F1548" t="s">
        <v>34</v>
      </c>
      <c r="G1548" t="s">
        <v>54</v>
      </c>
      <c r="H1548" t="s">
        <v>27</v>
      </c>
      <c r="I1548" t="s">
        <v>27</v>
      </c>
      <c r="J1548" t="s">
        <v>33</v>
      </c>
      <c r="K1548" t="s">
        <v>31</v>
      </c>
      <c r="L1548">
        <v>737764</v>
      </c>
      <c r="M1548">
        <v>74.549602986434408</v>
      </c>
    </row>
    <row r="1549" spans="1:13" hidden="1" x14ac:dyDescent="0.3">
      <c r="A1549" t="s">
        <v>1804</v>
      </c>
      <c r="B1549" t="s">
        <v>28</v>
      </c>
      <c r="C1549" t="s">
        <v>30</v>
      </c>
      <c r="D1549">
        <v>2016</v>
      </c>
      <c r="E1549">
        <v>600000</v>
      </c>
      <c r="F1549" t="s">
        <v>102</v>
      </c>
      <c r="G1549" t="s">
        <v>37</v>
      </c>
      <c r="H1549" t="s">
        <v>33</v>
      </c>
      <c r="I1549" t="s">
        <v>27</v>
      </c>
      <c r="J1549" t="s">
        <v>27</v>
      </c>
      <c r="K1549" t="s">
        <v>31</v>
      </c>
      <c r="L1549">
        <v>804833</v>
      </c>
      <c r="M1549">
        <v>74.549602986434408</v>
      </c>
    </row>
    <row r="1550" spans="1:13" hidden="1" x14ac:dyDescent="0.3">
      <c r="A1550" t="s">
        <v>1805</v>
      </c>
      <c r="B1550" t="s">
        <v>28</v>
      </c>
      <c r="C1550" t="s">
        <v>30</v>
      </c>
      <c r="D1550">
        <v>2016</v>
      </c>
      <c r="E1550">
        <v>2000000</v>
      </c>
      <c r="F1550" t="s">
        <v>45</v>
      </c>
      <c r="G1550" t="s">
        <v>31</v>
      </c>
      <c r="H1550" t="s">
        <v>33</v>
      </c>
      <c r="I1550" t="s">
        <v>27</v>
      </c>
      <c r="J1550" t="s">
        <v>27</v>
      </c>
      <c r="K1550">
        <v>2100439</v>
      </c>
      <c r="L1550">
        <v>2682778</v>
      </c>
      <c r="M1550">
        <v>74.549602986434408</v>
      </c>
    </row>
    <row r="1551" spans="1:13" hidden="1" x14ac:dyDescent="0.3">
      <c r="A1551" t="s">
        <v>1806</v>
      </c>
      <c r="B1551" t="s">
        <v>28</v>
      </c>
      <c r="C1551" t="s">
        <v>30</v>
      </c>
      <c r="D1551">
        <v>2016</v>
      </c>
      <c r="E1551" t="s">
        <v>31</v>
      </c>
      <c r="F1551" t="s">
        <v>246</v>
      </c>
      <c r="G1551" t="s">
        <v>37</v>
      </c>
      <c r="H1551" t="s">
        <v>27</v>
      </c>
      <c r="I1551" t="s">
        <v>27</v>
      </c>
      <c r="J1551" t="s">
        <v>27</v>
      </c>
      <c r="K1551">
        <v>25000</v>
      </c>
      <c r="L1551" t="s">
        <v>31</v>
      </c>
      <c r="M1551">
        <v>74.549602986434408</v>
      </c>
    </row>
    <row r="1552" spans="1:13" hidden="1" x14ac:dyDescent="0.3">
      <c r="A1552" t="s">
        <v>1807</v>
      </c>
      <c r="B1552" t="s">
        <v>28</v>
      </c>
      <c r="C1552" t="s">
        <v>30</v>
      </c>
      <c r="D1552">
        <v>2016</v>
      </c>
      <c r="E1552" t="s">
        <v>31</v>
      </c>
      <c r="F1552" t="s">
        <v>161</v>
      </c>
      <c r="G1552" t="s">
        <v>37</v>
      </c>
      <c r="H1552" t="s">
        <v>33</v>
      </c>
      <c r="I1552" t="s">
        <v>27</v>
      </c>
      <c r="J1552" t="s">
        <v>33</v>
      </c>
      <c r="K1552">
        <v>50000</v>
      </c>
      <c r="L1552" t="s">
        <v>31</v>
      </c>
      <c r="M1552">
        <v>74.549602986434408</v>
      </c>
    </row>
    <row r="1553" spans="1:13" hidden="1" x14ac:dyDescent="0.3">
      <c r="A1553" t="s">
        <v>1808</v>
      </c>
      <c r="B1553" t="s">
        <v>39</v>
      </c>
      <c r="C1553" t="s">
        <v>41</v>
      </c>
      <c r="D1553">
        <v>2016</v>
      </c>
      <c r="E1553">
        <v>1200000</v>
      </c>
      <c r="F1553" t="s">
        <v>34</v>
      </c>
      <c r="G1553" t="s">
        <v>31</v>
      </c>
      <c r="H1553" t="s">
        <v>27</v>
      </c>
      <c r="I1553" t="s">
        <v>27</v>
      </c>
      <c r="J1553" t="s">
        <v>27</v>
      </c>
      <c r="K1553">
        <v>6574</v>
      </c>
      <c r="L1553">
        <v>1609667</v>
      </c>
      <c r="M1553">
        <v>74.549602986434408</v>
      </c>
    </row>
    <row r="1554" spans="1:13" hidden="1" x14ac:dyDescent="0.3">
      <c r="A1554" t="s">
        <v>1809</v>
      </c>
      <c r="B1554" t="s">
        <v>28</v>
      </c>
      <c r="C1554" t="s">
        <v>67</v>
      </c>
      <c r="D1554">
        <v>2016</v>
      </c>
      <c r="E1554">
        <v>275000</v>
      </c>
      <c r="F1554" t="s">
        <v>34</v>
      </c>
      <c r="G1554" t="s">
        <v>65</v>
      </c>
      <c r="H1554" t="s">
        <v>27</v>
      </c>
      <c r="I1554" t="s">
        <v>27</v>
      </c>
      <c r="J1554" t="s">
        <v>27</v>
      </c>
      <c r="K1554">
        <v>33</v>
      </c>
      <c r="L1554">
        <v>368882</v>
      </c>
      <c r="M1554">
        <v>74.549602986434408</v>
      </c>
    </row>
    <row r="1555" spans="1:13" hidden="1" x14ac:dyDescent="0.3">
      <c r="A1555" t="s">
        <v>1810</v>
      </c>
      <c r="B1555" t="s">
        <v>91</v>
      </c>
      <c r="C1555" t="s">
        <v>93</v>
      </c>
      <c r="D1555">
        <v>2016</v>
      </c>
      <c r="E1555">
        <v>20000</v>
      </c>
      <c r="F1555" t="s">
        <v>34</v>
      </c>
      <c r="G1555" t="s">
        <v>31</v>
      </c>
      <c r="H1555" t="s">
        <v>27</v>
      </c>
      <c r="I1555" t="s">
        <v>27</v>
      </c>
      <c r="J1555" t="s">
        <v>27</v>
      </c>
      <c r="K1555">
        <v>120</v>
      </c>
      <c r="L1555">
        <v>26828</v>
      </c>
      <c r="M1555">
        <v>74.549602986434408</v>
      </c>
    </row>
    <row r="1556" spans="1:13" hidden="1" x14ac:dyDescent="0.3">
      <c r="A1556" t="s">
        <v>1811</v>
      </c>
      <c r="B1556" t="s">
        <v>51</v>
      </c>
      <c r="C1556" t="s">
        <v>52</v>
      </c>
      <c r="D1556">
        <v>2016</v>
      </c>
      <c r="E1556">
        <v>29700</v>
      </c>
      <c r="F1556" t="s">
        <v>148</v>
      </c>
      <c r="G1556" t="s">
        <v>54</v>
      </c>
      <c r="H1556" t="s">
        <v>27</v>
      </c>
      <c r="I1556" t="s">
        <v>27</v>
      </c>
      <c r="J1556" t="s">
        <v>27</v>
      </c>
      <c r="K1556">
        <v>25000</v>
      </c>
      <c r="L1556">
        <v>39839</v>
      </c>
      <c r="M1556">
        <v>74.549602986434408</v>
      </c>
    </row>
    <row r="1557" spans="1:13" hidden="1" x14ac:dyDescent="0.3">
      <c r="A1557" t="s">
        <v>1812</v>
      </c>
      <c r="B1557" t="s">
        <v>51</v>
      </c>
      <c r="C1557" t="s">
        <v>52</v>
      </c>
      <c r="D1557">
        <v>2016</v>
      </c>
      <c r="E1557" t="s">
        <v>31</v>
      </c>
      <c r="F1557" t="s">
        <v>47</v>
      </c>
      <c r="G1557" t="s">
        <v>54</v>
      </c>
      <c r="H1557" t="s">
        <v>27</v>
      </c>
      <c r="I1557" t="s">
        <v>27</v>
      </c>
      <c r="J1557" t="s">
        <v>27</v>
      </c>
      <c r="K1557">
        <v>72</v>
      </c>
      <c r="L1557" t="s">
        <v>31</v>
      </c>
      <c r="M1557">
        <v>74.549602986434408</v>
      </c>
    </row>
    <row r="1558" spans="1:13" hidden="1" x14ac:dyDescent="0.3">
      <c r="A1558" t="s">
        <v>1813</v>
      </c>
      <c r="B1558" t="s">
        <v>51</v>
      </c>
      <c r="C1558" t="s">
        <v>56</v>
      </c>
      <c r="D1558">
        <v>2016</v>
      </c>
      <c r="E1558" t="s">
        <v>31</v>
      </c>
      <c r="F1558" t="s">
        <v>73</v>
      </c>
      <c r="G1558" t="s">
        <v>31</v>
      </c>
      <c r="H1558" t="s">
        <v>27</v>
      </c>
      <c r="I1558" t="s">
        <v>27</v>
      </c>
      <c r="J1558" t="s">
        <v>27</v>
      </c>
      <c r="K1558">
        <v>3000</v>
      </c>
      <c r="L1558" t="s">
        <v>31</v>
      </c>
      <c r="M1558">
        <v>74.549602986434408</v>
      </c>
    </row>
    <row r="1559" spans="1:13" hidden="1" x14ac:dyDescent="0.3">
      <c r="A1559" t="s">
        <v>1814</v>
      </c>
      <c r="B1559" t="s">
        <v>28</v>
      </c>
      <c r="C1559" t="s">
        <v>99</v>
      </c>
      <c r="D1559">
        <v>2016</v>
      </c>
      <c r="E1559" t="s">
        <v>31</v>
      </c>
      <c r="F1559" t="s">
        <v>34</v>
      </c>
      <c r="G1559" t="s">
        <v>31</v>
      </c>
      <c r="H1559" t="s">
        <v>27</v>
      </c>
      <c r="I1559" t="s">
        <v>27</v>
      </c>
      <c r="J1559" t="s">
        <v>27</v>
      </c>
      <c r="K1559">
        <v>19</v>
      </c>
      <c r="L1559" t="s">
        <v>31</v>
      </c>
      <c r="M1559">
        <v>74.549602986434408</v>
      </c>
    </row>
    <row r="1560" spans="1:13" hidden="1" x14ac:dyDescent="0.3">
      <c r="A1560" t="s">
        <v>1815</v>
      </c>
      <c r="B1560" t="s">
        <v>39</v>
      </c>
      <c r="C1560" t="s">
        <v>157</v>
      </c>
      <c r="D1560">
        <v>2016</v>
      </c>
      <c r="E1560" t="s">
        <v>31</v>
      </c>
      <c r="F1560" t="s">
        <v>117</v>
      </c>
      <c r="G1560" t="s">
        <v>31</v>
      </c>
      <c r="H1560" t="s">
        <v>27</v>
      </c>
      <c r="I1560" t="s">
        <v>27</v>
      </c>
      <c r="J1560" t="s">
        <v>27</v>
      </c>
      <c r="K1560" t="s">
        <v>31</v>
      </c>
      <c r="L1560" t="s">
        <v>31</v>
      </c>
      <c r="M1560">
        <v>74.549602986434408</v>
      </c>
    </row>
    <row r="1561" spans="1:13" hidden="1" x14ac:dyDescent="0.3">
      <c r="A1561" t="s">
        <v>2469</v>
      </c>
      <c r="B1561" t="s">
        <v>51</v>
      </c>
      <c r="C1561" t="s">
        <v>52</v>
      </c>
      <c r="D1561">
        <v>2016</v>
      </c>
      <c r="E1561" t="s">
        <v>31</v>
      </c>
      <c r="F1561" t="s">
        <v>45</v>
      </c>
      <c r="G1561" t="s">
        <v>54</v>
      </c>
      <c r="H1561" t="s">
        <v>27</v>
      </c>
      <c r="I1561" t="s">
        <v>27</v>
      </c>
      <c r="J1561" t="s">
        <v>27</v>
      </c>
      <c r="K1561">
        <v>22070</v>
      </c>
      <c r="L1561" t="s">
        <v>31</v>
      </c>
      <c r="M1561">
        <v>74.549602986434408</v>
      </c>
    </row>
    <row r="1562" spans="1:13" hidden="1" x14ac:dyDescent="0.3">
      <c r="A1562" t="s">
        <v>2478</v>
      </c>
      <c r="B1562" t="s">
        <v>51</v>
      </c>
      <c r="C1562" t="s">
        <v>52</v>
      </c>
      <c r="D1562">
        <v>2016</v>
      </c>
      <c r="E1562">
        <v>2000</v>
      </c>
      <c r="F1562" t="s">
        <v>53</v>
      </c>
      <c r="G1562" t="s">
        <v>54</v>
      </c>
      <c r="H1562" t="s">
        <v>27</v>
      </c>
      <c r="I1562" t="s">
        <v>27</v>
      </c>
      <c r="J1562" t="s">
        <v>27</v>
      </c>
      <c r="K1562">
        <v>10000</v>
      </c>
      <c r="L1562">
        <v>2683</v>
      </c>
      <c r="M1562">
        <v>74.549602986434408</v>
      </c>
    </row>
    <row r="1563" spans="1:13" hidden="1" x14ac:dyDescent="0.3">
      <c r="A1563" t="s">
        <v>2479</v>
      </c>
      <c r="B1563" t="s">
        <v>51</v>
      </c>
      <c r="C1563" t="s">
        <v>56</v>
      </c>
      <c r="D1563">
        <v>2016</v>
      </c>
      <c r="E1563">
        <v>2000000</v>
      </c>
      <c r="F1563" t="s">
        <v>34</v>
      </c>
      <c r="G1563" t="s">
        <v>29</v>
      </c>
      <c r="H1563" t="s">
        <v>27</v>
      </c>
      <c r="I1563" t="s">
        <v>27</v>
      </c>
      <c r="J1563" t="s">
        <v>33</v>
      </c>
      <c r="K1563">
        <v>21000</v>
      </c>
      <c r="L1563">
        <v>2682778</v>
      </c>
      <c r="M1563">
        <v>74.549602986434408</v>
      </c>
    </row>
    <row r="1564" spans="1:13" hidden="1" x14ac:dyDescent="0.3">
      <c r="A1564" t="s">
        <v>2480</v>
      </c>
      <c r="B1564" t="s">
        <v>39</v>
      </c>
      <c r="C1564" t="s">
        <v>41</v>
      </c>
      <c r="D1564">
        <v>2016</v>
      </c>
      <c r="E1564">
        <v>4000000</v>
      </c>
      <c r="F1564" t="s">
        <v>77</v>
      </c>
      <c r="G1564" t="s">
        <v>2481</v>
      </c>
      <c r="H1564" t="s">
        <v>33</v>
      </c>
      <c r="I1564" t="s">
        <v>27</v>
      </c>
      <c r="J1564" t="s">
        <v>27</v>
      </c>
      <c r="K1564">
        <v>88000</v>
      </c>
      <c r="L1564">
        <v>5365555</v>
      </c>
      <c r="M1564">
        <v>74.549602986434408</v>
      </c>
    </row>
    <row r="1565" spans="1:13" hidden="1" x14ac:dyDescent="0.3">
      <c r="A1565" t="s">
        <v>2482</v>
      </c>
      <c r="B1565" t="s">
        <v>28</v>
      </c>
      <c r="C1565" t="s">
        <v>99</v>
      </c>
      <c r="D1565">
        <v>2016</v>
      </c>
      <c r="E1565">
        <v>2400000</v>
      </c>
      <c r="F1565" t="s">
        <v>34</v>
      </c>
      <c r="G1565" t="s">
        <v>100</v>
      </c>
      <c r="H1565" t="s">
        <v>27</v>
      </c>
      <c r="I1565" t="s">
        <v>27</v>
      </c>
      <c r="J1565" t="s">
        <v>27</v>
      </c>
      <c r="K1565" t="s">
        <v>31</v>
      </c>
      <c r="L1565">
        <v>3219333</v>
      </c>
      <c r="M1565">
        <v>74.549602986434408</v>
      </c>
    </row>
    <row r="1566" spans="1:13" hidden="1" x14ac:dyDescent="0.3">
      <c r="A1566" t="s">
        <v>2483</v>
      </c>
      <c r="B1566" t="s">
        <v>91</v>
      </c>
      <c r="C1566" t="s">
        <v>93</v>
      </c>
      <c r="D1566">
        <v>2016</v>
      </c>
      <c r="E1566" t="s">
        <v>31</v>
      </c>
      <c r="F1566" t="s">
        <v>109</v>
      </c>
      <c r="G1566" t="s">
        <v>31</v>
      </c>
      <c r="H1566" t="s">
        <v>27</v>
      </c>
      <c r="I1566" t="s">
        <v>27</v>
      </c>
      <c r="J1566" t="s">
        <v>27</v>
      </c>
      <c r="K1566">
        <v>147</v>
      </c>
      <c r="L1566" t="s">
        <v>31</v>
      </c>
      <c r="M1566">
        <v>74.549602986434408</v>
      </c>
    </row>
    <row r="1567" spans="1:13" hidden="1" x14ac:dyDescent="0.3">
      <c r="A1567" t="s">
        <v>2484</v>
      </c>
      <c r="B1567" t="s">
        <v>51</v>
      </c>
      <c r="C1567" t="s">
        <v>52</v>
      </c>
      <c r="D1567">
        <v>2016</v>
      </c>
      <c r="E1567" t="s">
        <v>31</v>
      </c>
      <c r="F1567" t="s">
        <v>45</v>
      </c>
      <c r="G1567" t="s">
        <v>31</v>
      </c>
      <c r="H1567" t="s">
        <v>27</v>
      </c>
      <c r="I1567" t="s">
        <v>27</v>
      </c>
      <c r="J1567" t="s">
        <v>27</v>
      </c>
      <c r="K1567">
        <v>3000</v>
      </c>
      <c r="L1567" t="s">
        <v>31</v>
      </c>
      <c r="M1567">
        <v>74.549602986434408</v>
      </c>
    </row>
    <row r="1568" spans="1:13" hidden="1" x14ac:dyDescent="0.3">
      <c r="A1568" t="s">
        <v>2485</v>
      </c>
      <c r="B1568" t="s">
        <v>28</v>
      </c>
      <c r="C1568" t="s">
        <v>189</v>
      </c>
      <c r="D1568">
        <v>2016</v>
      </c>
      <c r="E1568">
        <v>1000000</v>
      </c>
      <c r="F1568" t="s">
        <v>34</v>
      </c>
      <c r="G1568" t="s">
        <v>82</v>
      </c>
      <c r="H1568" t="s">
        <v>27</v>
      </c>
      <c r="I1568" t="s">
        <v>27</v>
      </c>
      <c r="J1568" t="s">
        <v>33</v>
      </c>
      <c r="K1568">
        <v>2000</v>
      </c>
      <c r="L1568">
        <v>1341389</v>
      </c>
      <c r="M1568">
        <v>74.549602986434408</v>
      </c>
    </row>
    <row r="1569" spans="1:13" hidden="1" x14ac:dyDescent="0.3">
      <c r="A1569" t="s">
        <v>2487</v>
      </c>
      <c r="B1569" t="s">
        <v>28</v>
      </c>
      <c r="C1569" t="s">
        <v>30</v>
      </c>
      <c r="D1569">
        <v>2016</v>
      </c>
      <c r="E1569" t="s">
        <v>31</v>
      </c>
      <c r="F1569" t="s">
        <v>90</v>
      </c>
      <c r="G1569" t="s">
        <v>31</v>
      </c>
      <c r="H1569" t="s">
        <v>27</v>
      </c>
      <c r="I1569" t="s">
        <v>27</v>
      </c>
      <c r="J1569" t="s">
        <v>27</v>
      </c>
      <c r="K1569">
        <v>55</v>
      </c>
      <c r="L1569" t="s">
        <v>31</v>
      </c>
      <c r="M1569">
        <v>74.549602986434408</v>
      </c>
    </row>
    <row r="1570" spans="1:13" hidden="1" x14ac:dyDescent="0.3">
      <c r="A1570" t="s">
        <v>2488</v>
      </c>
      <c r="B1570" t="s">
        <v>39</v>
      </c>
      <c r="C1570" t="s">
        <v>41</v>
      </c>
      <c r="D1570">
        <v>2016</v>
      </c>
      <c r="E1570">
        <v>100000</v>
      </c>
      <c r="F1570" t="s">
        <v>34</v>
      </c>
      <c r="G1570" t="s">
        <v>31</v>
      </c>
      <c r="H1570" t="s">
        <v>27</v>
      </c>
      <c r="I1570" t="s">
        <v>27</v>
      </c>
      <c r="J1570" t="s">
        <v>27</v>
      </c>
      <c r="K1570">
        <v>567</v>
      </c>
      <c r="L1570">
        <v>134139</v>
      </c>
      <c r="M1570">
        <v>74.549602986434408</v>
      </c>
    </row>
    <row r="1571" spans="1:13" hidden="1" x14ac:dyDescent="0.3">
      <c r="A1571" t="s">
        <v>2489</v>
      </c>
      <c r="B1571" t="s">
        <v>51</v>
      </c>
      <c r="C1571" t="s">
        <v>134</v>
      </c>
      <c r="D1571">
        <v>2016</v>
      </c>
      <c r="E1571" t="s">
        <v>31</v>
      </c>
      <c r="F1571" t="s">
        <v>90</v>
      </c>
      <c r="G1571" t="s">
        <v>31</v>
      </c>
      <c r="H1571" t="s">
        <v>27</v>
      </c>
      <c r="I1571" t="s">
        <v>27</v>
      </c>
      <c r="J1571" t="s">
        <v>27</v>
      </c>
      <c r="K1571">
        <v>46</v>
      </c>
      <c r="L1571" t="s">
        <v>31</v>
      </c>
      <c r="M1571">
        <v>74.549602986434408</v>
      </c>
    </row>
    <row r="1572" spans="1:13" hidden="1" x14ac:dyDescent="0.3">
      <c r="A1572" t="s">
        <v>2490</v>
      </c>
      <c r="B1572" t="s">
        <v>28</v>
      </c>
      <c r="C1572" t="s">
        <v>30</v>
      </c>
      <c r="D1572">
        <v>2016</v>
      </c>
      <c r="E1572">
        <v>50000</v>
      </c>
      <c r="F1572" t="s">
        <v>73</v>
      </c>
      <c r="G1572" t="s">
        <v>37</v>
      </c>
      <c r="H1572" t="s">
        <v>27</v>
      </c>
      <c r="I1572" t="s">
        <v>27</v>
      </c>
      <c r="J1572" t="s">
        <v>27</v>
      </c>
      <c r="K1572">
        <v>10500</v>
      </c>
      <c r="L1572">
        <v>67069</v>
      </c>
      <c r="M1572">
        <v>74.549602986434408</v>
      </c>
    </row>
    <row r="1573" spans="1:13" hidden="1" x14ac:dyDescent="0.3">
      <c r="A1573" t="s">
        <v>2491</v>
      </c>
      <c r="B1573" t="s">
        <v>28</v>
      </c>
      <c r="C1573" t="s">
        <v>30</v>
      </c>
      <c r="D1573">
        <v>2016</v>
      </c>
      <c r="E1573" t="s">
        <v>31</v>
      </c>
      <c r="F1573" t="s">
        <v>75</v>
      </c>
      <c r="G1573" t="s">
        <v>31</v>
      </c>
      <c r="H1573" t="s">
        <v>27</v>
      </c>
      <c r="I1573" t="s">
        <v>27</v>
      </c>
      <c r="J1573" t="s">
        <v>27</v>
      </c>
      <c r="K1573">
        <v>48</v>
      </c>
      <c r="L1573" t="s">
        <v>31</v>
      </c>
      <c r="M1573">
        <v>74.549602986434408</v>
      </c>
    </row>
    <row r="1574" spans="1:13" hidden="1" x14ac:dyDescent="0.3">
      <c r="A1574" t="s">
        <v>2492</v>
      </c>
      <c r="B1574" t="s">
        <v>51</v>
      </c>
      <c r="C1574" t="s">
        <v>52</v>
      </c>
      <c r="D1574">
        <v>2016</v>
      </c>
      <c r="E1574" t="s">
        <v>31</v>
      </c>
      <c r="F1574" t="s">
        <v>49</v>
      </c>
      <c r="G1574" t="s">
        <v>54</v>
      </c>
      <c r="H1574" t="s">
        <v>27</v>
      </c>
      <c r="I1574" t="s">
        <v>27</v>
      </c>
      <c r="J1574" t="s">
        <v>27</v>
      </c>
      <c r="K1574">
        <v>450000</v>
      </c>
      <c r="L1574" t="s">
        <v>31</v>
      </c>
      <c r="M1574">
        <v>74.549602986434408</v>
      </c>
    </row>
    <row r="1575" spans="1:13" hidden="1" x14ac:dyDescent="0.3">
      <c r="A1575" t="s">
        <v>2493</v>
      </c>
      <c r="B1575" t="s">
        <v>51</v>
      </c>
      <c r="C1575" t="s">
        <v>121</v>
      </c>
      <c r="D1575">
        <v>2016</v>
      </c>
      <c r="E1575" t="s">
        <v>31</v>
      </c>
      <c r="F1575" t="s">
        <v>75</v>
      </c>
      <c r="G1575" t="s">
        <v>54</v>
      </c>
      <c r="H1575" t="s">
        <v>27</v>
      </c>
      <c r="I1575" t="s">
        <v>27</v>
      </c>
      <c r="J1575" t="s">
        <v>33</v>
      </c>
      <c r="K1575">
        <v>2792000</v>
      </c>
      <c r="L1575" t="s">
        <v>31</v>
      </c>
      <c r="M1575">
        <v>74.549602986434408</v>
      </c>
    </row>
    <row r="1576" spans="1:13" hidden="1" x14ac:dyDescent="0.3">
      <c r="A1576" t="s">
        <v>2494</v>
      </c>
      <c r="B1576" t="s">
        <v>43</v>
      </c>
      <c r="C1576" t="s">
        <v>114</v>
      </c>
      <c r="D1576">
        <v>2016</v>
      </c>
      <c r="E1576" t="s">
        <v>31</v>
      </c>
      <c r="F1576" t="s">
        <v>47</v>
      </c>
      <c r="G1576" t="s">
        <v>31</v>
      </c>
      <c r="H1576" t="s">
        <v>27</v>
      </c>
      <c r="I1576" t="s">
        <v>27</v>
      </c>
      <c r="J1576" t="s">
        <v>27</v>
      </c>
      <c r="K1576">
        <v>12</v>
      </c>
      <c r="L1576" t="s">
        <v>31</v>
      </c>
      <c r="M1576">
        <v>74.549602986434408</v>
      </c>
    </row>
    <row r="1577" spans="1:13" hidden="1" x14ac:dyDescent="0.3">
      <c r="A1577" t="s">
        <v>2495</v>
      </c>
      <c r="B1577" t="s">
        <v>43</v>
      </c>
      <c r="C1577" t="s">
        <v>114</v>
      </c>
      <c r="D1577">
        <v>2016</v>
      </c>
      <c r="E1577" t="s">
        <v>31</v>
      </c>
      <c r="F1577" t="s">
        <v>53</v>
      </c>
      <c r="G1577" t="s">
        <v>31</v>
      </c>
      <c r="H1577" t="s">
        <v>27</v>
      </c>
      <c r="I1577" t="s">
        <v>27</v>
      </c>
      <c r="J1577" t="s">
        <v>27</v>
      </c>
      <c r="K1577">
        <v>54</v>
      </c>
      <c r="L1577" t="s">
        <v>31</v>
      </c>
      <c r="M1577">
        <v>74.549602986434408</v>
      </c>
    </row>
    <row r="1578" spans="1:13" hidden="1" x14ac:dyDescent="0.3">
      <c r="A1578" t="s">
        <v>2496</v>
      </c>
      <c r="B1578" t="s">
        <v>51</v>
      </c>
      <c r="C1578" t="s">
        <v>121</v>
      </c>
      <c r="D1578">
        <v>2016</v>
      </c>
      <c r="E1578" t="s">
        <v>31</v>
      </c>
      <c r="F1578" t="s">
        <v>47</v>
      </c>
      <c r="G1578" t="s">
        <v>31</v>
      </c>
      <c r="H1578" t="s">
        <v>27</v>
      </c>
      <c r="I1578" t="s">
        <v>27</v>
      </c>
      <c r="J1578" t="s">
        <v>27</v>
      </c>
      <c r="K1578">
        <v>2200</v>
      </c>
      <c r="L1578" t="s">
        <v>31</v>
      </c>
      <c r="M1578">
        <v>74.549602986434408</v>
      </c>
    </row>
    <row r="1579" spans="1:13" hidden="1" x14ac:dyDescent="0.3">
      <c r="A1579" t="s">
        <v>192</v>
      </c>
      <c r="B1579" t="s">
        <v>39</v>
      </c>
      <c r="C1579" t="s">
        <v>157</v>
      </c>
      <c r="D1579">
        <v>2017</v>
      </c>
      <c r="E1579">
        <v>2500000</v>
      </c>
      <c r="F1579" t="s">
        <v>34</v>
      </c>
      <c r="G1579" t="s">
        <v>31</v>
      </c>
      <c r="H1579" t="s">
        <v>27</v>
      </c>
      <c r="I1579" t="s">
        <v>27</v>
      </c>
      <c r="J1579" t="s">
        <v>27</v>
      </c>
      <c r="K1579" t="s">
        <v>31</v>
      </c>
      <c r="L1579">
        <v>3283529</v>
      </c>
      <c r="M1579">
        <v>76.137603705776584</v>
      </c>
    </row>
    <row r="1580" spans="1:13" hidden="1" x14ac:dyDescent="0.3">
      <c r="A1580" t="s">
        <v>198</v>
      </c>
      <c r="B1580" t="s">
        <v>51</v>
      </c>
      <c r="C1580" t="s">
        <v>52</v>
      </c>
      <c r="D1580">
        <v>2017</v>
      </c>
      <c r="E1580" t="s">
        <v>31</v>
      </c>
      <c r="F1580" t="s">
        <v>45</v>
      </c>
      <c r="G1580" t="s">
        <v>54</v>
      </c>
      <c r="H1580" t="s">
        <v>27</v>
      </c>
      <c r="I1580" t="s">
        <v>27</v>
      </c>
      <c r="J1580" t="s">
        <v>27</v>
      </c>
      <c r="K1580">
        <v>50000</v>
      </c>
      <c r="L1580" t="s">
        <v>31</v>
      </c>
      <c r="M1580">
        <v>76.137603705776584</v>
      </c>
    </row>
    <row r="1581" spans="1:13" hidden="1" x14ac:dyDescent="0.3">
      <c r="A1581" t="s">
        <v>204</v>
      </c>
      <c r="B1581" t="s">
        <v>28</v>
      </c>
      <c r="C1581" t="s">
        <v>30</v>
      </c>
      <c r="D1581">
        <v>2017</v>
      </c>
      <c r="E1581" t="s">
        <v>31</v>
      </c>
      <c r="F1581" t="s">
        <v>205</v>
      </c>
      <c r="G1581" t="s">
        <v>82</v>
      </c>
      <c r="H1581" t="s">
        <v>27</v>
      </c>
      <c r="I1581" t="s">
        <v>27</v>
      </c>
      <c r="J1581" t="s">
        <v>27</v>
      </c>
      <c r="K1581" t="s">
        <v>31</v>
      </c>
      <c r="L1581" t="s">
        <v>31</v>
      </c>
      <c r="M1581">
        <v>76.137603705776584</v>
      </c>
    </row>
    <row r="1582" spans="1:13" hidden="1" x14ac:dyDescent="0.3">
      <c r="A1582" t="s">
        <v>206</v>
      </c>
      <c r="B1582" t="s">
        <v>28</v>
      </c>
      <c r="C1582" t="s">
        <v>30</v>
      </c>
      <c r="D1582">
        <v>2017</v>
      </c>
      <c r="E1582" t="s">
        <v>31</v>
      </c>
      <c r="F1582" t="s">
        <v>207</v>
      </c>
      <c r="G1582" t="s">
        <v>31</v>
      </c>
      <c r="H1582" t="s">
        <v>27</v>
      </c>
      <c r="I1582" t="s">
        <v>27</v>
      </c>
      <c r="J1582" t="s">
        <v>27</v>
      </c>
      <c r="K1582" t="s">
        <v>31</v>
      </c>
      <c r="L1582" t="s">
        <v>31</v>
      </c>
      <c r="M1582">
        <v>76.137603705776584</v>
      </c>
    </row>
    <row r="1583" spans="1:13" hidden="1" x14ac:dyDescent="0.3">
      <c r="A1583" t="s">
        <v>208</v>
      </c>
      <c r="B1583" t="s">
        <v>28</v>
      </c>
      <c r="C1583" t="s">
        <v>30</v>
      </c>
      <c r="D1583">
        <v>2017</v>
      </c>
      <c r="E1583">
        <v>68000000</v>
      </c>
      <c r="F1583" t="s">
        <v>62</v>
      </c>
      <c r="G1583" t="s">
        <v>209</v>
      </c>
      <c r="H1583" t="s">
        <v>27</v>
      </c>
      <c r="I1583" t="s">
        <v>27</v>
      </c>
      <c r="J1583" t="s">
        <v>33</v>
      </c>
      <c r="K1583">
        <v>750000</v>
      </c>
      <c r="L1583">
        <v>89311978</v>
      </c>
      <c r="M1583">
        <v>76.137603705776584</v>
      </c>
    </row>
    <row r="1584" spans="1:13" hidden="1" x14ac:dyDescent="0.3">
      <c r="A1584" t="s">
        <v>210</v>
      </c>
      <c r="B1584" t="s">
        <v>28</v>
      </c>
      <c r="C1584" t="s">
        <v>30</v>
      </c>
      <c r="D1584">
        <v>2017</v>
      </c>
      <c r="E1584">
        <v>120000</v>
      </c>
      <c r="F1584" t="s">
        <v>211</v>
      </c>
      <c r="G1584" t="s">
        <v>37</v>
      </c>
      <c r="H1584" t="s">
        <v>27</v>
      </c>
      <c r="I1584" t="s">
        <v>27</v>
      </c>
      <c r="J1584" t="s">
        <v>27</v>
      </c>
      <c r="K1584">
        <v>80002</v>
      </c>
      <c r="L1584">
        <v>157609</v>
      </c>
      <c r="M1584">
        <v>76.137603705776584</v>
      </c>
    </row>
    <row r="1585" spans="1:13" hidden="1" x14ac:dyDescent="0.3">
      <c r="A1585" t="s">
        <v>213</v>
      </c>
      <c r="B1585" t="s">
        <v>91</v>
      </c>
      <c r="C1585" t="s">
        <v>93</v>
      </c>
      <c r="D1585">
        <v>2017</v>
      </c>
      <c r="E1585">
        <v>2300000</v>
      </c>
      <c r="F1585" t="s">
        <v>73</v>
      </c>
      <c r="G1585" t="s">
        <v>214</v>
      </c>
      <c r="H1585" t="s">
        <v>27</v>
      </c>
      <c r="I1585" t="s">
        <v>27</v>
      </c>
      <c r="J1585" t="s">
        <v>33</v>
      </c>
      <c r="K1585">
        <v>1200250</v>
      </c>
      <c r="L1585">
        <v>3020846</v>
      </c>
      <c r="M1585">
        <v>76.137603705776584</v>
      </c>
    </row>
    <row r="1586" spans="1:13" hidden="1" x14ac:dyDescent="0.3">
      <c r="A1586" t="s">
        <v>215</v>
      </c>
      <c r="B1586" t="s">
        <v>28</v>
      </c>
      <c r="C1586" t="s">
        <v>30</v>
      </c>
      <c r="D1586">
        <v>2017</v>
      </c>
      <c r="E1586" t="s">
        <v>31</v>
      </c>
      <c r="F1586" t="s">
        <v>205</v>
      </c>
      <c r="G1586" t="s">
        <v>37</v>
      </c>
      <c r="H1586" t="s">
        <v>27</v>
      </c>
      <c r="I1586" t="s">
        <v>27</v>
      </c>
      <c r="J1586" t="s">
        <v>33</v>
      </c>
      <c r="K1586" t="s">
        <v>31</v>
      </c>
      <c r="L1586" t="s">
        <v>31</v>
      </c>
      <c r="M1586">
        <v>76.137603705776584</v>
      </c>
    </row>
    <row r="1587" spans="1:13" hidden="1" x14ac:dyDescent="0.3">
      <c r="A1587" t="s">
        <v>216</v>
      </c>
      <c r="B1587" t="s">
        <v>28</v>
      </c>
      <c r="C1587" t="s">
        <v>30</v>
      </c>
      <c r="D1587">
        <v>2017</v>
      </c>
      <c r="E1587" t="s">
        <v>31</v>
      </c>
      <c r="F1587" t="s">
        <v>75</v>
      </c>
      <c r="G1587" t="s">
        <v>37</v>
      </c>
      <c r="H1587" t="s">
        <v>27</v>
      </c>
      <c r="I1587" t="s">
        <v>27</v>
      </c>
      <c r="J1587" t="s">
        <v>27</v>
      </c>
      <c r="K1587">
        <v>6300</v>
      </c>
      <c r="L1587" t="s">
        <v>31</v>
      </c>
      <c r="M1587">
        <v>76.137603705776584</v>
      </c>
    </row>
    <row r="1588" spans="1:13" hidden="1" x14ac:dyDescent="0.3">
      <c r="A1588" t="s">
        <v>217</v>
      </c>
      <c r="B1588" t="s">
        <v>28</v>
      </c>
      <c r="C1588" t="s">
        <v>30</v>
      </c>
      <c r="D1588">
        <v>2017</v>
      </c>
      <c r="E1588">
        <v>2000</v>
      </c>
      <c r="F1588" t="s">
        <v>102</v>
      </c>
      <c r="G1588" t="s">
        <v>31</v>
      </c>
      <c r="H1588" t="s">
        <v>33</v>
      </c>
      <c r="I1588" t="s">
        <v>27</v>
      </c>
      <c r="J1588" t="s">
        <v>27</v>
      </c>
      <c r="K1588" t="s">
        <v>31</v>
      </c>
      <c r="L1588">
        <v>2627</v>
      </c>
      <c r="M1588">
        <v>76.137603705776584</v>
      </c>
    </row>
    <row r="1589" spans="1:13" hidden="1" x14ac:dyDescent="0.3">
      <c r="A1589" t="s">
        <v>218</v>
      </c>
      <c r="B1589" t="s">
        <v>28</v>
      </c>
      <c r="C1589" t="s">
        <v>30</v>
      </c>
      <c r="D1589">
        <v>2017</v>
      </c>
      <c r="E1589">
        <v>250000</v>
      </c>
      <c r="F1589" t="s">
        <v>219</v>
      </c>
      <c r="G1589" t="s">
        <v>31</v>
      </c>
      <c r="H1589" t="s">
        <v>33</v>
      </c>
      <c r="I1589" t="s">
        <v>27</v>
      </c>
      <c r="J1589" t="s">
        <v>27</v>
      </c>
      <c r="K1589">
        <v>1800</v>
      </c>
      <c r="L1589">
        <v>328353</v>
      </c>
      <c r="M1589">
        <v>76.137603705776584</v>
      </c>
    </row>
    <row r="1590" spans="1:13" hidden="1" x14ac:dyDescent="0.3">
      <c r="A1590" t="s">
        <v>220</v>
      </c>
      <c r="B1590" t="s">
        <v>28</v>
      </c>
      <c r="C1590" t="s">
        <v>30</v>
      </c>
      <c r="D1590">
        <v>2017</v>
      </c>
      <c r="E1590" t="s">
        <v>31</v>
      </c>
      <c r="F1590" t="s">
        <v>73</v>
      </c>
      <c r="G1590" t="s">
        <v>37</v>
      </c>
      <c r="H1590" t="s">
        <v>27</v>
      </c>
      <c r="I1590" t="s">
        <v>27</v>
      </c>
      <c r="J1590" t="s">
        <v>33</v>
      </c>
      <c r="K1590">
        <v>1000</v>
      </c>
      <c r="L1590" t="s">
        <v>31</v>
      </c>
      <c r="M1590">
        <v>76.137603705776584</v>
      </c>
    </row>
    <row r="1591" spans="1:13" hidden="1" x14ac:dyDescent="0.3">
      <c r="A1591" t="s">
        <v>224</v>
      </c>
      <c r="B1591" t="s">
        <v>28</v>
      </c>
      <c r="C1591" t="s">
        <v>30</v>
      </c>
      <c r="D1591">
        <v>2017</v>
      </c>
      <c r="E1591">
        <v>2000</v>
      </c>
      <c r="F1591" t="s">
        <v>73</v>
      </c>
      <c r="G1591" t="s">
        <v>82</v>
      </c>
      <c r="H1591" t="s">
        <v>27</v>
      </c>
      <c r="I1591" t="s">
        <v>27</v>
      </c>
      <c r="J1591" t="s">
        <v>27</v>
      </c>
      <c r="K1591">
        <v>300</v>
      </c>
      <c r="L1591">
        <v>2627</v>
      </c>
      <c r="M1591">
        <v>76.137603705776584</v>
      </c>
    </row>
    <row r="1592" spans="1:13" hidden="1" x14ac:dyDescent="0.3">
      <c r="A1592" t="s">
        <v>226</v>
      </c>
      <c r="B1592" t="s">
        <v>39</v>
      </c>
      <c r="C1592" t="s">
        <v>142</v>
      </c>
      <c r="D1592">
        <v>2017</v>
      </c>
      <c r="E1592" t="s">
        <v>31</v>
      </c>
      <c r="F1592" t="s">
        <v>77</v>
      </c>
      <c r="G1592" t="s">
        <v>95</v>
      </c>
      <c r="H1592" t="s">
        <v>27</v>
      </c>
      <c r="I1592" t="s">
        <v>33</v>
      </c>
      <c r="J1592" t="s">
        <v>33</v>
      </c>
      <c r="K1592">
        <v>43441</v>
      </c>
      <c r="L1592" t="s">
        <v>31</v>
      </c>
      <c r="M1592">
        <v>76.137603705776584</v>
      </c>
    </row>
    <row r="1593" spans="1:13" hidden="1" x14ac:dyDescent="0.3">
      <c r="A1593" t="s">
        <v>227</v>
      </c>
      <c r="B1593" t="s">
        <v>51</v>
      </c>
      <c r="C1593" t="s">
        <v>52</v>
      </c>
      <c r="D1593">
        <v>2017</v>
      </c>
      <c r="E1593" t="s">
        <v>31</v>
      </c>
      <c r="F1593" t="s">
        <v>49</v>
      </c>
      <c r="G1593" t="s">
        <v>31</v>
      </c>
      <c r="H1593" t="s">
        <v>27</v>
      </c>
      <c r="I1593" t="s">
        <v>27</v>
      </c>
      <c r="J1593" t="s">
        <v>27</v>
      </c>
      <c r="K1593">
        <v>400</v>
      </c>
      <c r="L1593" t="s">
        <v>31</v>
      </c>
      <c r="M1593">
        <v>76.137603705776584</v>
      </c>
    </row>
    <row r="1594" spans="1:13" hidden="1" x14ac:dyDescent="0.3">
      <c r="A1594" t="s">
        <v>228</v>
      </c>
      <c r="B1594" t="s">
        <v>51</v>
      </c>
      <c r="C1594" t="s">
        <v>52</v>
      </c>
      <c r="D1594">
        <v>2017</v>
      </c>
      <c r="E1594" t="s">
        <v>31</v>
      </c>
      <c r="F1594" t="s">
        <v>47</v>
      </c>
      <c r="G1594" t="s">
        <v>31</v>
      </c>
      <c r="H1594" t="s">
        <v>27</v>
      </c>
      <c r="I1594" t="s">
        <v>27</v>
      </c>
      <c r="J1594" t="s">
        <v>27</v>
      </c>
      <c r="K1594">
        <v>25661</v>
      </c>
      <c r="L1594" t="s">
        <v>31</v>
      </c>
      <c r="M1594">
        <v>76.137603705776584</v>
      </c>
    </row>
    <row r="1595" spans="1:13" hidden="1" x14ac:dyDescent="0.3">
      <c r="A1595" t="s">
        <v>229</v>
      </c>
      <c r="B1595" t="s">
        <v>51</v>
      </c>
      <c r="C1595" t="s">
        <v>121</v>
      </c>
      <c r="D1595">
        <v>2017</v>
      </c>
      <c r="E1595" t="s">
        <v>31</v>
      </c>
      <c r="F1595" t="s">
        <v>57</v>
      </c>
      <c r="G1595" t="s">
        <v>31</v>
      </c>
      <c r="H1595" t="s">
        <v>27</v>
      </c>
      <c r="I1595" t="s">
        <v>27</v>
      </c>
      <c r="J1595" t="s">
        <v>27</v>
      </c>
      <c r="K1595">
        <v>6639</v>
      </c>
      <c r="L1595" t="s">
        <v>31</v>
      </c>
      <c r="M1595">
        <v>76.137603705776584</v>
      </c>
    </row>
    <row r="1596" spans="1:13" hidden="1" x14ac:dyDescent="0.3">
      <c r="A1596" t="s">
        <v>230</v>
      </c>
      <c r="B1596" t="s">
        <v>51</v>
      </c>
      <c r="C1596" t="s">
        <v>56</v>
      </c>
      <c r="D1596">
        <v>2017</v>
      </c>
      <c r="E1596" t="s">
        <v>31</v>
      </c>
      <c r="F1596" t="s">
        <v>60</v>
      </c>
      <c r="G1596" t="s">
        <v>31</v>
      </c>
      <c r="H1596" t="s">
        <v>27</v>
      </c>
      <c r="I1596" t="s">
        <v>27</v>
      </c>
      <c r="J1596" t="s">
        <v>27</v>
      </c>
      <c r="K1596">
        <v>3000</v>
      </c>
      <c r="L1596" t="s">
        <v>31</v>
      </c>
      <c r="M1596">
        <v>76.137603705776584</v>
      </c>
    </row>
    <row r="1597" spans="1:13" hidden="1" x14ac:dyDescent="0.3">
      <c r="A1597" t="s">
        <v>231</v>
      </c>
      <c r="B1597" t="s">
        <v>51</v>
      </c>
      <c r="C1597" t="s">
        <v>121</v>
      </c>
      <c r="D1597">
        <v>2017</v>
      </c>
      <c r="E1597" t="s">
        <v>31</v>
      </c>
      <c r="F1597" t="s">
        <v>49</v>
      </c>
      <c r="G1597" t="s">
        <v>54</v>
      </c>
      <c r="H1597" t="s">
        <v>27</v>
      </c>
      <c r="I1597" t="s">
        <v>27</v>
      </c>
      <c r="J1597" t="s">
        <v>27</v>
      </c>
      <c r="K1597">
        <v>645</v>
      </c>
      <c r="L1597" t="s">
        <v>31</v>
      </c>
      <c r="M1597">
        <v>76.137603705776584</v>
      </c>
    </row>
    <row r="1598" spans="1:13" hidden="1" x14ac:dyDescent="0.3">
      <c r="A1598" t="s">
        <v>232</v>
      </c>
      <c r="B1598" t="s">
        <v>28</v>
      </c>
      <c r="C1598" t="s">
        <v>30</v>
      </c>
      <c r="D1598">
        <v>2017</v>
      </c>
      <c r="E1598" t="s">
        <v>31</v>
      </c>
      <c r="F1598" t="s">
        <v>73</v>
      </c>
      <c r="G1598" t="s">
        <v>82</v>
      </c>
      <c r="H1598" t="s">
        <v>27</v>
      </c>
      <c r="I1598" t="s">
        <v>27</v>
      </c>
      <c r="J1598" t="s">
        <v>27</v>
      </c>
      <c r="K1598">
        <v>600</v>
      </c>
      <c r="L1598" t="s">
        <v>31</v>
      </c>
      <c r="M1598">
        <v>76.137603705776584</v>
      </c>
    </row>
    <row r="1599" spans="1:13" hidden="1" x14ac:dyDescent="0.3">
      <c r="A1599" t="s">
        <v>233</v>
      </c>
      <c r="B1599" t="s">
        <v>28</v>
      </c>
      <c r="C1599" t="s">
        <v>189</v>
      </c>
      <c r="D1599">
        <v>2017</v>
      </c>
      <c r="E1599" t="s">
        <v>31</v>
      </c>
      <c r="F1599" t="s">
        <v>234</v>
      </c>
      <c r="G1599" t="s">
        <v>31</v>
      </c>
      <c r="H1599" t="s">
        <v>27</v>
      </c>
      <c r="I1599" t="s">
        <v>27</v>
      </c>
      <c r="J1599" t="s">
        <v>27</v>
      </c>
      <c r="K1599">
        <v>5000</v>
      </c>
      <c r="L1599" t="s">
        <v>31</v>
      </c>
      <c r="M1599">
        <v>76.137603705776584</v>
      </c>
    </row>
    <row r="1600" spans="1:13" hidden="1" x14ac:dyDescent="0.3">
      <c r="A1600" t="s">
        <v>235</v>
      </c>
      <c r="B1600" t="s">
        <v>28</v>
      </c>
      <c r="C1600" t="s">
        <v>189</v>
      </c>
      <c r="D1600">
        <v>2017</v>
      </c>
      <c r="E1600" t="s">
        <v>31</v>
      </c>
      <c r="F1600" t="s">
        <v>75</v>
      </c>
      <c r="G1600" t="s">
        <v>31</v>
      </c>
      <c r="H1600" t="s">
        <v>27</v>
      </c>
      <c r="I1600" t="s">
        <v>27</v>
      </c>
      <c r="J1600" t="s">
        <v>27</v>
      </c>
      <c r="K1600">
        <v>10287</v>
      </c>
      <c r="L1600" t="s">
        <v>31</v>
      </c>
      <c r="M1600">
        <v>76.137603705776584</v>
      </c>
    </row>
    <row r="1601" spans="1:13" hidden="1" x14ac:dyDescent="0.3">
      <c r="A1601" t="s">
        <v>236</v>
      </c>
      <c r="B1601" t="s">
        <v>51</v>
      </c>
      <c r="C1601" t="s">
        <v>52</v>
      </c>
      <c r="D1601">
        <v>2017</v>
      </c>
      <c r="E1601">
        <v>1700000</v>
      </c>
      <c r="F1601" t="s">
        <v>34</v>
      </c>
      <c r="G1601" t="s">
        <v>237</v>
      </c>
      <c r="H1601" t="s">
        <v>27</v>
      </c>
      <c r="I1601" t="s">
        <v>27</v>
      </c>
      <c r="J1601" t="s">
        <v>27</v>
      </c>
      <c r="K1601">
        <v>70</v>
      </c>
      <c r="L1601">
        <v>2232799</v>
      </c>
      <c r="M1601">
        <v>76.137603705776584</v>
      </c>
    </row>
    <row r="1602" spans="1:13" hidden="1" x14ac:dyDescent="0.3">
      <c r="A1602" t="s">
        <v>245</v>
      </c>
      <c r="B1602" t="s">
        <v>51</v>
      </c>
      <c r="C1602" t="s">
        <v>52</v>
      </c>
      <c r="D1602">
        <v>2017</v>
      </c>
      <c r="E1602">
        <v>2000</v>
      </c>
      <c r="F1602" t="s">
        <v>60</v>
      </c>
      <c r="G1602" t="s">
        <v>54</v>
      </c>
      <c r="H1602" t="s">
        <v>27</v>
      </c>
      <c r="I1602" t="s">
        <v>27</v>
      </c>
      <c r="J1602" t="s">
        <v>27</v>
      </c>
      <c r="K1602">
        <v>1200</v>
      </c>
      <c r="L1602">
        <v>2627</v>
      </c>
      <c r="M1602">
        <v>76.137603705776584</v>
      </c>
    </row>
    <row r="1603" spans="1:13" hidden="1" x14ac:dyDescent="0.3">
      <c r="A1603" t="s">
        <v>247</v>
      </c>
      <c r="B1603" t="s">
        <v>51</v>
      </c>
      <c r="C1603" t="s">
        <v>52</v>
      </c>
      <c r="D1603">
        <v>2017</v>
      </c>
      <c r="E1603" t="s">
        <v>31</v>
      </c>
      <c r="F1603" t="s">
        <v>53</v>
      </c>
      <c r="G1603" t="s">
        <v>31</v>
      </c>
      <c r="H1603" t="s">
        <v>27</v>
      </c>
      <c r="I1603" t="s">
        <v>27</v>
      </c>
      <c r="J1603" t="s">
        <v>33</v>
      </c>
      <c r="K1603">
        <v>12000</v>
      </c>
      <c r="L1603" t="s">
        <v>31</v>
      </c>
      <c r="M1603">
        <v>76.137603705776584</v>
      </c>
    </row>
    <row r="1604" spans="1:13" hidden="1" x14ac:dyDescent="0.3">
      <c r="A1604" t="s">
        <v>248</v>
      </c>
      <c r="B1604" t="s">
        <v>28</v>
      </c>
      <c r="C1604" t="s">
        <v>67</v>
      </c>
      <c r="D1604">
        <v>2017</v>
      </c>
      <c r="E1604">
        <v>400000</v>
      </c>
      <c r="F1604" t="s">
        <v>34</v>
      </c>
      <c r="G1604" t="s">
        <v>82</v>
      </c>
      <c r="H1604" t="s">
        <v>27</v>
      </c>
      <c r="I1604" t="s">
        <v>27</v>
      </c>
      <c r="J1604" t="s">
        <v>27</v>
      </c>
      <c r="K1604" t="s">
        <v>31</v>
      </c>
      <c r="L1604">
        <v>525365</v>
      </c>
      <c r="M1604">
        <v>76.137603705776584</v>
      </c>
    </row>
    <row r="1605" spans="1:13" hidden="1" x14ac:dyDescent="0.3">
      <c r="A1605" t="s">
        <v>250</v>
      </c>
      <c r="B1605" t="s">
        <v>51</v>
      </c>
      <c r="C1605" t="s">
        <v>52</v>
      </c>
      <c r="D1605">
        <v>2017</v>
      </c>
      <c r="E1605">
        <v>100000</v>
      </c>
      <c r="F1605" t="s">
        <v>53</v>
      </c>
      <c r="G1605" t="s">
        <v>54</v>
      </c>
      <c r="H1605" t="s">
        <v>27</v>
      </c>
      <c r="I1605" t="s">
        <v>27</v>
      </c>
      <c r="J1605" t="s">
        <v>33</v>
      </c>
      <c r="K1605">
        <v>376000</v>
      </c>
      <c r="L1605">
        <v>131341</v>
      </c>
      <c r="M1605">
        <v>76.137603705776584</v>
      </c>
    </row>
    <row r="1606" spans="1:13" hidden="1" x14ac:dyDescent="0.3">
      <c r="A1606" t="s">
        <v>1206</v>
      </c>
      <c r="B1606" t="s">
        <v>28</v>
      </c>
      <c r="C1606" t="s">
        <v>64</v>
      </c>
      <c r="D1606">
        <v>2017</v>
      </c>
      <c r="E1606">
        <v>1100000</v>
      </c>
      <c r="F1606" t="s">
        <v>34</v>
      </c>
      <c r="G1606" t="s">
        <v>31</v>
      </c>
      <c r="H1606" t="s">
        <v>27</v>
      </c>
      <c r="I1606" t="s">
        <v>27</v>
      </c>
      <c r="J1606" t="s">
        <v>33</v>
      </c>
      <c r="K1606">
        <v>200</v>
      </c>
      <c r="L1606">
        <v>1444753</v>
      </c>
      <c r="M1606">
        <v>76.137603705776584</v>
      </c>
    </row>
    <row r="1607" spans="1:13" hidden="1" x14ac:dyDescent="0.3">
      <c r="A1607" t="s">
        <v>1207</v>
      </c>
      <c r="B1607" t="s">
        <v>51</v>
      </c>
      <c r="C1607" t="s">
        <v>121</v>
      </c>
      <c r="D1607">
        <v>2017</v>
      </c>
      <c r="E1607" t="s">
        <v>31</v>
      </c>
      <c r="F1607" t="s">
        <v>34</v>
      </c>
      <c r="G1607" t="s">
        <v>31</v>
      </c>
      <c r="H1607" t="s">
        <v>27</v>
      </c>
      <c r="I1607" t="s">
        <v>27</v>
      </c>
      <c r="J1607" t="s">
        <v>27</v>
      </c>
      <c r="K1607">
        <v>300</v>
      </c>
      <c r="L1607" t="s">
        <v>31</v>
      </c>
      <c r="M1607">
        <v>76.137603705776584</v>
      </c>
    </row>
    <row r="1608" spans="1:13" hidden="1" x14ac:dyDescent="0.3">
      <c r="A1608" t="s">
        <v>1208</v>
      </c>
      <c r="B1608" t="s">
        <v>28</v>
      </c>
      <c r="C1608" t="s">
        <v>97</v>
      </c>
      <c r="D1608">
        <v>2017</v>
      </c>
      <c r="E1608">
        <v>1900000</v>
      </c>
      <c r="F1608" t="s">
        <v>34</v>
      </c>
      <c r="G1608" t="s">
        <v>262</v>
      </c>
      <c r="H1608" t="s">
        <v>27</v>
      </c>
      <c r="I1608" t="s">
        <v>27</v>
      </c>
      <c r="J1608" t="s">
        <v>27</v>
      </c>
      <c r="K1608">
        <v>612</v>
      </c>
      <c r="L1608">
        <v>2495482</v>
      </c>
      <c r="M1608">
        <v>76.137603705776584</v>
      </c>
    </row>
    <row r="1609" spans="1:13" hidden="1" x14ac:dyDescent="0.3">
      <c r="A1609" t="s">
        <v>1209</v>
      </c>
      <c r="B1609" t="s">
        <v>51</v>
      </c>
      <c r="C1609" t="s">
        <v>52</v>
      </c>
      <c r="D1609">
        <v>2017</v>
      </c>
      <c r="E1609">
        <v>3100000</v>
      </c>
      <c r="F1609" t="s">
        <v>53</v>
      </c>
      <c r="G1609" t="s">
        <v>54</v>
      </c>
      <c r="H1609" t="s">
        <v>33</v>
      </c>
      <c r="I1609" t="s">
        <v>27</v>
      </c>
      <c r="J1609" t="s">
        <v>33</v>
      </c>
      <c r="K1609">
        <v>1800505</v>
      </c>
      <c r="L1609">
        <v>4071575</v>
      </c>
      <c r="M1609">
        <v>76.137603705776584</v>
      </c>
    </row>
    <row r="1610" spans="1:13" hidden="1" x14ac:dyDescent="0.3">
      <c r="A1610" t="s">
        <v>1210</v>
      </c>
      <c r="B1610" t="s">
        <v>28</v>
      </c>
      <c r="C1610" t="s">
        <v>67</v>
      </c>
      <c r="D1610">
        <v>2017</v>
      </c>
      <c r="E1610">
        <v>1000000</v>
      </c>
      <c r="F1610" t="s">
        <v>34</v>
      </c>
      <c r="G1610" t="s">
        <v>31</v>
      </c>
      <c r="H1610" t="s">
        <v>27</v>
      </c>
      <c r="I1610" t="s">
        <v>27</v>
      </c>
      <c r="J1610" t="s">
        <v>27</v>
      </c>
      <c r="K1610">
        <v>12</v>
      </c>
      <c r="L1610">
        <v>1313411</v>
      </c>
      <c r="M1610">
        <v>76.137603705776584</v>
      </c>
    </row>
    <row r="1611" spans="1:13" hidden="1" x14ac:dyDescent="0.3">
      <c r="A1611" t="s">
        <v>1211</v>
      </c>
      <c r="B1611" t="s">
        <v>51</v>
      </c>
      <c r="C1611" t="s">
        <v>121</v>
      </c>
      <c r="D1611">
        <v>2017</v>
      </c>
      <c r="E1611" t="s">
        <v>31</v>
      </c>
      <c r="F1611" t="s">
        <v>90</v>
      </c>
      <c r="G1611" t="s">
        <v>31</v>
      </c>
      <c r="H1611" t="s">
        <v>27</v>
      </c>
      <c r="I1611" t="s">
        <v>27</v>
      </c>
      <c r="J1611" t="s">
        <v>27</v>
      </c>
      <c r="K1611">
        <v>160</v>
      </c>
      <c r="L1611" t="s">
        <v>31</v>
      </c>
      <c r="M1611">
        <v>76.137603705776584</v>
      </c>
    </row>
    <row r="1612" spans="1:13" x14ac:dyDescent="0.3">
      <c r="D1612" s="2" t="s">
        <v>2571</v>
      </c>
      <c r="E1612" s="2">
        <f>SUM(E1514,E1519)</f>
        <v>200000</v>
      </c>
    </row>
    <row r="1613" spans="1:13" x14ac:dyDescent="0.3">
      <c r="A1613" t="s">
        <v>1212</v>
      </c>
      <c r="B1613" t="s">
        <v>51</v>
      </c>
      <c r="C1613" t="s">
        <v>121</v>
      </c>
      <c r="D1613">
        <v>2017</v>
      </c>
      <c r="E1613">
        <v>100000</v>
      </c>
      <c r="F1613" t="s">
        <v>119</v>
      </c>
      <c r="G1613" t="s">
        <v>54</v>
      </c>
      <c r="H1613" t="s">
        <v>27</v>
      </c>
      <c r="I1613" t="s">
        <v>27</v>
      </c>
      <c r="J1613" t="s">
        <v>33</v>
      </c>
      <c r="K1613">
        <v>104140</v>
      </c>
      <c r="L1613">
        <v>131341</v>
      </c>
      <c r="M1613">
        <v>76.137603705776584</v>
      </c>
    </row>
    <row r="1614" spans="1:13" hidden="1" x14ac:dyDescent="0.3">
      <c r="A1614" t="s">
        <v>1213</v>
      </c>
      <c r="B1614" t="s">
        <v>51</v>
      </c>
      <c r="C1614" t="s">
        <v>52</v>
      </c>
      <c r="D1614">
        <v>2017</v>
      </c>
      <c r="E1614" t="s">
        <v>31</v>
      </c>
      <c r="F1614" t="s">
        <v>47</v>
      </c>
      <c r="G1614" t="s">
        <v>31</v>
      </c>
      <c r="H1614" t="s">
        <v>27</v>
      </c>
      <c r="I1614" t="s">
        <v>27</v>
      </c>
      <c r="J1614" t="s">
        <v>27</v>
      </c>
      <c r="K1614">
        <v>2000</v>
      </c>
      <c r="L1614" t="s">
        <v>31</v>
      </c>
      <c r="M1614">
        <v>76.137603705776584</v>
      </c>
    </row>
    <row r="1615" spans="1:13" hidden="1" x14ac:dyDescent="0.3">
      <c r="A1615" t="s">
        <v>1214</v>
      </c>
      <c r="B1615" t="s">
        <v>28</v>
      </c>
      <c r="C1615" t="s">
        <v>99</v>
      </c>
      <c r="D1615">
        <v>2017</v>
      </c>
      <c r="E1615">
        <v>1400000</v>
      </c>
      <c r="F1615" t="s">
        <v>34</v>
      </c>
      <c r="G1615" t="s">
        <v>100</v>
      </c>
      <c r="H1615" t="s">
        <v>27</v>
      </c>
      <c r="I1615" t="s">
        <v>27</v>
      </c>
      <c r="J1615" t="s">
        <v>27</v>
      </c>
      <c r="K1615">
        <v>106</v>
      </c>
      <c r="L1615">
        <v>1838776</v>
      </c>
      <c r="M1615">
        <v>76.137603705776584</v>
      </c>
    </row>
    <row r="1616" spans="1:13" hidden="1" x14ac:dyDescent="0.3">
      <c r="A1616" t="s">
        <v>1217</v>
      </c>
      <c r="B1616" t="s">
        <v>28</v>
      </c>
      <c r="C1616" t="s">
        <v>30</v>
      </c>
      <c r="D1616">
        <v>2017</v>
      </c>
      <c r="E1616">
        <v>95000000</v>
      </c>
      <c r="F1616" t="s">
        <v>34</v>
      </c>
      <c r="G1616" t="s">
        <v>1218</v>
      </c>
      <c r="H1616" t="s">
        <v>27</v>
      </c>
      <c r="I1616" t="s">
        <v>27</v>
      </c>
      <c r="J1616" t="s">
        <v>33</v>
      </c>
      <c r="K1616">
        <v>582024</v>
      </c>
      <c r="L1616">
        <v>124774087</v>
      </c>
      <c r="M1616">
        <v>76.137603705776584</v>
      </c>
    </row>
    <row r="1617" spans="1:13" hidden="1" x14ac:dyDescent="0.3">
      <c r="A1617" t="s">
        <v>1219</v>
      </c>
      <c r="B1617" t="s">
        <v>28</v>
      </c>
      <c r="C1617" t="s">
        <v>30</v>
      </c>
      <c r="D1617">
        <v>2017</v>
      </c>
      <c r="E1617">
        <v>200000</v>
      </c>
      <c r="F1617" t="s">
        <v>240</v>
      </c>
      <c r="G1617" t="s">
        <v>31</v>
      </c>
      <c r="H1617" t="s">
        <v>27</v>
      </c>
      <c r="I1617" t="s">
        <v>27</v>
      </c>
      <c r="J1617" t="s">
        <v>27</v>
      </c>
      <c r="K1617">
        <v>15000</v>
      </c>
      <c r="L1617">
        <v>262682</v>
      </c>
      <c r="M1617">
        <v>76.137603705776584</v>
      </c>
    </row>
    <row r="1618" spans="1:13" hidden="1" x14ac:dyDescent="0.3">
      <c r="A1618" t="s">
        <v>1220</v>
      </c>
      <c r="B1618" t="s">
        <v>28</v>
      </c>
      <c r="C1618" t="s">
        <v>30</v>
      </c>
      <c r="D1618">
        <v>2017</v>
      </c>
      <c r="E1618">
        <v>540000</v>
      </c>
      <c r="F1618" t="s">
        <v>242</v>
      </c>
      <c r="G1618" t="s">
        <v>37</v>
      </c>
      <c r="H1618" t="s">
        <v>27</v>
      </c>
      <c r="I1618" t="s">
        <v>27</v>
      </c>
      <c r="J1618" t="s">
        <v>27</v>
      </c>
      <c r="K1618">
        <v>10000000</v>
      </c>
      <c r="L1618">
        <v>709242</v>
      </c>
      <c r="M1618">
        <v>76.137603705776584</v>
      </c>
    </row>
    <row r="1619" spans="1:13" hidden="1" x14ac:dyDescent="0.3">
      <c r="A1619" t="s">
        <v>1221</v>
      </c>
      <c r="B1619" t="s">
        <v>28</v>
      </c>
      <c r="C1619" t="s">
        <v>30</v>
      </c>
      <c r="D1619">
        <v>2017</v>
      </c>
      <c r="E1619">
        <v>2500000</v>
      </c>
      <c r="F1619" t="s">
        <v>1222</v>
      </c>
      <c r="G1619" t="s">
        <v>31</v>
      </c>
      <c r="H1619" t="s">
        <v>33</v>
      </c>
      <c r="I1619" t="s">
        <v>27</v>
      </c>
      <c r="J1619" t="s">
        <v>27</v>
      </c>
      <c r="K1619">
        <v>5040</v>
      </c>
      <c r="L1619">
        <v>3283529</v>
      </c>
      <c r="M1619">
        <v>76.137603705776584</v>
      </c>
    </row>
    <row r="1620" spans="1:13" hidden="1" x14ac:dyDescent="0.3">
      <c r="A1620" t="s">
        <v>1223</v>
      </c>
      <c r="B1620" t="s">
        <v>28</v>
      </c>
      <c r="C1620" t="s">
        <v>30</v>
      </c>
      <c r="D1620">
        <v>2017</v>
      </c>
      <c r="E1620">
        <v>63000</v>
      </c>
      <c r="F1620" t="s">
        <v>75</v>
      </c>
      <c r="G1620" t="s">
        <v>82</v>
      </c>
      <c r="H1620" t="s">
        <v>27</v>
      </c>
      <c r="I1620" t="s">
        <v>27</v>
      </c>
      <c r="J1620" t="s">
        <v>27</v>
      </c>
      <c r="K1620">
        <v>26000</v>
      </c>
      <c r="L1620">
        <v>82745</v>
      </c>
      <c r="M1620">
        <v>76.137603705776584</v>
      </c>
    </row>
    <row r="1621" spans="1:13" hidden="1" x14ac:dyDescent="0.3">
      <c r="A1621" t="s">
        <v>1224</v>
      </c>
      <c r="B1621" t="s">
        <v>91</v>
      </c>
      <c r="C1621" t="s">
        <v>93</v>
      </c>
      <c r="D1621">
        <v>2017</v>
      </c>
      <c r="E1621">
        <v>6000000</v>
      </c>
      <c r="F1621" t="s">
        <v>73</v>
      </c>
      <c r="G1621" t="s">
        <v>388</v>
      </c>
      <c r="H1621" t="s">
        <v>33</v>
      </c>
      <c r="I1621" t="s">
        <v>27</v>
      </c>
      <c r="J1621" t="s">
        <v>27</v>
      </c>
      <c r="K1621">
        <v>256000</v>
      </c>
      <c r="L1621">
        <v>7880469</v>
      </c>
      <c r="M1621">
        <v>76.137603705776584</v>
      </c>
    </row>
    <row r="1622" spans="1:13" hidden="1" x14ac:dyDescent="0.3">
      <c r="A1622" t="s">
        <v>1225</v>
      </c>
      <c r="B1622" t="s">
        <v>28</v>
      </c>
      <c r="C1622" t="s">
        <v>30</v>
      </c>
      <c r="D1622">
        <v>2017</v>
      </c>
      <c r="E1622" t="s">
        <v>31</v>
      </c>
      <c r="F1622" t="s">
        <v>73</v>
      </c>
      <c r="G1622" t="s">
        <v>82</v>
      </c>
      <c r="H1622" t="s">
        <v>27</v>
      </c>
      <c r="I1622" t="s">
        <v>27</v>
      </c>
      <c r="J1622" t="s">
        <v>27</v>
      </c>
      <c r="K1622">
        <v>1110</v>
      </c>
      <c r="L1622" t="s">
        <v>31</v>
      </c>
      <c r="M1622">
        <v>76.137603705776584</v>
      </c>
    </row>
    <row r="1623" spans="1:13" hidden="1" x14ac:dyDescent="0.3">
      <c r="A1623" t="s">
        <v>1226</v>
      </c>
      <c r="B1623" t="s">
        <v>28</v>
      </c>
      <c r="C1623" t="s">
        <v>30</v>
      </c>
      <c r="D1623">
        <v>2017</v>
      </c>
      <c r="E1623" t="s">
        <v>31</v>
      </c>
      <c r="F1623" t="s">
        <v>90</v>
      </c>
      <c r="G1623" t="s">
        <v>82</v>
      </c>
      <c r="H1623" t="s">
        <v>27</v>
      </c>
      <c r="I1623" t="s">
        <v>27</v>
      </c>
      <c r="J1623" t="s">
        <v>27</v>
      </c>
      <c r="K1623">
        <v>3175</v>
      </c>
      <c r="L1623" t="s">
        <v>31</v>
      </c>
      <c r="M1623">
        <v>76.137603705776584</v>
      </c>
    </row>
    <row r="1624" spans="1:13" hidden="1" x14ac:dyDescent="0.3">
      <c r="A1624" t="s">
        <v>1227</v>
      </c>
      <c r="B1624" t="s">
        <v>28</v>
      </c>
      <c r="C1624" t="s">
        <v>30</v>
      </c>
      <c r="D1624">
        <v>2017</v>
      </c>
      <c r="E1624" t="s">
        <v>31</v>
      </c>
      <c r="F1624" t="s">
        <v>49</v>
      </c>
      <c r="G1624" t="s">
        <v>82</v>
      </c>
      <c r="H1624" t="s">
        <v>27</v>
      </c>
      <c r="I1624" t="s">
        <v>27</v>
      </c>
      <c r="J1624" t="s">
        <v>27</v>
      </c>
      <c r="K1624">
        <v>120</v>
      </c>
      <c r="L1624" t="s">
        <v>31</v>
      </c>
      <c r="M1624">
        <v>76.137603705776584</v>
      </c>
    </row>
    <row r="1625" spans="1:13" hidden="1" x14ac:dyDescent="0.3">
      <c r="A1625" t="s">
        <v>1228</v>
      </c>
      <c r="B1625" t="s">
        <v>51</v>
      </c>
      <c r="C1625" t="s">
        <v>52</v>
      </c>
      <c r="D1625">
        <v>2017</v>
      </c>
      <c r="E1625" t="s">
        <v>31</v>
      </c>
      <c r="F1625" t="s">
        <v>77</v>
      </c>
      <c r="G1625" t="s">
        <v>31</v>
      </c>
      <c r="H1625" t="s">
        <v>27</v>
      </c>
      <c r="I1625" t="s">
        <v>27</v>
      </c>
      <c r="J1625" t="s">
        <v>27</v>
      </c>
      <c r="K1625">
        <v>3000</v>
      </c>
      <c r="L1625" t="s">
        <v>31</v>
      </c>
      <c r="M1625">
        <v>76.137603705776584</v>
      </c>
    </row>
    <row r="1626" spans="1:13" hidden="1" x14ac:dyDescent="0.3">
      <c r="A1626" t="s">
        <v>1229</v>
      </c>
      <c r="B1626" t="s">
        <v>43</v>
      </c>
      <c r="C1626" t="s">
        <v>114</v>
      </c>
      <c r="D1626">
        <v>2017</v>
      </c>
      <c r="E1626" t="s">
        <v>31</v>
      </c>
      <c r="F1626" t="s">
        <v>119</v>
      </c>
      <c r="G1626" t="s">
        <v>31</v>
      </c>
      <c r="H1626" t="s">
        <v>27</v>
      </c>
      <c r="I1626" t="s">
        <v>27</v>
      </c>
      <c r="J1626" t="s">
        <v>27</v>
      </c>
      <c r="K1626">
        <v>310</v>
      </c>
      <c r="L1626" t="s">
        <v>31</v>
      </c>
      <c r="M1626">
        <v>76.137603705776584</v>
      </c>
    </row>
    <row r="1627" spans="1:13" hidden="1" x14ac:dyDescent="0.3">
      <c r="A1627" t="s">
        <v>1816</v>
      </c>
      <c r="B1627" t="s">
        <v>39</v>
      </c>
      <c r="C1627" t="s">
        <v>41</v>
      </c>
      <c r="D1627">
        <v>2017</v>
      </c>
      <c r="E1627">
        <v>550000</v>
      </c>
      <c r="F1627" t="s">
        <v>60</v>
      </c>
      <c r="G1627" t="s">
        <v>95</v>
      </c>
      <c r="H1627" t="s">
        <v>33</v>
      </c>
      <c r="I1627" t="s">
        <v>27</v>
      </c>
      <c r="J1627" t="s">
        <v>33</v>
      </c>
      <c r="K1627">
        <v>19608</v>
      </c>
      <c r="L1627">
        <v>722376</v>
      </c>
      <c r="M1627">
        <v>76.137603705776584</v>
      </c>
    </row>
    <row r="1628" spans="1:13" hidden="1" x14ac:dyDescent="0.3">
      <c r="A1628" t="s">
        <v>1817</v>
      </c>
      <c r="B1628" t="s">
        <v>51</v>
      </c>
      <c r="C1628" t="s">
        <v>134</v>
      </c>
      <c r="D1628">
        <v>2017</v>
      </c>
      <c r="E1628" t="s">
        <v>31</v>
      </c>
      <c r="F1628" t="s">
        <v>130</v>
      </c>
      <c r="G1628" t="s">
        <v>31</v>
      </c>
      <c r="H1628" t="s">
        <v>27</v>
      </c>
      <c r="I1628" t="s">
        <v>27</v>
      </c>
      <c r="J1628" t="s">
        <v>27</v>
      </c>
      <c r="K1628">
        <v>2666</v>
      </c>
      <c r="L1628" t="s">
        <v>31</v>
      </c>
      <c r="M1628">
        <v>76.137603705776584</v>
      </c>
    </row>
    <row r="1629" spans="1:13" hidden="1" x14ac:dyDescent="0.3">
      <c r="A1629" t="s">
        <v>1818</v>
      </c>
      <c r="B1629" t="s">
        <v>51</v>
      </c>
      <c r="C1629" t="s">
        <v>52</v>
      </c>
      <c r="D1629">
        <v>2017</v>
      </c>
      <c r="E1629" t="s">
        <v>31</v>
      </c>
      <c r="F1629" t="s">
        <v>130</v>
      </c>
      <c r="G1629" t="s">
        <v>31</v>
      </c>
      <c r="H1629" t="s">
        <v>27</v>
      </c>
      <c r="I1629" t="s">
        <v>27</v>
      </c>
      <c r="J1629" t="s">
        <v>27</v>
      </c>
      <c r="K1629">
        <v>39777</v>
      </c>
      <c r="L1629" t="s">
        <v>31</v>
      </c>
      <c r="M1629">
        <v>76.137603705776584</v>
      </c>
    </row>
    <row r="1630" spans="1:13" hidden="1" x14ac:dyDescent="0.3">
      <c r="A1630" t="s">
        <v>1819</v>
      </c>
      <c r="B1630" t="s">
        <v>51</v>
      </c>
      <c r="C1630" t="s">
        <v>134</v>
      </c>
      <c r="D1630">
        <v>2017</v>
      </c>
      <c r="E1630">
        <v>2000</v>
      </c>
      <c r="F1630" t="s">
        <v>47</v>
      </c>
      <c r="G1630" t="s">
        <v>31</v>
      </c>
      <c r="H1630" t="s">
        <v>27</v>
      </c>
      <c r="I1630" t="s">
        <v>27</v>
      </c>
      <c r="J1630" t="s">
        <v>27</v>
      </c>
      <c r="K1630">
        <v>512</v>
      </c>
      <c r="L1630">
        <v>2627</v>
      </c>
      <c r="M1630">
        <v>76.137603705776584</v>
      </c>
    </row>
    <row r="1631" spans="1:13" hidden="1" x14ac:dyDescent="0.3">
      <c r="A1631" t="s">
        <v>1820</v>
      </c>
      <c r="B1631" t="s">
        <v>51</v>
      </c>
      <c r="C1631" t="s">
        <v>52</v>
      </c>
      <c r="D1631">
        <v>2017</v>
      </c>
      <c r="E1631">
        <v>200000</v>
      </c>
      <c r="F1631" t="s">
        <v>77</v>
      </c>
      <c r="G1631" t="s">
        <v>31</v>
      </c>
      <c r="H1631" t="s">
        <v>33</v>
      </c>
      <c r="I1631" t="s">
        <v>27</v>
      </c>
      <c r="J1631" t="s">
        <v>33</v>
      </c>
      <c r="K1631">
        <v>16113</v>
      </c>
      <c r="L1631">
        <v>262682</v>
      </c>
      <c r="M1631">
        <v>76.137603705776584</v>
      </c>
    </row>
    <row r="1632" spans="1:13" hidden="1" x14ac:dyDescent="0.3">
      <c r="A1632" t="s">
        <v>1821</v>
      </c>
      <c r="B1632" t="s">
        <v>28</v>
      </c>
      <c r="C1632" t="s">
        <v>189</v>
      </c>
      <c r="D1632">
        <v>2017</v>
      </c>
      <c r="E1632" t="s">
        <v>31</v>
      </c>
      <c r="F1632" t="s">
        <v>45</v>
      </c>
      <c r="G1632" t="s">
        <v>31</v>
      </c>
      <c r="H1632" t="s">
        <v>27</v>
      </c>
      <c r="I1632" t="s">
        <v>27</v>
      </c>
      <c r="J1632" t="s">
        <v>27</v>
      </c>
      <c r="K1632" t="s">
        <v>31</v>
      </c>
      <c r="L1632" t="s">
        <v>31</v>
      </c>
      <c r="M1632">
        <v>76.137603705776584</v>
      </c>
    </row>
    <row r="1633" spans="1:13" hidden="1" x14ac:dyDescent="0.3">
      <c r="A1633" t="s">
        <v>1822</v>
      </c>
      <c r="B1633" t="s">
        <v>51</v>
      </c>
      <c r="C1633" t="s">
        <v>121</v>
      </c>
      <c r="D1633">
        <v>2017</v>
      </c>
      <c r="E1633" t="s">
        <v>31</v>
      </c>
      <c r="F1633" t="s">
        <v>60</v>
      </c>
      <c r="G1633" t="s">
        <v>54</v>
      </c>
      <c r="H1633" t="s">
        <v>27</v>
      </c>
      <c r="I1633" t="s">
        <v>27</v>
      </c>
      <c r="J1633" t="s">
        <v>27</v>
      </c>
      <c r="K1633">
        <v>3024</v>
      </c>
      <c r="L1633" t="s">
        <v>31</v>
      </c>
      <c r="M1633">
        <v>76.137603705776584</v>
      </c>
    </row>
    <row r="1634" spans="1:13" hidden="1" x14ac:dyDescent="0.3">
      <c r="A1634" t="s">
        <v>1823</v>
      </c>
      <c r="B1634" t="s">
        <v>51</v>
      </c>
      <c r="C1634" t="s">
        <v>52</v>
      </c>
      <c r="D1634">
        <v>2017</v>
      </c>
      <c r="E1634" t="s">
        <v>31</v>
      </c>
      <c r="F1634" t="s">
        <v>45</v>
      </c>
      <c r="G1634" t="s">
        <v>31</v>
      </c>
      <c r="H1634" t="s">
        <v>27</v>
      </c>
      <c r="I1634" t="s">
        <v>27</v>
      </c>
      <c r="J1634" t="s">
        <v>27</v>
      </c>
      <c r="K1634">
        <v>342</v>
      </c>
      <c r="L1634" t="s">
        <v>31</v>
      </c>
      <c r="M1634">
        <v>76.137603705776584</v>
      </c>
    </row>
    <row r="1635" spans="1:13" hidden="1" x14ac:dyDescent="0.3">
      <c r="A1635" t="s">
        <v>1824</v>
      </c>
      <c r="B1635" t="s">
        <v>51</v>
      </c>
      <c r="C1635" t="s">
        <v>121</v>
      </c>
      <c r="D1635">
        <v>2017</v>
      </c>
      <c r="E1635">
        <v>2000</v>
      </c>
      <c r="F1635" t="s">
        <v>47</v>
      </c>
      <c r="G1635" t="s">
        <v>155</v>
      </c>
      <c r="H1635" t="s">
        <v>27</v>
      </c>
      <c r="I1635" t="s">
        <v>27</v>
      </c>
      <c r="J1635" t="s">
        <v>27</v>
      </c>
      <c r="K1635">
        <v>3000</v>
      </c>
      <c r="L1635">
        <v>2627</v>
      </c>
      <c r="M1635">
        <v>76.137603705776584</v>
      </c>
    </row>
    <row r="1636" spans="1:13" hidden="1" x14ac:dyDescent="0.3">
      <c r="A1636" t="s">
        <v>1825</v>
      </c>
      <c r="B1636" t="s">
        <v>51</v>
      </c>
      <c r="C1636" t="s">
        <v>121</v>
      </c>
      <c r="D1636">
        <v>2017</v>
      </c>
      <c r="E1636" t="s">
        <v>31</v>
      </c>
      <c r="F1636" t="s">
        <v>604</v>
      </c>
      <c r="G1636" t="s">
        <v>31</v>
      </c>
      <c r="H1636" t="s">
        <v>27</v>
      </c>
      <c r="I1636" t="s">
        <v>27</v>
      </c>
      <c r="J1636" t="s">
        <v>27</v>
      </c>
      <c r="K1636">
        <v>3274</v>
      </c>
      <c r="L1636" t="s">
        <v>31</v>
      </c>
      <c r="M1636">
        <v>76.137603705776584</v>
      </c>
    </row>
    <row r="1637" spans="1:13" hidden="1" x14ac:dyDescent="0.3">
      <c r="A1637" t="s">
        <v>1826</v>
      </c>
      <c r="B1637" t="s">
        <v>39</v>
      </c>
      <c r="C1637" t="s">
        <v>41</v>
      </c>
      <c r="D1637">
        <v>2017</v>
      </c>
      <c r="E1637" t="s">
        <v>31</v>
      </c>
      <c r="F1637" t="s">
        <v>34</v>
      </c>
      <c r="G1637" t="s">
        <v>31</v>
      </c>
      <c r="H1637" t="s">
        <v>27</v>
      </c>
      <c r="I1637" t="s">
        <v>27</v>
      </c>
      <c r="J1637" t="s">
        <v>33</v>
      </c>
      <c r="K1637">
        <v>156</v>
      </c>
      <c r="L1637" t="s">
        <v>31</v>
      </c>
      <c r="M1637">
        <v>76.137603705776584</v>
      </c>
    </row>
    <row r="1638" spans="1:13" hidden="1" x14ac:dyDescent="0.3">
      <c r="A1638" t="s">
        <v>1827</v>
      </c>
      <c r="B1638" t="s">
        <v>51</v>
      </c>
      <c r="C1638" t="s">
        <v>56</v>
      </c>
      <c r="D1638">
        <v>2017</v>
      </c>
      <c r="E1638" t="s">
        <v>31</v>
      </c>
      <c r="F1638" t="s">
        <v>34</v>
      </c>
      <c r="G1638" t="s">
        <v>31</v>
      </c>
      <c r="H1638" t="s">
        <v>27</v>
      </c>
      <c r="I1638" t="s">
        <v>27</v>
      </c>
      <c r="J1638" t="s">
        <v>27</v>
      </c>
      <c r="K1638" t="s">
        <v>31</v>
      </c>
      <c r="L1638" t="s">
        <v>31</v>
      </c>
      <c r="M1638">
        <v>76.137603705776584</v>
      </c>
    </row>
    <row r="1639" spans="1:13" hidden="1" x14ac:dyDescent="0.3">
      <c r="A1639" t="s">
        <v>1828</v>
      </c>
      <c r="B1639" t="s">
        <v>28</v>
      </c>
      <c r="C1639" t="s">
        <v>30</v>
      </c>
      <c r="D1639">
        <v>2017</v>
      </c>
      <c r="E1639" t="s">
        <v>31</v>
      </c>
      <c r="F1639" t="s">
        <v>1829</v>
      </c>
      <c r="G1639" t="s">
        <v>37</v>
      </c>
      <c r="H1639" t="s">
        <v>27</v>
      </c>
      <c r="I1639" t="s">
        <v>27</v>
      </c>
      <c r="J1639" t="s">
        <v>27</v>
      </c>
      <c r="K1639" t="s">
        <v>31</v>
      </c>
      <c r="L1639" t="s">
        <v>31</v>
      </c>
      <c r="M1639">
        <v>76.137603705776584</v>
      </c>
    </row>
    <row r="1640" spans="1:13" hidden="1" x14ac:dyDescent="0.3">
      <c r="A1640" t="s">
        <v>1830</v>
      </c>
      <c r="B1640" t="s">
        <v>28</v>
      </c>
      <c r="C1640" t="s">
        <v>30</v>
      </c>
      <c r="D1640">
        <v>2017</v>
      </c>
      <c r="E1640" t="s">
        <v>31</v>
      </c>
      <c r="F1640" t="s">
        <v>144</v>
      </c>
      <c r="G1640" t="s">
        <v>31</v>
      </c>
      <c r="H1640" t="s">
        <v>27</v>
      </c>
      <c r="I1640" t="s">
        <v>27</v>
      </c>
      <c r="J1640" t="s">
        <v>27</v>
      </c>
      <c r="K1640" t="s">
        <v>31</v>
      </c>
      <c r="L1640" t="s">
        <v>31</v>
      </c>
      <c r="M1640">
        <v>76.137603705776584</v>
      </c>
    </row>
    <row r="1641" spans="1:13" hidden="1" x14ac:dyDescent="0.3">
      <c r="A1641" t="s">
        <v>1831</v>
      </c>
      <c r="B1641" t="s">
        <v>28</v>
      </c>
      <c r="C1641" t="s">
        <v>30</v>
      </c>
      <c r="D1641">
        <v>2017</v>
      </c>
      <c r="E1641" t="s">
        <v>31</v>
      </c>
      <c r="F1641" t="s">
        <v>45</v>
      </c>
      <c r="G1641" t="s">
        <v>37</v>
      </c>
      <c r="H1641" t="s">
        <v>27</v>
      </c>
      <c r="I1641" t="s">
        <v>27</v>
      </c>
      <c r="J1641" t="s">
        <v>27</v>
      </c>
      <c r="K1641">
        <v>40092</v>
      </c>
      <c r="L1641" t="s">
        <v>31</v>
      </c>
      <c r="M1641">
        <v>76.137603705776584</v>
      </c>
    </row>
    <row r="1642" spans="1:13" hidden="1" x14ac:dyDescent="0.3">
      <c r="A1642" t="s">
        <v>1832</v>
      </c>
      <c r="B1642" t="s">
        <v>28</v>
      </c>
      <c r="C1642" t="s">
        <v>30</v>
      </c>
      <c r="D1642">
        <v>2017</v>
      </c>
      <c r="E1642" t="s">
        <v>31</v>
      </c>
      <c r="F1642" t="s">
        <v>62</v>
      </c>
      <c r="G1642" t="s">
        <v>37</v>
      </c>
      <c r="H1642" t="s">
        <v>27</v>
      </c>
      <c r="I1642" t="s">
        <v>27</v>
      </c>
      <c r="J1642" t="s">
        <v>27</v>
      </c>
      <c r="K1642" t="s">
        <v>31</v>
      </c>
      <c r="L1642" t="s">
        <v>31</v>
      </c>
      <c r="M1642">
        <v>76.137603705776584</v>
      </c>
    </row>
    <row r="1643" spans="1:13" hidden="1" x14ac:dyDescent="0.3">
      <c r="A1643" t="s">
        <v>1833</v>
      </c>
      <c r="B1643" t="s">
        <v>28</v>
      </c>
      <c r="C1643" t="s">
        <v>30</v>
      </c>
      <c r="D1643">
        <v>2017</v>
      </c>
      <c r="E1643">
        <v>500000</v>
      </c>
      <c r="F1643" t="s">
        <v>674</v>
      </c>
      <c r="G1643" t="s">
        <v>37</v>
      </c>
      <c r="H1643" t="s">
        <v>27</v>
      </c>
      <c r="I1643" t="s">
        <v>27</v>
      </c>
      <c r="J1643" t="s">
        <v>27</v>
      </c>
      <c r="K1643" t="s">
        <v>31</v>
      </c>
      <c r="L1643">
        <v>656706</v>
      </c>
      <c r="M1643">
        <v>76.137603705776584</v>
      </c>
    </row>
    <row r="1644" spans="1:13" hidden="1" x14ac:dyDescent="0.3">
      <c r="A1644" t="s">
        <v>1834</v>
      </c>
      <c r="B1644" t="s">
        <v>28</v>
      </c>
      <c r="C1644" t="s">
        <v>30</v>
      </c>
      <c r="D1644">
        <v>2017</v>
      </c>
      <c r="E1644">
        <v>3000000</v>
      </c>
      <c r="F1644" t="s">
        <v>207</v>
      </c>
      <c r="G1644" t="s">
        <v>31</v>
      </c>
      <c r="H1644" t="s">
        <v>27</v>
      </c>
      <c r="I1644" t="s">
        <v>27</v>
      </c>
      <c r="J1644" t="s">
        <v>33</v>
      </c>
      <c r="K1644" t="s">
        <v>31</v>
      </c>
      <c r="L1644">
        <v>3940234</v>
      </c>
      <c r="M1644">
        <v>76.137603705776584</v>
      </c>
    </row>
    <row r="1645" spans="1:13" hidden="1" x14ac:dyDescent="0.3">
      <c r="A1645" t="s">
        <v>1835</v>
      </c>
      <c r="B1645" t="s">
        <v>91</v>
      </c>
      <c r="C1645" t="s">
        <v>93</v>
      </c>
      <c r="D1645">
        <v>2017</v>
      </c>
      <c r="E1645" t="s">
        <v>31</v>
      </c>
      <c r="F1645" t="s">
        <v>90</v>
      </c>
      <c r="G1645" t="s">
        <v>31</v>
      </c>
      <c r="H1645" t="s">
        <v>27</v>
      </c>
      <c r="I1645" t="s">
        <v>27</v>
      </c>
      <c r="J1645" t="s">
        <v>27</v>
      </c>
      <c r="K1645">
        <v>3601</v>
      </c>
      <c r="L1645" t="s">
        <v>31</v>
      </c>
      <c r="M1645">
        <v>76.137603705776584</v>
      </c>
    </row>
    <row r="1646" spans="1:13" hidden="1" x14ac:dyDescent="0.3">
      <c r="A1646" t="s">
        <v>1836</v>
      </c>
      <c r="B1646" t="s">
        <v>28</v>
      </c>
      <c r="C1646" t="s">
        <v>30</v>
      </c>
      <c r="D1646">
        <v>2017</v>
      </c>
      <c r="E1646">
        <v>1456000</v>
      </c>
      <c r="F1646" t="s">
        <v>35</v>
      </c>
      <c r="G1646" t="s">
        <v>82</v>
      </c>
      <c r="H1646" t="s">
        <v>33</v>
      </c>
      <c r="I1646" t="s">
        <v>27</v>
      </c>
      <c r="J1646" t="s">
        <v>27</v>
      </c>
      <c r="K1646">
        <v>71393</v>
      </c>
      <c r="L1646">
        <v>1912327</v>
      </c>
      <c r="M1646">
        <v>76.137603705776584</v>
      </c>
    </row>
    <row r="1647" spans="1:13" hidden="1" x14ac:dyDescent="0.3">
      <c r="A1647" t="s">
        <v>1837</v>
      </c>
      <c r="B1647" t="s">
        <v>28</v>
      </c>
      <c r="C1647" t="s">
        <v>30</v>
      </c>
      <c r="D1647">
        <v>2017</v>
      </c>
      <c r="E1647" t="s">
        <v>31</v>
      </c>
      <c r="F1647" t="s">
        <v>45</v>
      </c>
      <c r="G1647" t="s">
        <v>104</v>
      </c>
      <c r="H1647" t="s">
        <v>27</v>
      </c>
      <c r="I1647" t="s">
        <v>27</v>
      </c>
      <c r="J1647" t="s">
        <v>27</v>
      </c>
      <c r="K1647" t="s">
        <v>31</v>
      </c>
      <c r="L1647" t="s">
        <v>31</v>
      </c>
      <c r="M1647">
        <v>76.137603705776584</v>
      </c>
    </row>
    <row r="1648" spans="1:13" hidden="1" x14ac:dyDescent="0.3">
      <c r="A1648" t="s">
        <v>1838</v>
      </c>
      <c r="B1648" t="s">
        <v>28</v>
      </c>
      <c r="C1648" t="s">
        <v>30</v>
      </c>
      <c r="D1648">
        <v>2017</v>
      </c>
      <c r="E1648" t="s">
        <v>31</v>
      </c>
      <c r="F1648" t="s">
        <v>47</v>
      </c>
      <c r="G1648" t="s">
        <v>37</v>
      </c>
      <c r="H1648" t="s">
        <v>27</v>
      </c>
      <c r="I1648" t="s">
        <v>27</v>
      </c>
      <c r="J1648" t="s">
        <v>27</v>
      </c>
      <c r="K1648" t="s">
        <v>31</v>
      </c>
      <c r="L1648" t="s">
        <v>31</v>
      </c>
      <c r="M1648">
        <v>76.137603705776584</v>
      </c>
    </row>
    <row r="1649" spans="1:13" hidden="1" x14ac:dyDescent="0.3">
      <c r="A1649" t="s">
        <v>1839</v>
      </c>
      <c r="B1649" t="s">
        <v>28</v>
      </c>
      <c r="C1649" t="s">
        <v>30</v>
      </c>
      <c r="D1649">
        <v>2017</v>
      </c>
      <c r="E1649" t="s">
        <v>31</v>
      </c>
      <c r="F1649" t="s">
        <v>166</v>
      </c>
      <c r="G1649" t="s">
        <v>54</v>
      </c>
      <c r="H1649" t="s">
        <v>27</v>
      </c>
      <c r="I1649" t="s">
        <v>27</v>
      </c>
      <c r="J1649" t="s">
        <v>27</v>
      </c>
      <c r="K1649">
        <v>12000</v>
      </c>
      <c r="L1649" t="s">
        <v>31</v>
      </c>
      <c r="M1649">
        <v>76.137603705776584</v>
      </c>
    </row>
    <row r="1650" spans="1:13" hidden="1" x14ac:dyDescent="0.3">
      <c r="A1650" t="s">
        <v>1840</v>
      </c>
      <c r="B1650" t="s">
        <v>28</v>
      </c>
      <c r="C1650" t="s">
        <v>30</v>
      </c>
      <c r="D1650">
        <v>2017</v>
      </c>
      <c r="E1650" t="s">
        <v>31</v>
      </c>
      <c r="F1650" t="s">
        <v>115</v>
      </c>
      <c r="G1650" t="s">
        <v>54</v>
      </c>
      <c r="H1650" t="s">
        <v>27</v>
      </c>
      <c r="I1650" t="s">
        <v>27</v>
      </c>
      <c r="J1650" t="s">
        <v>27</v>
      </c>
      <c r="K1650">
        <v>584</v>
      </c>
      <c r="L1650" t="s">
        <v>31</v>
      </c>
      <c r="M1650">
        <v>76.137603705776584</v>
      </c>
    </row>
    <row r="1651" spans="1:13" hidden="1" x14ac:dyDescent="0.3">
      <c r="A1651" t="s">
        <v>1841</v>
      </c>
      <c r="B1651" t="s">
        <v>51</v>
      </c>
      <c r="C1651" t="s">
        <v>52</v>
      </c>
      <c r="D1651">
        <v>2017</v>
      </c>
      <c r="E1651" t="s">
        <v>31</v>
      </c>
      <c r="F1651" t="s">
        <v>90</v>
      </c>
      <c r="G1651" t="s">
        <v>31</v>
      </c>
      <c r="H1651" t="s">
        <v>27</v>
      </c>
      <c r="I1651" t="s">
        <v>27</v>
      </c>
      <c r="J1651" t="s">
        <v>27</v>
      </c>
      <c r="K1651">
        <v>10080</v>
      </c>
      <c r="L1651" t="s">
        <v>31</v>
      </c>
      <c r="M1651">
        <v>76.137603705776584</v>
      </c>
    </row>
    <row r="1652" spans="1:13" hidden="1" x14ac:dyDescent="0.3">
      <c r="A1652" t="s">
        <v>1842</v>
      </c>
      <c r="B1652" t="s">
        <v>39</v>
      </c>
      <c r="C1652" t="s">
        <v>59</v>
      </c>
      <c r="D1652">
        <v>2017</v>
      </c>
      <c r="E1652">
        <v>13000000</v>
      </c>
      <c r="F1652" t="s">
        <v>34</v>
      </c>
      <c r="G1652" t="s">
        <v>31</v>
      </c>
      <c r="H1652" t="s">
        <v>27</v>
      </c>
      <c r="I1652" t="s">
        <v>27</v>
      </c>
      <c r="J1652" t="s">
        <v>27</v>
      </c>
      <c r="K1652">
        <v>9185</v>
      </c>
      <c r="L1652">
        <v>17074349</v>
      </c>
      <c r="M1652">
        <v>76.137603705776584</v>
      </c>
    </row>
    <row r="1653" spans="1:13" hidden="1" x14ac:dyDescent="0.3">
      <c r="A1653" t="s">
        <v>1843</v>
      </c>
      <c r="B1653" t="s">
        <v>28</v>
      </c>
      <c r="C1653" t="s">
        <v>67</v>
      </c>
      <c r="D1653">
        <v>2017</v>
      </c>
      <c r="E1653">
        <v>1100000</v>
      </c>
      <c r="F1653" t="s">
        <v>34</v>
      </c>
      <c r="G1653" t="s">
        <v>279</v>
      </c>
      <c r="H1653" t="s">
        <v>27</v>
      </c>
      <c r="I1653" t="s">
        <v>27</v>
      </c>
      <c r="J1653" t="s">
        <v>33</v>
      </c>
      <c r="K1653" t="s">
        <v>31</v>
      </c>
      <c r="L1653">
        <v>1444753</v>
      </c>
      <c r="M1653">
        <v>76.137603705776584</v>
      </c>
    </row>
    <row r="1654" spans="1:13" hidden="1" x14ac:dyDescent="0.3">
      <c r="A1654" t="s">
        <v>1844</v>
      </c>
      <c r="B1654" t="s">
        <v>28</v>
      </c>
      <c r="C1654" t="s">
        <v>65</v>
      </c>
      <c r="D1654">
        <v>2017</v>
      </c>
      <c r="E1654">
        <v>2200000</v>
      </c>
      <c r="F1654" t="s">
        <v>34</v>
      </c>
      <c r="G1654" t="s">
        <v>65</v>
      </c>
      <c r="H1654" t="s">
        <v>27</v>
      </c>
      <c r="I1654" t="s">
        <v>27</v>
      </c>
      <c r="J1654" t="s">
        <v>27</v>
      </c>
      <c r="K1654">
        <v>615</v>
      </c>
      <c r="L1654">
        <v>2889505</v>
      </c>
      <c r="M1654">
        <v>76.137603705776584</v>
      </c>
    </row>
    <row r="1655" spans="1:13" hidden="1" x14ac:dyDescent="0.3">
      <c r="A1655" t="s">
        <v>2486</v>
      </c>
      <c r="B1655" t="s">
        <v>28</v>
      </c>
      <c r="C1655" t="s">
        <v>189</v>
      </c>
      <c r="D1655">
        <v>2017</v>
      </c>
      <c r="E1655">
        <v>1500000</v>
      </c>
      <c r="F1655" t="s">
        <v>34</v>
      </c>
      <c r="G1655" t="s">
        <v>82</v>
      </c>
      <c r="H1655" t="s">
        <v>27</v>
      </c>
      <c r="I1655" t="s">
        <v>27</v>
      </c>
      <c r="J1655" t="s">
        <v>27</v>
      </c>
      <c r="K1655">
        <v>200000</v>
      </c>
      <c r="L1655">
        <v>1970117</v>
      </c>
      <c r="M1655">
        <v>76.137603705776584</v>
      </c>
    </row>
    <row r="1656" spans="1:13" hidden="1" x14ac:dyDescent="0.3">
      <c r="A1656" t="s">
        <v>2497</v>
      </c>
      <c r="B1656" t="s">
        <v>51</v>
      </c>
      <c r="C1656" t="s">
        <v>150</v>
      </c>
      <c r="D1656">
        <v>2017</v>
      </c>
      <c r="E1656">
        <v>100000</v>
      </c>
      <c r="F1656" t="s">
        <v>47</v>
      </c>
      <c r="G1656" t="s">
        <v>31</v>
      </c>
      <c r="H1656" t="s">
        <v>33</v>
      </c>
      <c r="I1656" t="s">
        <v>27</v>
      </c>
      <c r="J1656" t="s">
        <v>33</v>
      </c>
      <c r="K1656">
        <v>45360</v>
      </c>
      <c r="L1656">
        <v>131341</v>
      </c>
      <c r="M1656">
        <v>76.137603705776584</v>
      </c>
    </row>
    <row r="1657" spans="1:13" hidden="1" x14ac:dyDescent="0.3">
      <c r="A1657" t="s">
        <v>2498</v>
      </c>
      <c r="B1657" t="s">
        <v>51</v>
      </c>
      <c r="C1657" t="s">
        <v>134</v>
      </c>
      <c r="D1657">
        <v>2017</v>
      </c>
      <c r="E1657" t="s">
        <v>31</v>
      </c>
      <c r="F1657" t="s">
        <v>90</v>
      </c>
      <c r="G1657" t="s">
        <v>31</v>
      </c>
      <c r="H1657" t="s">
        <v>27</v>
      </c>
      <c r="I1657" t="s">
        <v>27</v>
      </c>
      <c r="J1657" t="s">
        <v>27</v>
      </c>
      <c r="K1657" t="s">
        <v>31</v>
      </c>
      <c r="L1657" t="s">
        <v>31</v>
      </c>
      <c r="M1657">
        <v>76.137603705776584</v>
      </c>
    </row>
    <row r="1658" spans="1:13" hidden="1" x14ac:dyDescent="0.3">
      <c r="A1658" t="s">
        <v>2499</v>
      </c>
      <c r="B1658" t="s">
        <v>51</v>
      </c>
      <c r="C1658" t="s">
        <v>121</v>
      </c>
      <c r="D1658">
        <v>2017</v>
      </c>
      <c r="E1658" t="s">
        <v>31</v>
      </c>
      <c r="F1658" t="s">
        <v>130</v>
      </c>
      <c r="G1658" t="s">
        <v>31</v>
      </c>
      <c r="H1658" t="s">
        <v>27</v>
      </c>
      <c r="I1658" t="s">
        <v>27</v>
      </c>
      <c r="J1658" t="s">
        <v>27</v>
      </c>
      <c r="K1658">
        <v>3000</v>
      </c>
      <c r="L1658" t="s">
        <v>31</v>
      </c>
      <c r="M1658">
        <v>76.137603705776584</v>
      </c>
    </row>
    <row r="1659" spans="1:13" hidden="1" x14ac:dyDescent="0.3">
      <c r="A1659" t="s">
        <v>2500</v>
      </c>
      <c r="B1659" t="s">
        <v>28</v>
      </c>
      <c r="C1659" t="s">
        <v>65</v>
      </c>
      <c r="D1659">
        <v>2017</v>
      </c>
      <c r="E1659">
        <v>3100000</v>
      </c>
      <c r="F1659" t="s">
        <v>34</v>
      </c>
      <c r="G1659" t="s">
        <v>65</v>
      </c>
      <c r="H1659" t="s">
        <v>27</v>
      </c>
      <c r="I1659" t="s">
        <v>27</v>
      </c>
      <c r="J1659" t="s">
        <v>27</v>
      </c>
      <c r="K1659" t="s">
        <v>31</v>
      </c>
      <c r="L1659">
        <v>4071575</v>
      </c>
      <c r="M1659">
        <v>76.137603705776584</v>
      </c>
    </row>
    <row r="1660" spans="1:13" hidden="1" x14ac:dyDescent="0.3">
      <c r="A1660" t="s">
        <v>2501</v>
      </c>
      <c r="B1660" t="s">
        <v>51</v>
      </c>
      <c r="C1660" t="s">
        <v>52</v>
      </c>
      <c r="D1660">
        <v>2017</v>
      </c>
      <c r="E1660" t="s">
        <v>31</v>
      </c>
      <c r="F1660" t="s">
        <v>130</v>
      </c>
      <c r="G1660" t="s">
        <v>31</v>
      </c>
      <c r="H1660" t="s">
        <v>27</v>
      </c>
      <c r="I1660" t="s">
        <v>27</v>
      </c>
      <c r="J1660" t="s">
        <v>27</v>
      </c>
      <c r="K1660">
        <v>9000</v>
      </c>
      <c r="L1660" t="s">
        <v>31</v>
      </c>
      <c r="M1660">
        <v>76.137603705776584</v>
      </c>
    </row>
    <row r="1661" spans="1:13" hidden="1" x14ac:dyDescent="0.3">
      <c r="A1661" t="s">
        <v>2502</v>
      </c>
      <c r="B1661" t="s">
        <v>28</v>
      </c>
      <c r="C1661" t="s">
        <v>99</v>
      </c>
      <c r="D1661">
        <v>2017</v>
      </c>
      <c r="E1661">
        <v>2000000</v>
      </c>
      <c r="F1661" t="s">
        <v>34</v>
      </c>
      <c r="G1661" t="s">
        <v>65</v>
      </c>
      <c r="H1661" t="s">
        <v>27</v>
      </c>
      <c r="I1661" t="s">
        <v>27</v>
      </c>
      <c r="J1661" t="s">
        <v>27</v>
      </c>
      <c r="K1661">
        <v>2</v>
      </c>
      <c r="L1661">
        <v>2626823</v>
      </c>
      <c r="M1661">
        <v>76.137603705776584</v>
      </c>
    </row>
    <row r="1662" spans="1:13" hidden="1" x14ac:dyDescent="0.3">
      <c r="A1662" t="s">
        <v>2504</v>
      </c>
      <c r="B1662" t="s">
        <v>28</v>
      </c>
      <c r="C1662" t="s">
        <v>97</v>
      </c>
      <c r="D1662">
        <v>2017</v>
      </c>
      <c r="E1662">
        <v>200000</v>
      </c>
      <c r="F1662" t="s">
        <v>34</v>
      </c>
      <c r="G1662" t="s">
        <v>100</v>
      </c>
      <c r="H1662" t="s">
        <v>27</v>
      </c>
      <c r="I1662" t="s">
        <v>27</v>
      </c>
      <c r="J1662" t="s">
        <v>27</v>
      </c>
      <c r="K1662">
        <v>630</v>
      </c>
      <c r="L1662">
        <v>262682</v>
      </c>
      <c r="M1662">
        <v>76.137603705776584</v>
      </c>
    </row>
    <row r="1663" spans="1:13" hidden="1" x14ac:dyDescent="0.3">
      <c r="A1663" t="s">
        <v>2505</v>
      </c>
      <c r="B1663" t="s">
        <v>28</v>
      </c>
      <c r="C1663" t="s">
        <v>30</v>
      </c>
      <c r="D1663">
        <v>2017</v>
      </c>
      <c r="E1663">
        <v>20000</v>
      </c>
      <c r="F1663" t="s">
        <v>2120</v>
      </c>
      <c r="G1663" t="s">
        <v>31</v>
      </c>
      <c r="H1663" t="s">
        <v>27</v>
      </c>
      <c r="I1663" t="s">
        <v>27</v>
      </c>
      <c r="J1663" t="s">
        <v>27</v>
      </c>
      <c r="K1663">
        <v>500</v>
      </c>
      <c r="L1663">
        <v>26268</v>
      </c>
      <c r="M1663">
        <v>76.137603705776584</v>
      </c>
    </row>
    <row r="1664" spans="1:13" hidden="1" x14ac:dyDescent="0.3">
      <c r="A1664" t="s">
        <v>2506</v>
      </c>
      <c r="B1664" t="s">
        <v>28</v>
      </c>
      <c r="C1664" t="s">
        <v>30</v>
      </c>
      <c r="D1664">
        <v>2017</v>
      </c>
      <c r="E1664">
        <v>4100000</v>
      </c>
      <c r="F1664" t="s">
        <v>2507</v>
      </c>
      <c r="G1664" t="s">
        <v>31</v>
      </c>
      <c r="H1664" t="s">
        <v>33</v>
      </c>
      <c r="I1664" t="s">
        <v>27</v>
      </c>
      <c r="J1664" t="s">
        <v>27</v>
      </c>
      <c r="K1664">
        <v>110</v>
      </c>
      <c r="L1664">
        <v>5384987</v>
      </c>
      <c r="M1664">
        <v>76.137603705776584</v>
      </c>
    </row>
    <row r="1665" spans="1:13" hidden="1" x14ac:dyDescent="0.3">
      <c r="A1665" t="s">
        <v>2508</v>
      </c>
      <c r="B1665" t="s">
        <v>28</v>
      </c>
      <c r="C1665" t="s">
        <v>30</v>
      </c>
      <c r="D1665">
        <v>2017</v>
      </c>
      <c r="E1665">
        <v>57000000</v>
      </c>
      <c r="F1665" t="s">
        <v>34</v>
      </c>
      <c r="G1665" t="s">
        <v>37</v>
      </c>
      <c r="H1665" t="s">
        <v>27</v>
      </c>
      <c r="I1665" t="s">
        <v>27</v>
      </c>
      <c r="J1665" t="s">
        <v>27</v>
      </c>
      <c r="K1665">
        <v>70000</v>
      </c>
      <c r="L1665">
        <v>74864452</v>
      </c>
      <c r="M1665">
        <v>76.137603705776584</v>
      </c>
    </row>
    <row r="1666" spans="1:13" hidden="1" x14ac:dyDescent="0.3">
      <c r="A1666" t="s">
        <v>2509</v>
      </c>
      <c r="B1666" t="s">
        <v>28</v>
      </c>
      <c r="C1666" t="s">
        <v>30</v>
      </c>
      <c r="D1666">
        <v>2017</v>
      </c>
      <c r="E1666">
        <v>44000</v>
      </c>
      <c r="F1666" t="s">
        <v>244</v>
      </c>
      <c r="G1666" t="s">
        <v>54</v>
      </c>
      <c r="H1666" t="s">
        <v>27</v>
      </c>
      <c r="I1666" t="s">
        <v>27</v>
      </c>
      <c r="J1666" t="s">
        <v>27</v>
      </c>
      <c r="K1666">
        <v>2</v>
      </c>
      <c r="L1666">
        <v>57790</v>
      </c>
      <c r="M1666">
        <v>76.137603705776584</v>
      </c>
    </row>
    <row r="1667" spans="1:13" hidden="1" x14ac:dyDescent="0.3">
      <c r="A1667" t="s">
        <v>2510</v>
      </c>
      <c r="B1667" t="s">
        <v>28</v>
      </c>
      <c r="C1667" t="s">
        <v>30</v>
      </c>
      <c r="D1667">
        <v>2017</v>
      </c>
      <c r="E1667" t="s">
        <v>31</v>
      </c>
      <c r="F1667" t="s">
        <v>34</v>
      </c>
      <c r="G1667" t="s">
        <v>31</v>
      </c>
      <c r="H1667" t="s">
        <v>27</v>
      </c>
      <c r="I1667" t="s">
        <v>27</v>
      </c>
      <c r="J1667" t="s">
        <v>27</v>
      </c>
      <c r="K1667" t="s">
        <v>31</v>
      </c>
      <c r="L1667" t="s">
        <v>31</v>
      </c>
      <c r="M1667">
        <v>76.137603705776584</v>
      </c>
    </row>
    <row r="1668" spans="1:13" hidden="1" x14ac:dyDescent="0.3">
      <c r="A1668" t="s">
        <v>2511</v>
      </c>
      <c r="B1668" t="s">
        <v>28</v>
      </c>
      <c r="C1668" t="s">
        <v>30</v>
      </c>
      <c r="D1668">
        <v>2017</v>
      </c>
      <c r="E1668">
        <v>185000</v>
      </c>
      <c r="F1668" t="s">
        <v>161</v>
      </c>
      <c r="G1668" t="s">
        <v>82</v>
      </c>
      <c r="H1668" t="s">
        <v>33</v>
      </c>
      <c r="I1668" t="s">
        <v>27</v>
      </c>
      <c r="J1668" t="s">
        <v>33</v>
      </c>
      <c r="K1668">
        <v>11500</v>
      </c>
      <c r="L1668">
        <v>242981</v>
      </c>
      <c r="M1668">
        <v>76.137603705776584</v>
      </c>
    </row>
    <row r="1669" spans="1:13" hidden="1" x14ac:dyDescent="0.3">
      <c r="A1669" t="s">
        <v>2512</v>
      </c>
      <c r="B1669" t="s">
        <v>28</v>
      </c>
      <c r="C1669" t="s">
        <v>30</v>
      </c>
      <c r="D1669">
        <v>2017</v>
      </c>
      <c r="E1669" t="s">
        <v>31</v>
      </c>
      <c r="F1669" t="s">
        <v>81</v>
      </c>
      <c r="G1669" t="s">
        <v>31</v>
      </c>
      <c r="H1669" t="s">
        <v>27</v>
      </c>
      <c r="I1669" t="s">
        <v>27</v>
      </c>
      <c r="J1669" t="s">
        <v>27</v>
      </c>
      <c r="K1669">
        <v>39200</v>
      </c>
      <c r="L1669" t="s">
        <v>31</v>
      </c>
      <c r="M1669">
        <v>76.137603705776584</v>
      </c>
    </row>
    <row r="1670" spans="1:13" hidden="1" x14ac:dyDescent="0.3">
      <c r="A1670" t="s">
        <v>2513</v>
      </c>
      <c r="B1670" t="s">
        <v>28</v>
      </c>
      <c r="C1670" t="s">
        <v>30</v>
      </c>
      <c r="D1670">
        <v>2017</v>
      </c>
      <c r="E1670">
        <v>250000</v>
      </c>
      <c r="F1670" t="s">
        <v>34</v>
      </c>
      <c r="G1670" t="s">
        <v>31</v>
      </c>
      <c r="H1670" t="s">
        <v>27</v>
      </c>
      <c r="I1670" t="s">
        <v>27</v>
      </c>
      <c r="J1670" t="s">
        <v>27</v>
      </c>
      <c r="K1670">
        <v>60</v>
      </c>
      <c r="L1670">
        <v>328353</v>
      </c>
      <c r="M1670">
        <v>76.137603705776584</v>
      </c>
    </row>
    <row r="1671" spans="1:13" hidden="1" x14ac:dyDescent="0.3">
      <c r="A1671" t="s">
        <v>2514</v>
      </c>
      <c r="B1671" t="s">
        <v>51</v>
      </c>
      <c r="C1671" t="s">
        <v>52</v>
      </c>
      <c r="D1671">
        <v>2017</v>
      </c>
      <c r="E1671" t="s">
        <v>31</v>
      </c>
      <c r="F1671" t="s">
        <v>90</v>
      </c>
      <c r="G1671" t="s">
        <v>31</v>
      </c>
      <c r="H1671" t="s">
        <v>27</v>
      </c>
      <c r="I1671" t="s">
        <v>27</v>
      </c>
      <c r="J1671" t="s">
        <v>27</v>
      </c>
      <c r="K1671">
        <v>1000</v>
      </c>
      <c r="L1671" t="s">
        <v>31</v>
      </c>
      <c r="M1671">
        <v>76.137603705776584</v>
      </c>
    </row>
    <row r="1672" spans="1:13" hidden="1" x14ac:dyDescent="0.3">
      <c r="A1672" t="s">
        <v>2515</v>
      </c>
      <c r="B1672" t="s">
        <v>51</v>
      </c>
      <c r="C1672" t="s">
        <v>52</v>
      </c>
      <c r="D1672">
        <v>2017</v>
      </c>
      <c r="E1672" t="s">
        <v>31</v>
      </c>
      <c r="F1672" t="s">
        <v>49</v>
      </c>
      <c r="G1672" t="s">
        <v>402</v>
      </c>
      <c r="H1672" t="s">
        <v>27</v>
      </c>
      <c r="I1672" t="s">
        <v>27</v>
      </c>
      <c r="J1672" t="s">
        <v>27</v>
      </c>
      <c r="K1672">
        <v>46975</v>
      </c>
      <c r="L1672" t="s">
        <v>31</v>
      </c>
      <c r="M1672">
        <v>76.137603705776584</v>
      </c>
    </row>
    <row r="1673" spans="1:13" hidden="1" x14ac:dyDescent="0.3">
      <c r="A1673" t="s">
        <v>2517</v>
      </c>
      <c r="B1673" t="s">
        <v>51</v>
      </c>
      <c r="C1673" t="s">
        <v>52</v>
      </c>
      <c r="D1673">
        <v>2017</v>
      </c>
      <c r="E1673" t="s">
        <v>31</v>
      </c>
      <c r="F1673" t="s">
        <v>81</v>
      </c>
      <c r="G1673" t="s">
        <v>31</v>
      </c>
      <c r="H1673" t="s">
        <v>27</v>
      </c>
      <c r="I1673" t="s">
        <v>27</v>
      </c>
      <c r="J1673" t="s">
        <v>27</v>
      </c>
      <c r="K1673">
        <v>13715</v>
      </c>
      <c r="L1673" t="s">
        <v>31</v>
      </c>
      <c r="M1673">
        <v>76.137603705776584</v>
      </c>
    </row>
    <row r="1674" spans="1:13" hidden="1" x14ac:dyDescent="0.3">
      <c r="A1674" t="s">
        <v>2518</v>
      </c>
      <c r="B1674" t="s">
        <v>51</v>
      </c>
      <c r="C1674" t="s">
        <v>52</v>
      </c>
      <c r="D1674">
        <v>2017</v>
      </c>
      <c r="E1674" t="s">
        <v>31</v>
      </c>
      <c r="F1674" t="s">
        <v>90</v>
      </c>
      <c r="G1674" t="s">
        <v>31</v>
      </c>
      <c r="H1674" t="s">
        <v>27</v>
      </c>
      <c r="I1674" t="s">
        <v>27</v>
      </c>
      <c r="J1674" t="s">
        <v>27</v>
      </c>
      <c r="K1674">
        <v>31319</v>
      </c>
      <c r="L1674" t="s">
        <v>31</v>
      </c>
      <c r="M1674">
        <v>76.137603705776584</v>
      </c>
    </row>
    <row r="1675" spans="1:13" hidden="1" x14ac:dyDescent="0.3">
      <c r="A1675" t="s">
        <v>2519</v>
      </c>
      <c r="B1675" t="s">
        <v>51</v>
      </c>
      <c r="C1675" t="s">
        <v>52</v>
      </c>
      <c r="D1675">
        <v>2017</v>
      </c>
      <c r="E1675" t="s">
        <v>31</v>
      </c>
      <c r="F1675" t="s">
        <v>47</v>
      </c>
      <c r="G1675" t="s">
        <v>54</v>
      </c>
      <c r="H1675" t="s">
        <v>27</v>
      </c>
      <c r="I1675" t="s">
        <v>27</v>
      </c>
      <c r="J1675" t="s">
        <v>27</v>
      </c>
      <c r="K1675">
        <v>192</v>
      </c>
      <c r="L1675" t="s">
        <v>31</v>
      </c>
      <c r="M1675">
        <v>76.137603705776584</v>
      </c>
    </row>
    <row r="1676" spans="1:13" hidden="1" x14ac:dyDescent="0.3">
      <c r="A1676" t="s">
        <v>2520</v>
      </c>
      <c r="B1676" t="s">
        <v>51</v>
      </c>
      <c r="C1676" t="s">
        <v>121</v>
      </c>
      <c r="D1676">
        <v>2017</v>
      </c>
      <c r="E1676" t="s">
        <v>31</v>
      </c>
      <c r="F1676" t="s">
        <v>73</v>
      </c>
      <c r="G1676" t="s">
        <v>31</v>
      </c>
      <c r="H1676" t="s">
        <v>27</v>
      </c>
      <c r="I1676" t="s">
        <v>27</v>
      </c>
      <c r="J1676" t="s">
        <v>27</v>
      </c>
      <c r="K1676">
        <v>800</v>
      </c>
      <c r="L1676" t="s">
        <v>31</v>
      </c>
      <c r="M1676">
        <v>76.137603705776584</v>
      </c>
    </row>
    <row r="1677" spans="1:13" hidden="1" x14ac:dyDescent="0.3">
      <c r="A1677" t="s">
        <v>2521</v>
      </c>
      <c r="B1677" t="s">
        <v>39</v>
      </c>
      <c r="C1677" t="s">
        <v>142</v>
      </c>
      <c r="D1677">
        <v>2017</v>
      </c>
      <c r="E1677">
        <v>2200000</v>
      </c>
      <c r="F1677" t="s">
        <v>34</v>
      </c>
      <c r="G1677" t="s">
        <v>31</v>
      </c>
      <c r="H1677" t="s">
        <v>27</v>
      </c>
      <c r="I1677" t="s">
        <v>27</v>
      </c>
      <c r="J1677" t="s">
        <v>33</v>
      </c>
      <c r="K1677">
        <v>2963</v>
      </c>
      <c r="L1677">
        <v>2889505</v>
      </c>
      <c r="M1677">
        <v>76.137603705776584</v>
      </c>
    </row>
    <row r="1678" spans="1:13" hidden="1" x14ac:dyDescent="0.3">
      <c r="A1678" t="s">
        <v>2522</v>
      </c>
      <c r="B1678" t="s">
        <v>28</v>
      </c>
      <c r="C1678" t="s">
        <v>99</v>
      </c>
      <c r="D1678">
        <v>2017</v>
      </c>
      <c r="E1678">
        <v>260000</v>
      </c>
      <c r="F1678" t="s">
        <v>34</v>
      </c>
      <c r="G1678" t="s">
        <v>65</v>
      </c>
      <c r="H1678" t="s">
        <v>27</v>
      </c>
      <c r="I1678" t="s">
        <v>27</v>
      </c>
      <c r="J1678" t="s">
        <v>33</v>
      </c>
      <c r="K1678">
        <v>140</v>
      </c>
      <c r="L1678">
        <v>341487</v>
      </c>
      <c r="M1678">
        <v>76.137603705776584</v>
      </c>
    </row>
    <row r="1679" spans="1:13" hidden="1" x14ac:dyDescent="0.3">
      <c r="A1679" t="s">
        <v>2523</v>
      </c>
      <c r="B1679" t="s">
        <v>51</v>
      </c>
      <c r="C1679" t="s">
        <v>134</v>
      </c>
      <c r="D1679">
        <v>2017</v>
      </c>
      <c r="E1679" t="s">
        <v>31</v>
      </c>
      <c r="F1679" t="s">
        <v>60</v>
      </c>
      <c r="G1679" t="s">
        <v>37</v>
      </c>
      <c r="H1679" t="s">
        <v>27</v>
      </c>
      <c r="I1679" t="s">
        <v>27</v>
      </c>
      <c r="J1679" t="s">
        <v>27</v>
      </c>
      <c r="K1679">
        <v>142</v>
      </c>
      <c r="L1679" t="s">
        <v>31</v>
      </c>
      <c r="M1679">
        <v>76.137603705776584</v>
      </c>
    </row>
    <row r="1680" spans="1:13" hidden="1" x14ac:dyDescent="0.3">
      <c r="A1680" t="s">
        <v>2524</v>
      </c>
      <c r="B1680" t="s">
        <v>28</v>
      </c>
      <c r="C1680" t="s">
        <v>97</v>
      </c>
      <c r="D1680">
        <v>2017</v>
      </c>
      <c r="E1680">
        <v>2700000</v>
      </c>
      <c r="F1680" t="s">
        <v>34</v>
      </c>
      <c r="G1680" t="s">
        <v>100</v>
      </c>
      <c r="H1680" t="s">
        <v>27</v>
      </c>
      <c r="I1680" t="s">
        <v>27</v>
      </c>
      <c r="J1680" t="s">
        <v>27</v>
      </c>
      <c r="K1680" t="s">
        <v>31</v>
      </c>
      <c r="L1680">
        <v>3546211</v>
      </c>
      <c r="M1680">
        <v>76.137603705776584</v>
      </c>
    </row>
    <row r="1681" spans="1:13" hidden="1" x14ac:dyDescent="0.3">
      <c r="A1681" t="s">
        <v>156</v>
      </c>
      <c r="B1681" t="s">
        <v>39</v>
      </c>
      <c r="C1681" t="s">
        <v>157</v>
      </c>
      <c r="D1681">
        <v>2018</v>
      </c>
      <c r="E1681">
        <v>3000000</v>
      </c>
      <c r="F1681" t="s">
        <v>34</v>
      </c>
      <c r="G1681" t="s">
        <v>31</v>
      </c>
      <c r="H1681" t="s">
        <v>27</v>
      </c>
      <c r="I1681" t="s">
        <v>27</v>
      </c>
      <c r="J1681" t="s">
        <v>27</v>
      </c>
      <c r="K1681" t="s">
        <v>31</v>
      </c>
      <c r="L1681">
        <v>3846289</v>
      </c>
      <c r="M1681">
        <v>77.997265187954739</v>
      </c>
    </row>
    <row r="1682" spans="1:13" hidden="1" x14ac:dyDescent="0.3">
      <c r="A1682" t="s">
        <v>158</v>
      </c>
      <c r="B1682" t="s">
        <v>39</v>
      </c>
      <c r="C1682" t="s">
        <v>157</v>
      </c>
      <c r="D1682">
        <v>2018</v>
      </c>
      <c r="E1682">
        <v>37000</v>
      </c>
      <c r="F1682" t="s">
        <v>115</v>
      </c>
      <c r="G1682" t="s">
        <v>95</v>
      </c>
      <c r="H1682" t="s">
        <v>27</v>
      </c>
      <c r="I1682" t="s">
        <v>27</v>
      </c>
      <c r="J1682" t="s">
        <v>27</v>
      </c>
      <c r="K1682">
        <v>386610</v>
      </c>
      <c r="L1682">
        <v>47438</v>
      </c>
      <c r="M1682">
        <v>77.997265187954739</v>
      </c>
    </row>
    <row r="1683" spans="1:13" hidden="1" x14ac:dyDescent="0.3">
      <c r="A1683" t="s">
        <v>159</v>
      </c>
      <c r="B1683" t="s">
        <v>39</v>
      </c>
      <c r="C1683" t="s">
        <v>157</v>
      </c>
      <c r="D1683">
        <v>2018</v>
      </c>
      <c r="E1683" t="s">
        <v>31</v>
      </c>
      <c r="F1683" t="s">
        <v>49</v>
      </c>
      <c r="G1683" t="s">
        <v>31</v>
      </c>
      <c r="H1683" t="s">
        <v>27</v>
      </c>
      <c r="I1683" t="s">
        <v>27</v>
      </c>
      <c r="J1683" t="s">
        <v>27</v>
      </c>
      <c r="K1683">
        <v>360000</v>
      </c>
      <c r="L1683" t="s">
        <v>31</v>
      </c>
      <c r="M1683">
        <v>77.997265187954739</v>
      </c>
    </row>
    <row r="1684" spans="1:13" hidden="1" x14ac:dyDescent="0.3">
      <c r="A1684" t="s">
        <v>162</v>
      </c>
      <c r="B1684" t="s">
        <v>39</v>
      </c>
      <c r="C1684" t="s">
        <v>157</v>
      </c>
      <c r="D1684">
        <v>2018</v>
      </c>
      <c r="E1684">
        <v>3400000</v>
      </c>
      <c r="F1684" t="s">
        <v>130</v>
      </c>
      <c r="G1684" t="s">
        <v>31</v>
      </c>
      <c r="H1684" t="s">
        <v>27</v>
      </c>
      <c r="I1684" t="s">
        <v>27</v>
      </c>
      <c r="J1684" t="s">
        <v>27</v>
      </c>
      <c r="K1684" t="s">
        <v>31</v>
      </c>
      <c r="L1684">
        <v>4359127</v>
      </c>
      <c r="M1684">
        <v>77.997265187954739</v>
      </c>
    </row>
    <row r="1685" spans="1:13" hidden="1" x14ac:dyDescent="0.3">
      <c r="A1685" t="s">
        <v>164</v>
      </c>
      <c r="B1685" t="s">
        <v>51</v>
      </c>
      <c r="C1685" t="s">
        <v>121</v>
      </c>
      <c r="D1685">
        <v>2018</v>
      </c>
      <c r="E1685">
        <v>400000</v>
      </c>
      <c r="F1685" t="s">
        <v>34</v>
      </c>
      <c r="G1685" t="s">
        <v>29</v>
      </c>
      <c r="H1685" t="s">
        <v>27</v>
      </c>
      <c r="I1685" t="s">
        <v>27</v>
      </c>
      <c r="J1685" t="s">
        <v>33</v>
      </c>
      <c r="K1685" t="s">
        <v>31</v>
      </c>
      <c r="L1685">
        <v>512838</v>
      </c>
      <c r="M1685">
        <v>77.997265187954739</v>
      </c>
    </row>
    <row r="1686" spans="1:13" hidden="1" x14ac:dyDescent="0.3">
      <c r="A1686" t="s">
        <v>170</v>
      </c>
      <c r="B1686" t="s">
        <v>28</v>
      </c>
      <c r="C1686" t="s">
        <v>97</v>
      </c>
      <c r="D1686">
        <v>2018</v>
      </c>
      <c r="E1686">
        <v>325000</v>
      </c>
      <c r="F1686" t="s">
        <v>77</v>
      </c>
      <c r="G1686" t="s">
        <v>31</v>
      </c>
      <c r="H1686" t="s">
        <v>27</v>
      </c>
      <c r="I1686" t="s">
        <v>27</v>
      </c>
      <c r="J1686" t="s">
        <v>27</v>
      </c>
      <c r="K1686">
        <v>930</v>
      </c>
      <c r="L1686">
        <v>416681</v>
      </c>
      <c r="M1686">
        <v>77.997265187954739</v>
      </c>
    </row>
    <row r="1687" spans="1:13" hidden="1" x14ac:dyDescent="0.3">
      <c r="A1687" t="s">
        <v>174</v>
      </c>
      <c r="B1687" t="s">
        <v>91</v>
      </c>
      <c r="C1687" t="s">
        <v>93</v>
      </c>
      <c r="D1687">
        <v>2018</v>
      </c>
      <c r="E1687" t="s">
        <v>31</v>
      </c>
      <c r="F1687" t="s">
        <v>73</v>
      </c>
      <c r="G1687" t="s">
        <v>31</v>
      </c>
      <c r="H1687" t="s">
        <v>27</v>
      </c>
      <c r="I1687" t="s">
        <v>27</v>
      </c>
      <c r="J1687" t="s">
        <v>27</v>
      </c>
      <c r="K1687">
        <v>3004</v>
      </c>
      <c r="L1687" t="s">
        <v>31</v>
      </c>
      <c r="M1687">
        <v>77.997265187954739</v>
      </c>
    </row>
    <row r="1688" spans="1:13" hidden="1" x14ac:dyDescent="0.3">
      <c r="A1688" t="s">
        <v>175</v>
      </c>
      <c r="B1688" t="s">
        <v>39</v>
      </c>
      <c r="C1688" t="s">
        <v>41</v>
      </c>
      <c r="D1688">
        <v>2018</v>
      </c>
      <c r="E1688" t="s">
        <v>31</v>
      </c>
      <c r="F1688" t="s">
        <v>77</v>
      </c>
      <c r="G1688" t="s">
        <v>176</v>
      </c>
      <c r="H1688" t="s">
        <v>27</v>
      </c>
      <c r="I1688" t="s">
        <v>27</v>
      </c>
      <c r="J1688" t="s">
        <v>33</v>
      </c>
      <c r="K1688">
        <v>3000</v>
      </c>
      <c r="L1688" t="s">
        <v>31</v>
      </c>
      <c r="M1688">
        <v>77.997265187954739</v>
      </c>
    </row>
    <row r="1689" spans="1:13" hidden="1" x14ac:dyDescent="0.3">
      <c r="A1689" t="s">
        <v>178</v>
      </c>
      <c r="B1689" t="s">
        <v>28</v>
      </c>
      <c r="C1689" t="s">
        <v>30</v>
      </c>
      <c r="D1689">
        <v>2018</v>
      </c>
      <c r="E1689">
        <v>125000</v>
      </c>
      <c r="F1689" t="s">
        <v>34</v>
      </c>
      <c r="G1689" t="s">
        <v>31</v>
      </c>
      <c r="H1689" t="s">
        <v>27</v>
      </c>
      <c r="I1689" t="s">
        <v>27</v>
      </c>
      <c r="J1689" t="s">
        <v>27</v>
      </c>
      <c r="K1689" t="s">
        <v>31</v>
      </c>
      <c r="L1689">
        <v>160262</v>
      </c>
      <c r="M1689">
        <v>77.997265187954739</v>
      </c>
    </row>
    <row r="1690" spans="1:13" hidden="1" x14ac:dyDescent="0.3">
      <c r="A1690" t="s">
        <v>179</v>
      </c>
      <c r="B1690" t="s">
        <v>91</v>
      </c>
      <c r="C1690" t="s">
        <v>180</v>
      </c>
      <c r="D1690">
        <v>2018</v>
      </c>
      <c r="E1690" t="s">
        <v>31</v>
      </c>
      <c r="F1690" t="s">
        <v>90</v>
      </c>
      <c r="G1690" t="s">
        <v>181</v>
      </c>
      <c r="H1690" t="s">
        <v>33</v>
      </c>
      <c r="I1690" t="s">
        <v>27</v>
      </c>
      <c r="J1690" t="s">
        <v>33</v>
      </c>
      <c r="K1690">
        <v>1714414</v>
      </c>
      <c r="L1690" t="s">
        <v>31</v>
      </c>
      <c r="M1690">
        <v>77.997265187954739</v>
      </c>
    </row>
    <row r="1691" spans="1:13" hidden="1" x14ac:dyDescent="0.3">
      <c r="A1691" t="s">
        <v>182</v>
      </c>
      <c r="B1691" t="s">
        <v>51</v>
      </c>
      <c r="C1691" t="s">
        <v>56</v>
      </c>
      <c r="D1691">
        <v>2018</v>
      </c>
      <c r="E1691" t="s">
        <v>31</v>
      </c>
      <c r="F1691" t="s">
        <v>90</v>
      </c>
      <c r="G1691" t="s">
        <v>31</v>
      </c>
      <c r="H1691" t="s">
        <v>27</v>
      </c>
      <c r="I1691" t="s">
        <v>27</v>
      </c>
      <c r="J1691" t="s">
        <v>27</v>
      </c>
      <c r="K1691">
        <v>76845</v>
      </c>
      <c r="L1691" t="s">
        <v>31</v>
      </c>
      <c r="M1691">
        <v>77.997265187954739</v>
      </c>
    </row>
    <row r="1692" spans="1:13" hidden="1" x14ac:dyDescent="0.3">
      <c r="A1692" t="s">
        <v>187</v>
      </c>
      <c r="B1692" t="s">
        <v>51</v>
      </c>
      <c r="C1692" t="s">
        <v>52</v>
      </c>
      <c r="D1692">
        <v>2018</v>
      </c>
      <c r="E1692" t="s">
        <v>31</v>
      </c>
      <c r="F1692" t="s">
        <v>130</v>
      </c>
      <c r="G1692" t="s">
        <v>31</v>
      </c>
      <c r="H1692" t="s">
        <v>27</v>
      </c>
      <c r="I1692" t="s">
        <v>27</v>
      </c>
      <c r="J1692" t="s">
        <v>27</v>
      </c>
      <c r="K1692">
        <v>45000</v>
      </c>
      <c r="L1692" t="s">
        <v>31</v>
      </c>
      <c r="M1692">
        <v>77.997265187954739</v>
      </c>
    </row>
    <row r="1693" spans="1:13" hidden="1" x14ac:dyDescent="0.3">
      <c r="A1693" t="s">
        <v>191</v>
      </c>
      <c r="B1693" t="s">
        <v>51</v>
      </c>
      <c r="C1693" t="s">
        <v>52</v>
      </c>
      <c r="D1693">
        <v>2018</v>
      </c>
      <c r="E1693" t="s">
        <v>31</v>
      </c>
      <c r="F1693" t="s">
        <v>130</v>
      </c>
      <c r="G1693" t="s">
        <v>31</v>
      </c>
      <c r="H1693" t="s">
        <v>27</v>
      </c>
      <c r="I1693" t="s">
        <v>27</v>
      </c>
      <c r="J1693" t="s">
        <v>27</v>
      </c>
      <c r="K1693">
        <v>17000</v>
      </c>
      <c r="L1693" t="s">
        <v>31</v>
      </c>
      <c r="M1693">
        <v>77.997265187954739</v>
      </c>
    </row>
    <row r="1694" spans="1:13" x14ac:dyDescent="0.3">
      <c r="D1694" s="2" t="s">
        <v>2571</v>
      </c>
      <c r="E1694" s="2">
        <f>SUM(E1613)</f>
        <v>100000</v>
      </c>
    </row>
    <row r="1695" spans="1:13" x14ac:dyDescent="0.3">
      <c r="A1695" t="s">
        <v>1215</v>
      </c>
      <c r="B1695" t="s">
        <v>51</v>
      </c>
      <c r="C1695" t="s">
        <v>52</v>
      </c>
      <c r="D1695">
        <v>2018</v>
      </c>
      <c r="E1695">
        <v>10000</v>
      </c>
      <c r="F1695" t="s">
        <v>119</v>
      </c>
      <c r="G1695" t="s">
        <v>1216</v>
      </c>
      <c r="H1695" t="s">
        <v>27</v>
      </c>
      <c r="I1695" t="s">
        <v>27</v>
      </c>
      <c r="J1695" t="s">
        <v>27</v>
      </c>
      <c r="K1695">
        <v>250</v>
      </c>
      <c r="L1695">
        <v>12821</v>
      </c>
      <c r="M1695">
        <v>77.997265187954739</v>
      </c>
    </row>
    <row r="1696" spans="1:13" hidden="1" x14ac:dyDescent="0.3">
      <c r="A1696" t="s">
        <v>1230</v>
      </c>
      <c r="B1696" t="s">
        <v>28</v>
      </c>
      <c r="C1696" t="s">
        <v>189</v>
      </c>
      <c r="D1696">
        <v>2018</v>
      </c>
      <c r="E1696" t="s">
        <v>31</v>
      </c>
      <c r="F1696" t="s">
        <v>130</v>
      </c>
      <c r="G1696" t="s">
        <v>37</v>
      </c>
      <c r="H1696" t="s">
        <v>27</v>
      </c>
      <c r="I1696" t="s">
        <v>27</v>
      </c>
      <c r="J1696" t="s">
        <v>27</v>
      </c>
      <c r="K1696">
        <v>1200</v>
      </c>
      <c r="L1696" t="s">
        <v>31</v>
      </c>
      <c r="M1696">
        <v>77.997265187954739</v>
      </c>
    </row>
    <row r="1697" spans="1:13" hidden="1" x14ac:dyDescent="0.3">
      <c r="A1697" t="s">
        <v>1231</v>
      </c>
      <c r="B1697" t="s">
        <v>28</v>
      </c>
      <c r="C1697" t="s">
        <v>30</v>
      </c>
      <c r="D1697">
        <v>2018</v>
      </c>
      <c r="E1697" t="s">
        <v>31</v>
      </c>
      <c r="F1697" t="s">
        <v>242</v>
      </c>
      <c r="G1697" t="s">
        <v>1218</v>
      </c>
      <c r="H1697" t="s">
        <v>27</v>
      </c>
      <c r="I1697" t="s">
        <v>27</v>
      </c>
      <c r="J1697" t="s">
        <v>27</v>
      </c>
      <c r="K1697">
        <v>40000</v>
      </c>
      <c r="L1697" t="s">
        <v>31</v>
      </c>
      <c r="M1697">
        <v>77.997265187954739</v>
      </c>
    </row>
    <row r="1698" spans="1:13" hidden="1" x14ac:dyDescent="0.3">
      <c r="A1698" t="s">
        <v>1232</v>
      </c>
      <c r="B1698" t="s">
        <v>28</v>
      </c>
      <c r="C1698" t="s">
        <v>95</v>
      </c>
      <c r="D1698">
        <v>2018</v>
      </c>
      <c r="E1698" t="s">
        <v>31</v>
      </c>
      <c r="F1698" t="s">
        <v>77</v>
      </c>
      <c r="G1698" t="s">
        <v>31</v>
      </c>
      <c r="H1698" t="s">
        <v>27</v>
      </c>
      <c r="I1698" t="s">
        <v>27</v>
      </c>
      <c r="J1698" t="s">
        <v>27</v>
      </c>
      <c r="K1698" t="s">
        <v>31</v>
      </c>
      <c r="L1698" t="s">
        <v>31</v>
      </c>
      <c r="M1698">
        <v>77.997265187954739</v>
      </c>
    </row>
    <row r="1699" spans="1:13" hidden="1" x14ac:dyDescent="0.3">
      <c r="A1699" t="s">
        <v>1233</v>
      </c>
      <c r="B1699" t="s">
        <v>28</v>
      </c>
      <c r="C1699" t="s">
        <v>189</v>
      </c>
      <c r="D1699">
        <v>2018</v>
      </c>
      <c r="E1699">
        <v>1450000</v>
      </c>
      <c r="F1699" t="s">
        <v>34</v>
      </c>
      <c r="G1699" t="s">
        <v>31</v>
      </c>
      <c r="H1699" t="s">
        <v>27</v>
      </c>
      <c r="I1699" t="s">
        <v>27</v>
      </c>
      <c r="J1699" t="s">
        <v>27</v>
      </c>
      <c r="K1699">
        <v>75</v>
      </c>
      <c r="L1699">
        <v>1859040</v>
      </c>
      <c r="M1699">
        <v>77.997265187954739</v>
      </c>
    </row>
    <row r="1700" spans="1:13" hidden="1" x14ac:dyDescent="0.3">
      <c r="A1700" t="s">
        <v>1234</v>
      </c>
      <c r="B1700" t="s">
        <v>28</v>
      </c>
      <c r="C1700" t="s">
        <v>97</v>
      </c>
      <c r="D1700">
        <v>2018</v>
      </c>
      <c r="E1700">
        <v>1500000</v>
      </c>
      <c r="F1700" t="s">
        <v>34</v>
      </c>
      <c r="G1700" t="s">
        <v>302</v>
      </c>
      <c r="H1700" t="s">
        <v>27</v>
      </c>
      <c r="I1700" t="s">
        <v>27</v>
      </c>
      <c r="J1700" t="s">
        <v>27</v>
      </c>
      <c r="K1700" t="s">
        <v>31</v>
      </c>
      <c r="L1700">
        <v>1923144</v>
      </c>
      <c r="M1700">
        <v>77.997265187954739</v>
      </c>
    </row>
    <row r="1701" spans="1:13" hidden="1" x14ac:dyDescent="0.3">
      <c r="A1701" t="s">
        <v>1235</v>
      </c>
      <c r="B1701" t="s">
        <v>51</v>
      </c>
      <c r="C1701" t="s">
        <v>56</v>
      </c>
      <c r="D1701">
        <v>2018</v>
      </c>
      <c r="E1701">
        <v>250000</v>
      </c>
      <c r="F1701" t="s">
        <v>34</v>
      </c>
      <c r="G1701" t="s">
        <v>31</v>
      </c>
      <c r="H1701" t="s">
        <v>27</v>
      </c>
      <c r="I1701" t="s">
        <v>27</v>
      </c>
      <c r="J1701" t="s">
        <v>33</v>
      </c>
      <c r="K1701" t="s">
        <v>31</v>
      </c>
      <c r="L1701">
        <v>320524</v>
      </c>
      <c r="M1701">
        <v>77.997265187954739</v>
      </c>
    </row>
    <row r="1702" spans="1:13" hidden="1" x14ac:dyDescent="0.3">
      <c r="A1702" t="s">
        <v>1236</v>
      </c>
      <c r="B1702" t="s">
        <v>51</v>
      </c>
      <c r="C1702" t="s">
        <v>52</v>
      </c>
      <c r="D1702">
        <v>2018</v>
      </c>
      <c r="E1702" t="s">
        <v>31</v>
      </c>
      <c r="F1702" t="s">
        <v>161</v>
      </c>
      <c r="G1702" t="s">
        <v>54</v>
      </c>
      <c r="H1702" t="s">
        <v>27</v>
      </c>
      <c r="I1702" t="s">
        <v>27</v>
      </c>
      <c r="J1702" t="s">
        <v>27</v>
      </c>
      <c r="K1702">
        <v>125190</v>
      </c>
      <c r="L1702" t="s">
        <v>31</v>
      </c>
      <c r="M1702">
        <v>77.997265187954739</v>
      </c>
    </row>
    <row r="1703" spans="1:13" hidden="1" x14ac:dyDescent="0.3">
      <c r="A1703" t="s">
        <v>1237</v>
      </c>
      <c r="B1703" t="s">
        <v>51</v>
      </c>
      <c r="C1703" t="s">
        <v>52</v>
      </c>
      <c r="D1703">
        <v>2018</v>
      </c>
      <c r="E1703" t="s">
        <v>31</v>
      </c>
      <c r="F1703" t="s">
        <v>49</v>
      </c>
      <c r="G1703" t="s">
        <v>54</v>
      </c>
      <c r="H1703" t="s">
        <v>27</v>
      </c>
      <c r="I1703" t="s">
        <v>27</v>
      </c>
      <c r="J1703" t="s">
        <v>27</v>
      </c>
      <c r="K1703">
        <v>6948</v>
      </c>
      <c r="L1703" t="s">
        <v>31</v>
      </c>
      <c r="M1703">
        <v>77.997265187954739</v>
      </c>
    </row>
    <row r="1704" spans="1:13" hidden="1" x14ac:dyDescent="0.3">
      <c r="A1704" t="s">
        <v>1238</v>
      </c>
      <c r="B1704" t="s">
        <v>51</v>
      </c>
      <c r="C1704" t="s">
        <v>52</v>
      </c>
      <c r="D1704">
        <v>2018</v>
      </c>
      <c r="E1704" t="s">
        <v>31</v>
      </c>
      <c r="F1704" t="s">
        <v>81</v>
      </c>
      <c r="G1704" t="s">
        <v>54</v>
      </c>
      <c r="H1704" t="s">
        <v>27</v>
      </c>
      <c r="I1704" t="s">
        <v>27</v>
      </c>
      <c r="J1704" t="s">
        <v>27</v>
      </c>
      <c r="K1704">
        <v>13000</v>
      </c>
      <c r="L1704" t="s">
        <v>31</v>
      </c>
      <c r="M1704">
        <v>77.997265187954739</v>
      </c>
    </row>
    <row r="1705" spans="1:13" hidden="1" x14ac:dyDescent="0.3">
      <c r="A1705" t="s">
        <v>1239</v>
      </c>
      <c r="B1705" t="s">
        <v>51</v>
      </c>
      <c r="C1705" t="s">
        <v>52</v>
      </c>
      <c r="D1705">
        <v>2018</v>
      </c>
      <c r="E1705">
        <v>3700</v>
      </c>
      <c r="F1705" t="s">
        <v>561</v>
      </c>
      <c r="G1705" t="s">
        <v>54</v>
      </c>
      <c r="H1705" t="s">
        <v>27</v>
      </c>
      <c r="I1705" t="s">
        <v>27</v>
      </c>
      <c r="J1705" t="s">
        <v>33</v>
      </c>
      <c r="K1705">
        <v>150000</v>
      </c>
      <c r="L1705">
        <v>4744</v>
      </c>
      <c r="M1705">
        <v>77.997265187954739</v>
      </c>
    </row>
    <row r="1706" spans="1:13" hidden="1" x14ac:dyDescent="0.3">
      <c r="A1706" t="s">
        <v>1240</v>
      </c>
      <c r="B1706" t="s">
        <v>39</v>
      </c>
      <c r="C1706" t="s">
        <v>41</v>
      </c>
      <c r="D1706">
        <v>2018</v>
      </c>
      <c r="E1706">
        <v>16500000</v>
      </c>
      <c r="F1706" t="s">
        <v>34</v>
      </c>
      <c r="G1706" t="s">
        <v>31</v>
      </c>
      <c r="H1706" t="s">
        <v>27</v>
      </c>
      <c r="I1706" t="s">
        <v>27</v>
      </c>
      <c r="J1706" t="s">
        <v>33</v>
      </c>
      <c r="K1706">
        <v>250000</v>
      </c>
      <c r="L1706">
        <v>21154588</v>
      </c>
      <c r="M1706">
        <v>77.997265187954739</v>
      </c>
    </row>
    <row r="1707" spans="1:13" hidden="1" x14ac:dyDescent="0.3">
      <c r="A1707" t="s">
        <v>1241</v>
      </c>
      <c r="B1707" t="s">
        <v>51</v>
      </c>
      <c r="C1707" t="s">
        <v>52</v>
      </c>
      <c r="D1707">
        <v>2018</v>
      </c>
      <c r="E1707" t="s">
        <v>31</v>
      </c>
      <c r="F1707" t="s">
        <v>117</v>
      </c>
      <c r="G1707" t="s">
        <v>31</v>
      </c>
      <c r="H1707" t="s">
        <v>27</v>
      </c>
      <c r="I1707" t="s">
        <v>27</v>
      </c>
      <c r="J1707" t="s">
        <v>27</v>
      </c>
      <c r="K1707">
        <v>41300</v>
      </c>
      <c r="L1707" t="s">
        <v>31</v>
      </c>
      <c r="M1707">
        <v>77.997265187954739</v>
      </c>
    </row>
    <row r="1708" spans="1:13" hidden="1" x14ac:dyDescent="0.3">
      <c r="A1708" t="s">
        <v>1242</v>
      </c>
      <c r="B1708" t="s">
        <v>39</v>
      </c>
      <c r="C1708" t="s">
        <v>157</v>
      </c>
      <c r="D1708">
        <v>2018</v>
      </c>
      <c r="E1708" t="s">
        <v>31</v>
      </c>
      <c r="F1708" t="s">
        <v>81</v>
      </c>
      <c r="G1708" t="s">
        <v>31</v>
      </c>
      <c r="H1708" t="s">
        <v>27</v>
      </c>
      <c r="I1708" t="s">
        <v>27</v>
      </c>
      <c r="J1708" t="s">
        <v>27</v>
      </c>
      <c r="K1708">
        <v>300000</v>
      </c>
      <c r="L1708" t="s">
        <v>31</v>
      </c>
      <c r="M1708">
        <v>77.997265187954739</v>
      </c>
    </row>
    <row r="1709" spans="1:13" hidden="1" x14ac:dyDescent="0.3">
      <c r="A1709" t="s">
        <v>1615</v>
      </c>
      <c r="B1709" t="s">
        <v>28</v>
      </c>
      <c r="C1709" t="s">
        <v>67</v>
      </c>
      <c r="D1709">
        <v>2018</v>
      </c>
      <c r="E1709">
        <v>2300000</v>
      </c>
      <c r="F1709" t="s">
        <v>34</v>
      </c>
      <c r="G1709" t="s">
        <v>85</v>
      </c>
      <c r="H1709" t="s">
        <v>27</v>
      </c>
      <c r="I1709" t="s">
        <v>27</v>
      </c>
      <c r="J1709" t="s">
        <v>33</v>
      </c>
      <c r="K1709" t="s">
        <v>31</v>
      </c>
      <c r="L1709">
        <v>2948821</v>
      </c>
      <c r="M1709">
        <v>77.997265187954739</v>
      </c>
    </row>
    <row r="1710" spans="1:13" hidden="1" x14ac:dyDescent="0.3">
      <c r="A1710" t="s">
        <v>1845</v>
      </c>
      <c r="B1710" t="s">
        <v>91</v>
      </c>
      <c r="C1710" t="s">
        <v>93</v>
      </c>
      <c r="D1710">
        <v>2018</v>
      </c>
      <c r="E1710" t="s">
        <v>31</v>
      </c>
      <c r="F1710" t="s">
        <v>53</v>
      </c>
      <c r="G1710" t="s">
        <v>31</v>
      </c>
      <c r="H1710" t="s">
        <v>27</v>
      </c>
      <c r="I1710" t="s">
        <v>27</v>
      </c>
      <c r="J1710" t="s">
        <v>27</v>
      </c>
      <c r="K1710">
        <v>9319</v>
      </c>
      <c r="L1710" t="s">
        <v>31</v>
      </c>
      <c r="M1710">
        <v>77.997265187954739</v>
      </c>
    </row>
    <row r="1711" spans="1:13" hidden="1" x14ac:dyDescent="0.3">
      <c r="A1711" t="s">
        <v>1846</v>
      </c>
      <c r="B1711" t="s">
        <v>28</v>
      </c>
      <c r="C1711" t="s">
        <v>67</v>
      </c>
      <c r="D1711">
        <v>2018</v>
      </c>
      <c r="E1711">
        <v>50000</v>
      </c>
      <c r="F1711" t="s">
        <v>34</v>
      </c>
      <c r="G1711" t="s">
        <v>31</v>
      </c>
      <c r="H1711" t="s">
        <v>27</v>
      </c>
      <c r="I1711" t="s">
        <v>27</v>
      </c>
      <c r="J1711" t="s">
        <v>27</v>
      </c>
      <c r="K1711" t="s">
        <v>31</v>
      </c>
      <c r="L1711">
        <v>64105</v>
      </c>
      <c r="M1711">
        <v>77.997265187954739</v>
      </c>
    </row>
    <row r="1712" spans="1:13" hidden="1" x14ac:dyDescent="0.3">
      <c r="A1712" t="s">
        <v>1847</v>
      </c>
      <c r="B1712" t="s">
        <v>51</v>
      </c>
      <c r="C1712" t="s">
        <v>121</v>
      </c>
      <c r="D1712">
        <v>2018</v>
      </c>
      <c r="E1712" t="s">
        <v>31</v>
      </c>
      <c r="F1712" t="s">
        <v>117</v>
      </c>
      <c r="G1712" t="s">
        <v>31</v>
      </c>
      <c r="H1712" t="s">
        <v>27</v>
      </c>
      <c r="I1712" t="s">
        <v>27</v>
      </c>
      <c r="J1712" t="s">
        <v>27</v>
      </c>
      <c r="K1712">
        <v>5000</v>
      </c>
      <c r="L1712" t="s">
        <v>31</v>
      </c>
      <c r="M1712">
        <v>77.997265187954739</v>
      </c>
    </row>
    <row r="1713" spans="1:13" hidden="1" x14ac:dyDescent="0.3">
      <c r="A1713" t="s">
        <v>1848</v>
      </c>
      <c r="B1713" t="s">
        <v>91</v>
      </c>
      <c r="C1713" t="s">
        <v>1779</v>
      </c>
      <c r="D1713">
        <v>2018</v>
      </c>
      <c r="E1713">
        <v>500000</v>
      </c>
      <c r="F1713" t="s">
        <v>34</v>
      </c>
      <c r="G1713" t="s">
        <v>92</v>
      </c>
      <c r="H1713" t="s">
        <v>27</v>
      </c>
      <c r="I1713" t="s">
        <v>27</v>
      </c>
      <c r="J1713" t="s">
        <v>27</v>
      </c>
      <c r="K1713">
        <v>2500</v>
      </c>
      <c r="L1713">
        <v>641048</v>
      </c>
      <c r="M1713">
        <v>77.997265187954739</v>
      </c>
    </row>
    <row r="1714" spans="1:13" hidden="1" x14ac:dyDescent="0.3">
      <c r="A1714" t="s">
        <v>1849</v>
      </c>
      <c r="B1714" t="s">
        <v>51</v>
      </c>
      <c r="C1714" t="s">
        <v>52</v>
      </c>
      <c r="D1714">
        <v>2018</v>
      </c>
      <c r="E1714" t="s">
        <v>31</v>
      </c>
      <c r="F1714" t="s">
        <v>62</v>
      </c>
      <c r="G1714" t="s">
        <v>31</v>
      </c>
      <c r="H1714" t="s">
        <v>27</v>
      </c>
      <c r="I1714" t="s">
        <v>27</v>
      </c>
      <c r="J1714" t="s">
        <v>27</v>
      </c>
      <c r="K1714">
        <v>400</v>
      </c>
      <c r="L1714" t="s">
        <v>31</v>
      </c>
      <c r="M1714">
        <v>77.997265187954739</v>
      </c>
    </row>
    <row r="1715" spans="1:13" hidden="1" x14ac:dyDescent="0.3">
      <c r="A1715" t="s">
        <v>1850</v>
      </c>
      <c r="B1715" t="s">
        <v>28</v>
      </c>
      <c r="C1715" t="s">
        <v>30</v>
      </c>
      <c r="D1715">
        <v>2018</v>
      </c>
      <c r="E1715" t="s">
        <v>31</v>
      </c>
      <c r="F1715" t="s">
        <v>75</v>
      </c>
      <c r="G1715" t="s">
        <v>31</v>
      </c>
      <c r="H1715" t="s">
        <v>27</v>
      </c>
      <c r="I1715" t="s">
        <v>27</v>
      </c>
      <c r="J1715" t="s">
        <v>27</v>
      </c>
      <c r="K1715">
        <v>8000</v>
      </c>
      <c r="L1715" t="s">
        <v>31</v>
      </c>
      <c r="M1715">
        <v>77.997265187954739</v>
      </c>
    </row>
    <row r="1716" spans="1:13" hidden="1" x14ac:dyDescent="0.3">
      <c r="A1716" t="s">
        <v>1851</v>
      </c>
      <c r="B1716" t="s">
        <v>28</v>
      </c>
      <c r="C1716" t="s">
        <v>30</v>
      </c>
      <c r="D1716">
        <v>2018</v>
      </c>
      <c r="E1716" t="s">
        <v>31</v>
      </c>
      <c r="F1716" t="s">
        <v>62</v>
      </c>
      <c r="G1716" t="s">
        <v>82</v>
      </c>
      <c r="H1716" t="s">
        <v>27</v>
      </c>
      <c r="I1716" t="s">
        <v>27</v>
      </c>
      <c r="J1716" t="s">
        <v>27</v>
      </c>
      <c r="K1716" t="s">
        <v>31</v>
      </c>
      <c r="L1716" t="s">
        <v>31</v>
      </c>
      <c r="M1716">
        <v>77.997265187954739</v>
      </c>
    </row>
    <row r="1717" spans="1:13" hidden="1" x14ac:dyDescent="0.3">
      <c r="A1717" t="s">
        <v>1852</v>
      </c>
      <c r="B1717" t="s">
        <v>91</v>
      </c>
      <c r="C1717" t="s">
        <v>93</v>
      </c>
      <c r="D1717">
        <v>2018</v>
      </c>
      <c r="E1717" t="s">
        <v>31</v>
      </c>
      <c r="F1717" t="s">
        <v>45</v>
      </c>
      <c r="G1717" t="s">
        <v>31</v>
      </c>
      <c r="H1717" t="s">
        <v>27</v>
      </c>
      <c r="I1717" t="s">
        <v>27</v>
      </c>
      <c r="J1717" t="s">
        <v>27</v>
      </c>
      <c r="K1717">
        <v>39336</v>
      </c>
      <c r="L1717" t="s">
        <v>31</v>
      </c>
      <c r="M1717">
        <v>77.997265187954739</v>
      </c>
    </row>
    <row r="1718" spans="1:13" hidden="1" x14ac:dyDescent="0.3">
      <c r="A1718" t="s">
        <v>1853</v>
      </c>
      <c r="B1718" t="s">
        <v>51</v>
      </c>
      <c r="C1718" t="s">
        <v>56</v>
      </c>
      <c r="D1718">
        <v>2018</v>
      </c>
      <c r="E1718" t="s">
        <v>31</v>
      </c>
      <c r="F1718" t="s">
        <v>70</v>
      </c>
      <c r="G1718" t="s">
        <v>31</v>
      </c>
      <c r="H1718" t="s">
        <v>27</v>
      </c>
      <c r="I1718" t="s">
        <v>27</v>
      </c>
      <c r="J1718" t="s">
        <v>27</v>
      </c>
      <c r="K1718">
        <v>1000</v>
      </c>
      <c r="L1718" t="s">
        <v>31</v>
      </c>
      <c r="M1718">
        <v>77.997265187954739</v>
      </c>
    </row>
    <row r="1719" spans="1:13" hidden="1" x14ac:dyDescent="0.3">
      <c r="A1719" t="s">
        <v>1854</v>
      </c>
      <c r="B1719" t="s">
        <v>51</v>
      </c>
      <c r="C1719" t="s">
        <v>134</v>
      </c>
      <c r="D1719">
        <v>2018</v>
      </c>
      <c r="E1719" t="s">
        <v>31</v>
      </c>
      <c r="F1719" t="s">
        <v>119</v>
      </c>
      <c r="G1719" t="s">
        <v>31</v>
      </c>
      <c r="H1719" t="s">
        <v>27</v>
      </c>
      <c r="I1719" t="s">
        <v>27</v>
      </c>
      <c r="J1719" t="s">
        <v>27</v>
      </c>
      <c r="K1719">
        <v>300</v>
      </c>
      <c r="L1719" t="s">
        <v>31</v>
      </c>
      <c r="M1719">
        <v>77.997265187954739</v>
      </c>
    </row>
    <row r="1720" spans="1:13" hidden="1" x14ac:dyDescent="0.3">
      <c r="A1720" t="s">
        <v>1855</v>
      </c>
      <c r="B1720" t="s">
        <v>28</v>
      </c>
      <c r="C1720" t="s">
        <v>30</v>
      </c>
      <c r="D1720">
        <v>2018</v>
      </c>
      <c r="E1720">
        <v>7005</v>
      </c>
      <c r="F1720" t="s">
        <v>73</v>
      </c>
      <c r="G1720" t="s">
        <v>37</v>
      </c>
      <c r="H1720" t="s">
        <v>27</v>
      </c>
      <c r="I1720" t="s">
        <v>27</v>
      </c>
      <c r="J1720" t="s">
        <v>27</v>
      </c>
      <c r="K1720" t="s">
        <v>31</v>
      </c>
      <c r="L1720">
        <v>8981</v>
      </c>
      <c r="M1720">
        <v>77.997265187954739</v>
      </c>
    </row>
    <row r="1721" spans="1:13" hidden="1" x14ac:dyDescent="0.3">
      <c r="A1721" t="s">
        <v>1856</v>
      </c>
      <c r="B1721" t="s">
        <v>28</v>
      </c>
      <c r="C1721" t="s">
        <v>67</v>
      </c>
      <c r="D1721">
        <v>2018</v>
      </c>
      <c r="E1721">
        <v>150000</v>
      </c>
      <c r="F1721" t="s">
        <v>34</v>
      </c>
      <c r="G1721" t="s">
        <v>37</v>
      </c>
      <c r="H1721" t="s">
        <v>27</v>
      </c>
      <c r="I1721" t="s">
        <v>27</v>
      </c>
      <c r="J1721" t="s">
        <v>27</v>
      </c>
      <c r="K1721" t="s">
        <v>31</v>
      </c>
      <c r="L1721">
        <v>192314</v>
      </c>
      <c r="M1721">
        <v>77.997265187954739</v>
      </c>
    </row>
    <row r="1722" spans="1:13" hidden="1" x14ac:dyDescent="0.3">
      <c r="A1722" t="s">
        <v>1857</v>
      </c>
      <c r="B1722" t="s">
        <v>39</v>
      </c>
      <c r="C1722" t="s">
        <v>142</v>
      </c>
      <c r="D1722">
        <v>2018</v>
      </c>
      <c r="E1722">
        <v>5200000</v>
      </c>
      <c r="F1722" t="s">
        <v>34</v>
      </c>
      <c r="G1722" t="s">
        <v>31</v>
      </c>
      <c r="H1722" t="s">
        <v>27</v>
      </c>
      <c r="I1722" t="s">
        <v>27</v>
      </c>
      <c r="J1722" t="s">
        <v>27</v>
      </c>
      <c r="K1722">
        <v>3</v>
      </c>
      <c r="L1722">
        <v>6666900</v>
      </c>
      <c r="M1722">
        <v>77.997265187954739</v>
      </c>
    </row>
    <row r="1723" spans="1:13" hidden="1" x14ac:dyDescent="0.3">
      <c r="A1723" t="s">
        <v>1858</v>
      </c>
      <c r="B1723" t="s">
        <v>43</v>
      </c>
      <c r="C1723" t="s">
        <v>114</v>
      </c>
      <c r="D1723">
        <v>2018</v>
      </c>
      <c r="E1723" t="s">
        <v>31</v>
      </c>
      <c r="F1723" t="s">
        <v>111</v>
      </c>
      <c r="G1723" t="s">
        <v>31</v>
      </c>
      <c r="H1723" t="s">
        <v>27</v>
      </c>
      <c r="I1723" t="s">
        <v>27</v>
      </c>
      <c r="J1723" t="s">
        <v>27</v>
      </c>
      <c r="K1723">
        <v>1428</v>
      </c>
      <c r="L1723" t="s">
        <v>31</v>
      </c>
      <c r="M1723">
        <v>77.997265187954739</v>
      </c>
    </row>
    <row r="1724" spans="1:13" hidden="1" x14ac:dyDescent="0.3">
      <c r="A1724" t="s">
        <v>1859</v>
      </c>
      <c r="B1724" t="s">
        <v>39</v>
      </c>
      <c r="C1724" t="s">
        <v>157</v>
      </c>
      <c r="D1724">
        <v>2018</v>
      </c>
      <c r="E1724">
        <v>44669</v>
      </c>
      <c r="F1724" t="s">
        <v>90</v>
      </c>
      <c r="G1724" t="s">
        <v>31</v>
      </c>
      <c r="H1724" t="s">
        <v>27</v>
      </c>
      <c r="I1724" t="s">
        <v>27</v>
      </c>
      <c r="J1724" t="s">
        <v>27</v>
      </c>
      <c r="K1724">
        <v>1500000</v>
      </c>
      <c r="L1724">
        <v>57270</v>
      </c>
      <c r="M1724">
        <v>77.997265187954739</v>
      </c>
    </row>
    <row r="1725" spans="1:13" hidden="1" x14ac:dyDescent="0.3">
      <c r="A1725" t="s">
        <v>2398</v>
      </c>
      <c r="B1725" t="s">
        <v>39</v>
      </c>
      <c r="C1725" t="s">
        <v>157</v>
      </c>
      <c r="D1725">
        <v>2018</v>
      </c>
      <c r="E1725">
        <v>72000</v>
      </c>
      <c r="F1725" t="s">
        <v>166</v>
      </c>
      <c r="G1725" t="s">
        <v>31</v>
      </c>
      <c r="H1725" t="s">
        <v>27</v>
      </c>
      <c r="I1725" t="s">
        <v>27</v>
      </c>
      <c r="J1725" t="s">
        <v>27</v>
      </c>
      <c r="K1725" t="s">
        <v>31</v>
      </c>
      <c r="L1725">
        <v>92311</v>
      </c>
      <c r="M1725">
        <v>77.997265187954739</v>
      </c>
    </row>
    <row r="1726" spans="1:13" x14ac:dyDescent="0.3">
      <c r="A1726" t="s">
        <v>2503</v>
      </c>
      <c r="B1726" t="s">
        <v>51</v>
      </c>
      <c r="C1726" t="s">
        <v>52</v>
      </c>
      <c r="D1726">
        <v>2018</v>
      </c>
      <c r="E1726">
        <v>43000</v>
      </c>
      <c r="F1726" t="s">
        <v>119</v>
      </c>
      <c r="G1726" t="s">
        <v>31</v>
      </c>
      <c r="H1726" t="s">
        <v>27</v>
      </c>
      <c r="I1726" t="s">
        <v>27</v>
      </c>
      <c r="J1726" t="s">
        <v>27</v>
      </c>
      <c r="K1726">
        <v>1000</v>
      </c>
      <c r="L1726">
        <v>55130</v>
      </c>
      <c r="M1726">
        <v>77.997265187954739</v>
      </c>
    </row>
    <row r="1727" spans="1:13" hidden="1" x14ac:dyDescent="0.3">
      <c r="A1727" t="s">
        <v>2516</v>
      </c>
      <c r="B1727" t="s">
        <v>28</v>
      </c>
      <c r="C1727" t="s">
        <v>189</v>
      </c>
      <c r="D1727">
        <v>2018</v>
      </c>
      <c r="E1727">
        <v>1300000</v>
      </c>
      <c r="F1727" t="s">
        <v>34</v>
      </c>
      <c r="G1727" t="s">
        <v>65</v>
      </c>
      <c r="H1727" t="s">
        <v>27</v>
      </c>
      <c r="I1727" t="s">
        <v>27</v>
      </c>
      <c r="J1727" t="s">
        <v>27</v>
      </c>
      <c r="K1727" t="s">
        <v>31</v>
      </c>
      <c r="L1727">
        <v>1666725</v>
      </c>
      <c r="M1727">
        <v>77.997265187954739</v>
      </c>
    </row>
    <row r="1728" spans="1:13" hidden="1" x14ac:dyDescent="0.3">
      <c r="A1728" t="s">
        <v>2525</v>
      </c>
      <c r="B1728" t="s">
        <v>51</v>
      </c>
      <c r="C1728" t="s">
        <v>150</v>
      </c>
      <c r="D1728">
        <v>2018</v>
      </c>
      <c r="E1728">
        <v>900000</v>
      </c>
      <c r="F1728" t="s">
        <v>34</v>
      </c>
      <c r="G1728" t="s">
        <v>37</v>
      </c>
      <c r="H1728" t="s">
        <v>27</v>
      </c>
      <c r="I1728" t="s">
        <v>27</v>
      </c>
      <c r="J1728" t="s">
        <v>27</v>
      </c>
      <c r="K1728">
        <v>1366</v>
      </c>
      <c r="L1728">
        <v>1153887</v>
      </c>
      <c r="M1728">
        <v>77.997265187954739</v>
      </c>
    </row>
    <row r="1729" spans="1:13" hidden="1" x14ac:dyDescent="0.3">
      <c r="A1729" t="s">
        <v>2526</v>
      </c>
      <c r="B1729" t="s">
        <v>51</v>
      </c>
      <c r="C1729" t="s">
        <v>52</v>
      </c>
      <c r="D1729">
        <v>2018</v>
      </c>
      <c r="E1729">
        <v>125000</v>
      </c>
      <c r="F1729" t="s">
        <v>34</v>
      </c>
      <c r="G1729" t="s">
        <v>54</v>
      </c>
      <c r="H1729" t="s">
        <v>27</v>
      </c>
      <c r="I1729" t="s">
        <v>27</v>
      </c>
      <c r="J1729" t="s">
        <v>33</v>
      </c>
      <c r="K1729">
        <v>1596</v>
      </c>
      <c r="L1729">
        <v>160262</v>
      </c>
      <c r="M1729">
        <v>77.997265187954739</v>
      </c>
    </row>
    <row r="1730" spans="1:13" hidden="1" x14ac:dyDescent="0.3">
      <c r="A1730" t="s">
        <v>2527</v>
      </c>
      <c r="B1730" t="s">
        <v>28</v>
      </c>
      <c r="C1730" t="s">
        <v>67</v>
      </c>
      <c r="D1730">
        <v>2018</v>
      </c>
      <c r="E1730">
        <v>1000000</v>
      </c>
      <c r="F1730" t="s">
        <v>34</v>
      </c>
      <c r="G1730" t="s">
        <v>68</v>
      </c>
      <c r="H1730" t="s">
        <v>27</v>
      </c>
      <c r="I1730" t="s">
        <v>27</v>
      </c>
      <c r="J1730" t="s">
        <v>27</v>
      </c>
      <c r="K1730" t="s">
        <v>31</v>
      </c>
      <c r="L1730">
        <v>1282096</v>
      </c>
      <c r="M1730">
        <v>77.997265187954739</v>
      </c>
    </row>
    <row r="1731" spans="1:13" hidden="1" x14ac:dyDescent="0.3">
      <c r="A1731" t="s">
        <v>2528</v>
      </c>
      <c r="B1731" t="s">
        <v>51</v>
      </c>
      <c r="C1731" t="s">
        <v>56</v>
      </c>
      <c r="D1731">
        <v>2018</v>
      </c>
      <c r="E1731" t="s">
        <v>31</v>
      </c>
      <c r="F1731" t="s">
        <v>111</v>
      </c>
      <c r="G1731" t="s">
        <v>54</v>
      </c>
      <c r="H1731" t="s">
        <v>27</v>
      </c>
      <c r="I1731" t="s">
        <v>27</v>
      </c>
      <c r="J1731" t="s">
        <v>27</v>
      </c>
      <c r="K1731">
        <v>12186</v>
      </c>
      <c r="L1731" t="s">
        <v>31</v>
      </c>
      <c r="M1731">
        <v>77.997265187954739</v>
      </c>
    </row>
    <row r="1732" spans="1:13" hidden="1" x14ac:dyDescent="0.3">
      <c r="A1732" t="s">
        <v>2529</v>
      </c>
      <c r="B1732" t="s">
        <v>51</v>
      </c>
      <c r="C1732" t="s">
        <v>52</v>
      </c>
      <c r="D1732">
        <v>2018</v>
      </c>
      <c r="E1732" t="s">
        <v>31</v>
      </c>
      <c r="F1732" t="s">
        <v>47</v>
      </c>
      <c r="G1732" t="s">
        <v>29</v>
      </c>
      <c r="H1732" t="s">
        <v>27</v>
      </c>
      <c r="I1732" t="s">
        <v>27</v>
      </c>
      <c r="J1732" t="s">
        <v>27</v>
      </c>
      <c r="K1732" t="s">
        <v>31</v>
      </c>
      <c r="L1732" t="s">
        <v>31</v>
      </c>
      <c r="M1732">
        <v>77.997265187954739</v>
      </c>
    </row>
    <row r="1733" spans="1:13" hidden="1" x14ac:dyDescent="0.3">
      <c r="A1733" t="s">
        <v>2530</v>
      </c>
      <c r="B1733" t="s">
        <v>51</v>
      </c>
      <c r="C1733" t="s">
        <v>52</v>
      </c>
      <c r="D1733">
        <v>2018</v>
      </c>
      <c r="E1733" t="s">
        <v>31</v>
      </c>
      <c r="F1733" t="s">
        <v>77</v>
      </c>
      <c r="G1733" t="s">
        <v>31</v>
      </c>
      <c r="H1733" t="s">
        <v>27</v>
      </c>
      <c r="I1733" t="s">
        <v>27</v>
      </c>
      <c r="J1733" t="s">
        <v>27</v>
      </c>
      <c r="K1733">
        <v>4000</v>
      </c>
      <c r="L1733" t="s">
        <v>31</v>
      </c>
      <c r="M1733">
        <v>77.997265187954739</v>
      </c>
    </row>
    <row r="1734" spans="1:13" hidden="1" x14ac:dyDescent="0.3">
      <c r="A1734" t="s">
        <v>2531</v>
      </c>
      <c r="B1734" t="s">
        <v>51</v>
      </c>
      <c r="C1734" t="s">
        <v>52</v>
      </c>
      <c r="D1734">
        <v>2018</v>
      </c>
      <c r="E1734" t="s">
        <v>31</v>
      </c>
      <c r="F1734" t="s">
        <v>75</v>
      </c>
      <c r="G1734" t="s">
        <v>31</v>
      </c>
      <c r="H1734" t="s">
        <v>27</v>
      </c>
      <c r="I1734" t="s">
        <v>27</v>
      </c>
      <c r="J1734" t="s">
        <v>27</v>
      </c>
      <c r="K1734">
        <v>7390</v>
      </c>
      <c r="L1734" t="s">
        <v>31</v>
      </c>
      <c r="M1734">
        <v>77.997265187954739</v>
      </c>
    </row>
    <row r="1735" spans="1:13" hidden="1" x14ac:dyDescent="0.3">
      <c r="A1735" t="s">
        <v>2532</v>
      </c>
      <c r="B1735" t="s">
        <v>39</v>
      </c>
      <c r="C1735" t="s">
        <v>41</v>
      </c>
      <c r="D1735">
        <v>2018</v>
      </c>
      <c r="E1735">
        <v>1000000</v>
      </c>
      <c r="F1735" t="s">
        <v>34</v>
      </c>
      <c r="G1735" t="s">
        <v>176</v>
      </c>
      <c r="H1735" t="s">
        <v>27</v>
      </c>
      <c r="I1735" t="s">
        <v>27</v>
      </c>
      <c r="J1735" t="s">
        <v>27</v>
      </c>
      <c r="K1735">
        <v>3237</v>
      </c>
      <c r="L1735">
        <v>1282096</v>
      </c>
      <c r="M1735">
        <v>77.997265187954739</v>
      </c>
    </row>
    <row r="1736" spans="1:13" hidden="1" x14ac:dyDescent="0.3">
      <c r="A1736" t="s">
        <v>2533</v>
      </c>
      <c r="B1736" t="s">
        <v>51</v>
      </c>
      <c r="C1736" t="s">
        <v>52</v>
      </c>
      <c r="D1736">
        <v>2018</v>
      </c>
      <c r="E1736" t="s">
        <v>31</v>
      </c>
      <c r="F1736" t="s">
        <v>70</v>
      </c>
      <c r="G1736" t="s">
        <v>31</v>
      </c>
      <c r="H1736" t="s">
        <v>27</v>
      </c>
      <c r="I1736" t="s">
        <v>27</v>
      </c>
      <c r="J1736" t="s">
        <v>27</v>
      </c>
      <c r="K1736">
        <v>9700</v>
      </c>
      <c r="L1736" t="s">
        <v>31</v>
      </c>
      <c r="M1736">
        <v>77.997265187954739</v>
      </c>
    </row>
    <row r="1737" spans="1:13" hidden="1" x14ac:dyDescent="0.3">
      <c r="A1737" t="s">
        <v>2534</v>
      </c>
      <c r="B1737" t="s">
        <v>91</v>
      </c>
      <c r="C1737" t="s">
        <v>93</v>
      </c>
      <c r="D1737">
        <v>2018</v>
      </c>
      <c r="E1737" t="s">
        <v>31</v>
      </c>
      <c r="F1737" t="s">
        <v>115</v>
      </c>
      <c r="G1737" t="s">
        <v>54</v>
      </c>
      <c r="H1737" t="s">
        <v>27</v>
      </c>
      <c r="I1737" t="s">
        <v>27</v>
      </c>
      <c r="J1737" t="s">
        <v>27</v>
      </c>
      <c r="K1737">
        <v>2500</v>
      </c>
      <c r="L1737" t="s">
        <v>31</v>
      </c>
      <c r="M1737">
        <v>77.997265187954739</v>
      </c>
    </row>
    <row r="1738" spans="1:13" hidden="1" x14ac:dyDescent="0.3">
      <c r="A1738" t="s">
        <v>2535</v>
      </c>
      <c r="B1738" t="s">
        <v>28</v>
      </c>
      <c r="C1738" t="s">
        <v>30</v>
      </c>
      <c r="D1738">
        <v>2018</v>
      </c>
      <c r="E1738">
        <v>14000000</v>
      </c>
      <c r="F1738" t="s">
        <v>34</v>
      </c>
      <c r="G1738" t="s">
        <v>37</v>
      </c>
      <c r="H1738" t="s">
        <v>27</v>
      </c>
      <c r="I1738" t="s">
        <v>27</v>
      </c>
      <c r="J1738" t="s">
        <v>33</v>
      </c>
      <c r="K1738">
        <v>1500000</v>
      </c>
      <c r="L1738">
        <v>17949347</v>
      </c>
      <c r="M1738">
        <v>77.997265187954739</v>
      </c>
    </row>
    <row r="1739" spans="1:13" hidden="1" x14ac:dyDescent="0.3">
      <c r="A1739" t="s">
        <v>2536</v>
      </c>
      <c r="B1739" t="s">
        <v>28</v>
      </c>
      <c r="C1739" t="s">
        <v>99</v>
      </c>
      <c r="D1739">
        <v>2018</v>
      </c>
      <c r="E1739">
        <v>1000000</v>
      </c>
      <c r="F1739" t="s">
        <v>34</v>
      </c>
      <c r="G1739" t="s">
        <v>65</v>
      </c>
      <c r="H1739" t="s">
        <v>27</v>
      </c>
      <c r="I1739" t="s">
        <v>27</v>
      </c>
      <c r="J1739" t="s">
        <v>27</v>
      </c>
      <c r="K1739">
        <v>18</v>
      </c>
      <c r="L1739">
        <v>1282096</v>
      </c>
      <c r="M1739">
        <v>77.997265187954739</v>
      </c>
    </row>
    <row r="1740" spans="1:13" hidden="1" x14ac:dyDescent="0.3">
      <c r="A1740" t="s">
        <v>2537</v>
      </c>
      <c r="B1740" t="s">
        <v>51</v>
      </c>
      <c r="C1740" t="s">
        <v>56</v>
      </c>
      <c r="D1740">
        <v>2018</v>
      </c>
      <c r="E1740" t="s">
        <v>31</v>
      </c>
      <c r="F1740" t="s">
        <v>73</v>
      </c>
      <c r="G1740" t="s">
        <v>31</v>
      </c>
      <c r="H1740" t="s">
        <v>27</v>
      </c>
      <c r="I1740" t="s">
        <v>27</v>
      </c>
      <c r="J1740" t="s">
        <v>27</v>
      </c>
      <c r="K1740">
        <v>120</v>
      </c>
      <c r="L1740" t="s">
        <v>31</v>
      </c>
      <c r="M1740">
        <v>77.997265187954739</v>
      </c>
    </row>
    <row r="1741" spans="1:13" hidden="1" x14ac:dyDescent="0.3">
      <c r="A1741" t="s">
        <v>2538</v>
      </c>
      <c r="B1741" t="s">
        <v>28</v>
      </c>
      <c r="C1741" t="s">
        <v>30</v>
      </c>
      <c r="D1741">
        <v>2018</v>
      </c>
      <c r="E1741" t="s">
        <v>31</v>
      </c>
      <c r="F1741" t="s">
        <v>242</v>
      </c>
      <c r="G1741" t="s">
        <v>31</v>
      </c>
      <c r="H1741" t="s">
        <v>27</v>
      </c>
      <c r="I1741" t="s">
        <v>27</v>
      </c>
      <c r="J1741" t="s">
        <v>27</v>
      </c>
      <c r="K1741">
        <v>540</v>
      </c>
      <c r="L1741" t="s">
        <v>31</v>
      </c>
      <c r="M1741">
        <v>77.997265187954739</v>
      </c>
    </row>
    <row r="1742" spans="1:13" hidden="1" x14ac:dyDescent="0.3">
      <c r="A1742" t="s">
        <v>2539</v>
      </c>
      <c r="B1742" t="s">
        <v>28</v>
      </c>
      <c r="C1742" t="s">
        <v>30</v>
      </c>
      <c r="D1742">
        <v>2018</v>
      </c>
      <c r="E1742">
        <v>16000000</v>
      </c>
      <c r="F1742" t="s">
        <v>34</v>
      </c>
      <c r="G1742" t="s">
        <v>87</v>
      </c>
      <c r="H1742" t="s">
        <v>27</v>
      </c>
      <c r="I1742" t="s">
        <v>27</v>
      </c>
      <c r="J1742" t="s">
        <v>27</v>
      </c>
      <c r="K1742">
        <v>5000</v>
      </c>
      <c r="L1742">
        <v>20513540</v>
      </c>
      <c r="M1742">
        <v>77.997265187954739</v>
      </c>
    </row>
    <row r="1743" spans="1:13" hidden="1" x14ac:dyDescent="0.3">
      <c r="A1743" t="s">
        <v>2540</v>
      </c>
      <c r="B1743" t="s">
        <v>51</v>
      </c>
      <c r="C1743" t="s">
        <v>52</v>
      </c>
      <c r="D1743">
        <v>2018</v>
      </c>
      <c r="E1743" t="s">
        <v>31</v>
      </c>
      <c r="F1743" t="s">
        <v>90</v>
      </c>
      <c r="G1743" t="s">
        <v>54</v>
      </c>
      <c r="H1743" t="s">
        <v>27</v>
      </c>
      <c r="I1743" t="s">
        <v>27</v>
      </c>
      <c r="J1743" t="s">
        <v>27</v>
      </c>
      <c r="K1743">
        <v>100</v>
      </c>
      <c r="L1743" t="s">
        <v>31</v>
      </c>
      <c r="M1743">
        <v>77.997265187954739</v>
      </c>
    </row>
    <row r="1744" spans="1:13" hidden="1" x14ac:dyDescent="0.3">
      <c r="A1744" t="s">
        <v>2541</v>
      </c>
      <c r="B1744" t="s">
        <v>51</v>
      </c>
      <c r="C1744" t="s">
        <v>52</v>
      </c>
      <c r="D1744">
        <v>2018</v>
      </c>
      <c r="E1744" t="s">
        <v>31</v>
      </c>
      <c r="F1744" t="s">
        <v>115</v>
      </c>
      <c r="G1744" t="s">
        <v>54</v>
      </c>
      <c r="H1744" t="s">
        <v>27</v>
      </c>
      <c r="I1744" t="s">
        <v>27</v>
      </c>
      <c r="J1744" t="s">
        <v>27</v>
      </c>
      <c r="K1744">
        <v>7099</v>
      </c>
      <c r="L1744" t="s">
        <v>31</v>
      </c>
      <c r="M1744">
        <v>77.997265187954739</v>
      </c>
    </row>
    <row r="1745" spans="1:13" hidden="1" x14ac:dyDescent="0.3">
      <c r="A1745" t="s">
        <v>2542</v>
      </c>
      <c r="B1745" t="s">
        <v>51</v>
      </c>
      <c r="C1745" t="s">
        <v>56</v>
      </c>
      <c r="D1745">
        <v>2018</v>
      </c>
      <c r="E1745" t="s">
        <v>31</v>
      </c>
      <c r="F1745" t="s">
        <v>130</v>
      </c>
      <c r="G1745" t="s">
        <v>29</v>
      </c>
      <c r="H1745" t="s">
        <v>27</v>
      </c>
      <c r="I1745" t="s">
        <v>27</v>
      </c>
      <c r="J1745" t="s">
        <v>27</v>
      </c>
      <c r="K1745">
        <v>1420</v>
      </c>
      <c r="L1745" t="s">
        <v>31</v>
      </c>
      <c r="M1745">
        <v>77.997265187954739</v>
      </c>
    </row>
    <row r="1746" spans="1:13" hidden="1" x14ac:dyDescent="0.3">
      <c r="A1746" t="s">
        <v>2543</v>
      </c>
      <c r="B1746" t="s">
        <v>51</v>
      </c>
      <c r="C1746" t="s">
        <v>52</v>
      </c>
      <c r="D1746">
        <v>2018</v>
      </c>
      <c r="E1746" t="s">
        <v>31</v>
      </c>
      <c r="F1746" t="s">
        <v>47</v>
      </c>
      <c r="G1746" t="s">
        <v>54</v>
      </c>
      <c r="H1746" t="s">
        <v>27</v>
      </c>
      <c r="I1746" t="s">
        <v>27</v>
      </c>
      <c r="J1746" t="s">
        <v>27</v>
      </c>
      <c r="K1746">
        <v>60000</v>
      </c>
      <c r="L1746" t="s">
        <v>31</v>
      </c>
      <c r="M1746">
        <v>77.997265187954739</v>
      </c>
    </row>
    <row r="1747" spans="1:13" hidden="1" x14ac:dyDescent="0.3">
      <c r="A1747" t="s">
        <v>2544</v>
      </c>
      <c r="B1747" t="s">
        <v>28</v>
      </c>
      <c r="C1747" t="s">
        <v>30</v>
      </c>
      <c r="D1747">
        <v>2018</v>
      </c>
      <c r="E1747">
        <v>536800</v>
      </c>
      <c r="F1747" t="s">
        <v>73</v>
      </c>
      <c r="G1747" t="s">
        <v>31</v>
      </c>
      <c r="H1747" t="s">
        <v>27</v>
      </c>
      <c r="I1747" t="s">
        <v>27</v>
      </c>
      <c r="J1747" t="s">
        <v>27</v>
      </c>
      <c r="K1747">
        <v>10000</v>
      </c>
      <c r="L1747">
        <v>688229</v>
      </c>
      <c r="M1747">
        <v>77.997265187954739</v>
      </c>
    </row>
    <row r="1748" spans="1:13" hidden="1" x14ac:dyDescent="0.3">
      <c r="A1748" t="s">
        <v>2545</v>
      </c>
      <c r="B1748" t="s">
        <v>39</v>
      </c>
      <c r="C1748" t="s">
        <v>157</v>
      </c>
      <c r="D1748">
        <v>2018</v>
      </c>
      <c r="E1748">
        <v>500000</v>
      </c>
      <c r="F1748" t="s">
        <v>57</v>
      </c>
      <c r="G1748" t="s">
        <v>31</v>
      </c>
      <c r="H1748" t="s">
        <v>27</v>
      </c>
      <c r="I1748" t="s">
        <v>27</v>
      </c>
      <c r="J1748" t="s">
        <v>33</v>
      </c>
      <c r="K1748">
        <v>75000</v>
      </c>
      <c r="L1748">
        <v>641048</v>
      </c>
      <c r="M1748">
        <v>77.997265187954739</v>
      </c>
    </row>
    <row r="1749" spans="1:13" hidden="1" x14ac:dyDescent="0.3">
      <c r="A1749" t="s">
        <v>50</v>
      </c>
      <c r="B1749" t="s">
        <v>51</v>
      </c>
      <c r="C1749" t="s">
        <v>52</v>
      </c>
      <c r="D1749">
        <v>2019</v>
      </c>
      <c r="E1749" t="s">
        <v>31</v>
      </c>
      <c r="F1749" t="s">
        <v>53</v>
      </c>
      <c r="G1749" t="s">
        <v>54</v>
      </c>
      <c r="H1749" t="s">
        <v>27</v>
      </c>
      <c r="I1749" t="s">
        <v>27</v>
      </c>
      <c r="J1749" t="s">
        <v>27</v>
      </c>
      <c r="K1749">
        <v>900</v>
      </c>
      <c r="L1749" t="s">
        <v>31</v>
      </c>
      <c r="M1749">
        <v>79.410784604337209</v>
      </c>
    </row>
    <row r="1750" spans="1:13" hidden="1" x14ac:dyDescent="0.3">
      <c r="A1750" t="s">
        <v>58</v>
      </c>
      <c r="B1750" t="s">
        <v>39</v>
      </c>
      <c r="C1750" t="s">
        <v>59</v>
      </c>
      <c r="D1750">
        <v>2019</v>
      </c>
      <c r="E1750" t="s">
        <v>31</v>
      </c>
      <c r="F1750" t="s">
        <v>60</v>
      </c>
      <c r="G1750" t="s">
        <v>31</v>
      </c>
      <c r="H1750" t="s">
        <v>27</v>
      </c>
      <c r="I1750" t="s">
        <v>27</v>
      </c>
      <c r="J1750" t="s">
        <v>33</v>
      </c>
      <c r="K1750">
        <v>747</v>
      </c>
      <c r="L1750" t="s">
        <v>31</v>
      </c>
      <c r="M1750">
        <v>79.410784604337209</v>
      </c>
    </row>
    <row r="1751" spans="1:13" hidden="1" x14ac:dyDescent="0.3">
      <c r="A1751" t="s">
        <v>63</v>
      </c>
      <c r="B1751" t="s">
        <v>28</v>
      </c>
      <c r="C1751" t="s">
        <v>64</v>
      </c>
      <c r="D1751">
        <v>2019</v>
      </c>
      <c r="E1751">
        <v>235000</v>
      </c>
      <c r="F1751" t="s">
        <v>34</v>
      </c>
      <c r="G1751" t="s">
        <v>65</v>
      </c>
      <c r="H1751" t="s">
        <v>27</v>
      </c>
      <c r="I1751" t="s">
        <v>27</v>
      </c>
      <c r="J1751" t="s">
        <v>27</v>
      </c>
      <c r="K1751" t="s">
        <v>31</v>
      </c>
      <c r="L1751">
        <v>295930</v>
      </c>
      <c r="M1751">
        <v>79.410784604337209</v>
      </c>
    </row>
    <row r="1752" spans="1:13" hidden="1" x14ac:dyDescent="0.3">
      <c r="A1752" t="s">
        <v>69</v>
      </c>
      <c r="B1752" t="s">
        <v>51</v>
      </c>
      <c r="C1752" t="s">
        <v>52</v>
      </c>
      <c r="D1752">
        <v>2019</v>
      </c>
      <c r="E1752" t="s">
        <v>31</v>
      </c>
      <c r="F1752" t="s">
        <v>70</v>
      </c>
      <c r="G1752" t="s">
        <v>31</v>
      </c>
      <c r="H1752" t="s">
        <v>27</v>
      </c>
      <c r="I1752" t="s">
        <v>27</v>
      </c>
      <c r="J1752" t="s">
        <v>27</v>
      </c>
      <c r="K1752">
        <v>2000</v>
      </c>
      <c r="L1752" t="s">
        <v>31</v>
      </c>
      <c r="M1752">
        <v>79.410784604337209</v>
      </c>
    </row>
    <row r="1753" spans="1:13" hidden="1" x14ac:dyDescent="0.3">
      <c r="A1753" t="s">
        <v>71</v>
      </c>
      <c r="B1753" t="s">
        <v>51</v>
      </c>
      <c r="C1753" t="s">
        <v>52</v>
      </c>
      <c r="D1753">
        <v>2019</v>
      </c>
      <c r="E1753" t="s">
        <v>31</v>
      </c>
      <c r="F1753" t="s">
        <v>47</v>
      </c>
      <c r="G1753" t="s">
        <v>31</v>
      </c>
      <c r="H1753" t="s">
        <v>27</v>
      </c>
      <c r="I1753" t="s">
        <v>27</v>
      </c>
      <c r="J1753" t="s">
        <v>27</v>
      </c>
      <c r="K1753">
        <v>6000</v>
      </c>
      <c r="L1753" t="s">
        <v>31</v>
      </c>
      <c r="M1753">
        <v>79.410784604337209</v>
      </c>
    </row>
    <row r="1754" spans="1:13" hidden="1" x14ac:dyDescent="0.3">
      <c r="A1754" t="s">
        <v>76</v>
      </c>
      <c r="B1754" t="s">
        <v>28</v>
      </c>
      <c r="C1754" t="s">
        <v>64</v>
      </c>
      <c r="D1754">
        <v>2019</v>
      </c>
      <c r="E1754">
        <v>275000</v>
      </c>
      <c r="F1754" t="s">
        <v>77</v>
      </c>
      <c r="G1754" t="s">
        <v>37</v>
      </c>
      <c r="H1754" t="s">
        <v>27</v>
      </c>
      <c r="I1754" t="s">
        <v>27</v>
      </c>
      <c r="J1754" t="s">
        <v>27</v>
      </c>
      <c r="K1754" t="s">
        <v>31</v>
      </c>
      <c r="L1754">
        <v>346301</v>
      </c>
      <c r="M1754">
        <v>79.410784604337209</v>
      </c>
    </row>
    <row r="1755" spans="1:13" hidden="1" x14ac:dyDescent="0.3">
      <c r="A1755" t="s">
        <v>79</v>
      </c>
      <c r="B1755" t="s">
        <v>39</v>
      </c>
      <c r="C1755" t="s">
        <v>41</v>
      </c>
      <c r="D1755">
        <v>2019</v>
      </c>
      <c r="E1755">
        <v>325000</v>
      </c>
      <c r="F1755" t="s">
        <v>34</v>
      </c>
      <c r="G1755" t="s">
        <v>31</v>
      </c>
      <c r="H1755" t="s">
        <v>27</v>
      </c>
      <c r="I1755" t="s">
        <v>27</v>
      </c>
      <c r="J1755" t="s">
        <v>27</v>
      </c>
      <c r="K1755">
        <v>603</v>
      </c>
      <c r="L1755">
        <v>409264</v>
      </c>
      <c r="M1755">
        <v>79.410784604337209</v>
      </c>
    </row>
    <row r="1756" spans="1:13" hidden="1" x14ac:dyDescent="0.3">
      <c r="A1756" t="s">
        <v>83</v>
      </c>
      <c r="B1756" t="s">
        <v>28</v>
      </c>
      <c r="C1756" t="s">
        <v>64</v>
      </c>
      <c r="D1756">
        <v>2019</v>
      </c>
      <c r="E1756">
        <v>2600000</v>
      </c>
      <c r="F1756" t="s">
        <v>34</v>
      </c>
      <c r="G1756" t="s">
        <v>31</v>
      </c>
      <c r="H1756" t="s">
        <v>27</v>
      </c>
      <c r="I1756" t="s">
        <v>27</v>
      </c>
      <c r="J1756" t="s">
        <v>33</v>
      </c>
      <c r="K1756" t="s">
        <v>31</v>
      </c>
      <c r="L1756">
        <v>3274114</v>
      </c>
      <c r="M1756">
        <v>79.410784604337209</v>
      </c>
    </row>
    <row r="1757" spans="1:13" hidden="1" x14ac:dyDescent="0.3">
      <c r="A1757" t="s">
        <v>96</v>
      </c>
      <c r="B1757" t="s">
        <v>39</v>
      </c>
      <c r="C1757" t="s">
        <v>41</v>
      </c>
      <c r="D1757">
        <v>2019</v>
      </c>
      <c r="E1757" t="s">
        <v>31</v>
      </c>
      <c r="F1757" t="s">
        <v>53</v>
      </c>
      <c r="G1757" t="s">
        <v>31</v>
      </c>
      <c r="H1757" t="s">
        <v>27</v>
      </c>
      <c r="I1757" t="s">
        <v>27</v>
      </c>
      <c r="J1757" t="s">
        <v>27</v>
      </c>
      <c r="K1757" t="s">
        <v>31</v>
      </c>
      <c r="L1757" t="s">
        <v>31</v>
      </c>
      <c r="M1757">
        <v>79.410784604337209</v>
      </c>
    </row>
    <row r="1758" spans="1:13" hidden="1" x14ac:dyDescent="0.3">
      <c r="A1758" t="s">
        <v>101</v>
      </c>
      <c r="B1758" t="s">
        <v>28</v>
      </c>
      <c r="C1758" t="s">
        <v>30</v>
      </c>
      <c r="D1758">
        <v>2019</v>
      </c>
      <c r="E1758">
        <v>3400000</v>
      </c>
      <c r="F1758" t="s">
        <v>102</v>
      </c>
      <c r="G1758" t="s">
        <v>31</v>
      </c>
      <c r="H1758" t="s">
        <v>33</v>
      </c>
      <c r="I1758" t="s">
        <v>33</v>
      </c>
      <c r="J1758" t="s">
        <v>27</v>
      </c>
      <c r="K1758">
        <v>14940</v>
      </c>
      <c r="L1758">
        <v>4281534</v>
      </c>
      <c r="M1758">
        <v>79.410784604337209</v>
      </c>
    </row>
    <row r="1759" spans="1:13" hidden="1" x14ac:dyDescent="0.3">
      <c r="A1759" t="s">
        <v>103</v>
      </c>
      <c r="B1759" t="s">
        <v>28</v>
      </c>
      <c r="C1759" t="s">
        <v>64</v>
      </c>
      <c r="D1759">
        <v>2019</v>
      </c>
      <c r="E1759" t="s">
        <v>31</v>
      </c>
      <c r="F1759" t="s">
        <v>90</v>
      </c>
      <c r="G1759" t="s">
        <v>104</v>
      </c>
      <c r="H1759" t="s">
        <v>27</v>
      </c>
      <c r="I1759" t="s">
        <v>27</v>
      </c>
      <c r="J1759" t="s">
        <v>27</v>
      </c>
      <c r="K1759">
        <v>63453</v>
      </c>
      <c r="L1759" t="s">
        <v>31</v>
      </c>
      <c r="M1759">
        <v>79.410784604337209</v>
      </c>
    </row>
    <row r="1760" spans="1:13" hidden="1" x14ac:dyDescent="0.3">
      <c r="A1760" t="s">
        <v>112</v>
      </c>
      <c r="B1760" t="s">
        <v>91</v>
      </c>
      <c r="C1760" t="s">
        <v>105</v>
      </c>
      <c r="D1760">
        <v>2019</v>
      </c>
      <c r="E1760" t="s">
        <v>31</v>
      </c>
      <c r="F1760" t="s">
        <v>53</v>
      </c>
      <c r="G1760" t="s">
        <v>31</v>
      </c>
      <c r="H1760" t="s">
        <v>27</v>
      </c>
      <c r="I1760" t="s">
        <v>27</v>
      </c>
      <c r="J1760" t="s">
        <v>33</v>
      </c>
      <c r="K1760">
        <v>30000</v>
      </c>
      <c r="L1760" t="s">
        <v>31</v>
      </c>
      <c r="M1760">
        <v>79.410784604337209</v>
      </c>
    </row>
    <row r="1761" spans="1:13" hidden="1" x14ac:dyDescent="0.3">
      <c r="A1761" t="s">
        <v>113</v>
      </c>
      <c r="B1761" t="s">
        <v>43</v>
      </c>
      <c r="C1761" t="s">
        <v>114</v>
      </c>
      <c r="D1761">
        <v>2019</v>
      </c>
      <c r="E1761" t="s">
        <v>31</v>
      </c>
      <c r="F1761" t="s">
        <v>115</v>
      </c>
      <c r="G1761" t="s">
        <v>31</v>
      </c>
      <c r="H1761" t="s">
        <v>27</v>
      </c>
      <c r="I1761" t="s">
        <v>27</v>
      </c>
      <c r="J1761" t="s">
        <v>27</v>
      </c>
      <c r="K1761">
        <v>16573</v>
      </c>
      <c r="L1761" t="s">
        <v>31</v>
      </c>
      <c r="M1761">
        <v>79.410784604337209</v>
      </c>
    </row>
    <row r="1762" spans="1:13" hidden="1" x14ac:dyDescent="0.3">
      <c r="A1762" t="s">
        <v>118</v>
      </c>
      <c r="B1762" t="s">
        <v>51</v>
      </c>
      <c r="C1762" t="s">
        <v>56</v>
      </c>
      <c r="D1762">
        <v>2019</v>
      </c>
      <c r="E1762" t="s">
        <v>31</v>
      </c>
      <c r="F1762" t="s">
        <v>119</v>
      </c>
      <c r="G1762" t="s">
        <v>31</v>
      </c>
      <c r="H1762" t="s">
        <v>27</v>
      </c>
      <c r="I1762" t="s">
        <v>27</v>
      </c>
      <c r="J1762" t="s">
        <v>27</v>
      </c>
      <c r="K1762">
        <v>30000</v>
      </c>
      <c r="L1762" t="s">
        <v>31</v>
      </c>
      <c r="M1762">
        <v>79.410784604337209</v>
      </c>
    </row>
    <row r="1763" spans="1:13" hidden="1" x14ac:dyDescent="0.3">
      <c r="A1763" t="s">
        <v>120</v>
      </c>
      <c r="B1763" t="s">
        <v>51</v>
      </c>
      <c r="C1763" t="s">
        <v>52</v>
      </c>
      <c r="D1763">
        <v>2019</v>
      </c>
      <c r="E1763" t="s">
        <v>31</v>
      </c>
      <c r="F1763" t="s">
        <v>73</v>
      </c>
      <c r="G1763" t="s">
        <v>31</v>
      </c>
      <c r="H1763" t="s">
        <v>27</v>
      </c>
      <c r="I1763" t="s">
        <v>27</v>
      </c>
      <c r="J1763" t="s">
        <v>27</v>
      </c>
      <c r="K1763">
        <v>142</v>
      </c>
      <c r="L1763" t="s">
        <v>31</v>
      </c>
      <c r="M1763">
        <v>79.410784604337209</v>
      </c>
    </row>
    <row r="1764" spans="1:13" hidden="1" x14ac:dyDescent="0.3">
      <c r="A1764" t="s">
        <v>125</v>
      </c>
      <c r="B1764" t="s">
        <v>51</v>
      </c>
      <c r="C1764" t="s">
        <v>121</v>
      </c>
      <c r="D1764">
        <v>2019</v>
      </c>
      <c r="E1764" t="s">
        <v>31</v>
      </c>
      <c r="F1764" t="s">
        <v>117</v>
      </c>
      <c r="G1764" t="s">
        <v>31</v>
      </c>
      <c r="H1764" t="s">
        <v>27</v>
      </c>
      <c r="I1764" t="s">
        <v>27</v>
      </c>
      <c r="J1764" t="s">
        <v>27</v>
      </c>
      <c r="K1764">
        <v>208602</v>
      </c>
      <c r="L1764" t="s">
        <v>31</v>
      </c>
      <c r="M1764">
        <v>79.410784604337209</v>
      </c>
    </row>
    <row r="1765" spans="1:13" hidden="1" x14ac:dyDescent="0.3">
      <c r="A1765" t="s">
        <v>128</v>
      </c>
      <c r="B1765" t="s">
        <v>51</v>
      </c>
      <c r="C1765" t="s">
        <v>52</v>
      </c>
      <c r="D1765">
        <v>2019</v>
      </c>
      <c r="E1765" t="s">
        <v>31</v>
      </c>
      <c r="F1765" t="s">
        <v>45</v>
      </c>
      <c r="G1765" t="s">
        <v>31</v>
      </c>
      <c r="H1765" t="s">
        <v>27</v>
      </c>
      <c r="I1765" t="s">
        <v>27</v>
      </c>
      <c r="J1765" t="s">
        <v>27</v>
      </c>
      <c r="K1765">
        <v>3108</v>
      </c>
      <c r="L1765" t="s">
        <v>31</v>
      </c>
      <c r="M1765">
        <v>79.410784604337209</v>
      </c>
    </row>
    <row r="1766" spans="1:13" hidden="1" x14ac:dyDescent="0.3">
      <c r="A1766" t="s">
        <v>129</v>
      </c>
      <c r="B1766" t="s">
        <v>51</v>
      </c>
      <c r="C1766" t="s">
        <v>52</v>
      </c>
      <c r="D1766">
        <v>2019</v>
      </c>
      <c r="E1766" t="s">
        <v>31</v>
      </c>
      <c r="F1766" t="s">
        <v>130</v>
      </c>
      <c r="G1766" t="s">
        <v>31</v>
      </c>
      <c r="H1766" t="s">
        <v>27</v>
      </c>
      <c r="I1766" t="s">
        <v>27</v>
      </c>
      <c r="J1766" t="s">
        <v>27</v>
      </c>
      <c r="K1766">
        <v>2100</v>
      </c>
      <c r="L1766" t="s">
        <v>31</v>
      </c>
      <c r="M1766">
        <v>79.410784604337209</v>
      </c>
    </row>
    <row r="1767" spans="1:13" hidden="1" x14ac:dyDescent="0.3">
      <c r="A1767" t="s">
        <v>131</v>
      </c>
      <c r="B1767" t="s">
        <v>51</v>
      </c>
      <c r="C1767" t="s">
        <v>52</v>
      </c>
      <c r="D1767">
        <v>2019</v>
      </c>
      <c r="E1767" t="s">
        <v>31</v>
      </c>
      <c r="F1767" t="s">
        <v>130</v>
      </c>
      <c r="G1767" t="s">
        <v>31</v>
      </c>
      <c r="H1767" t="s">
        <v>27</v>
      </c>
      <c r="I1767" t="s">
        <v>27</v>
      </c>
      <c r="J1767" t="s">
        <v>27</v>
      </c>
      <c r="K1767">
        <v>1800</v>
      </c>
      <c r="L1767" t="s">
        <v>31</v>
      </c>
      <c r="M1767">
        <v>79.410784604337209</v>
      </c>
    </row>
    <row r="1768" spans="1:13" hidden="1" x14ac:dyDescent="0.3">
      <c r="A1768" t="s">
        <v>133</v>
      </c>
      <c r="B1768" t="s">
        <v>51</v>
      </c>
      <c r="C1768" t="s">
        <v>134</v>
      </c>
      <c r="D1768">
        <v>2019</v>
      </c>
      <c r="E1768" t="s">
        <v>31</v>
      </c>
      <c r="F1768" t="s">
        <v>47</v>
      </c>
      <c r="G1768" t="s">
        <v>31</v>
      </c>
      <c r="H1768" t="s">
        <v>27</v>
      </c>
      <c r="I1768" t="s">
        <v>27</v>
      </c>
      <c r="J1768" t="s">
        <v>27</v>
      </c>
      <c r="K1768" t="s">
        <v>31</v>
      </c>
      <c r="L1768" t="s">
        <v>31</v>
      </c>
      <c r="M1768">
        <v>79.410784604337209</v>
      </c>
    </row>
    <row r="1769" spans="1:13" hidden="1" x14ac:dyDescent="0.3">
      <c r="A1769" t="s">
        <v>149</v>
      </c>
      <c r="B1769" t="s">
        <v>51</v>
      </c>
      <c r="C1769" t="s">
        <v>150</v>
      </c>
      <c r="D1769">
        <v>2019</v>
      </c>
      <c r="E1769" t="s">
        <v>31</v>
      </c>
      <c r="F1769" t="s">
        <v>111</v>
      </c>
      <c r="G1769" t="s">
        <v>31</v>
      </c>
      <c r="H1769" t="s">
        <v>27</v>
      </c>
      <c r="I1769" t="s">
        <v>27</v>
      </c>
      <c r="J1769" t="s">
        <v>27</v>
      </c>
      <c r="K1769" t="s">
        <v>31</v>
      </c>
      <c r="L1769" t="s">
        <v>31</v>
      </c>
      <c r="M1769">
        <v>79.410784604337209</v>
      </c>
    </row>
    <row r="1770" spans="1:13" hidden="1" x14ac:dyDescent="0.3">
      <c r="A1770" t="s">
        <v>151</v>
      </c>
      <c r="B1770" t="s">
        <v>28</v>
      </c>
      <c r="C1770" t="s">
        <v>99</v>
      </c>
      <c r="D1770">
        <v>2019</v>
      </c>
      <c r="E1770">
        <v>1200000</v>
      </c>
      <c r="F1770" t="s">
        <v>34</v>
      </c>
      <c r="G1770" t="s">
        <v>100</v>
      </c>
      <c r="H1770" t="s">
        <v>27</v>
      </c>
      <c r="I1770" t="s">
        <v>27</v>
      </c>
      <c r="J1770" t="s">
        <v>27</v>
      </c>
      <c r="K1770">
        <v>12</v>
      </c>
      <c r="L1770">
        <v>1511130</v>
      </c>
      <c r="M1770">
        <v>79.410784604337209</v>
      </c>
    </row>
    <row r="1771" spans="1:13" hidden="1" x14ac:dyDescent="0.3">
      <c r="A1771" t="s">
        <v>152</v>
      </c>
      <c r="B1771" t="s">
        <v>51</v>
      </c>
      <c r="C1771" t="s">
        <v>52</v>
      </c>
      <c r="D1771">
        <v>2019</v>
      </c>
      <c r="E1771" t="s">
        <v>31</v>
      </c>
      <c r="F1771" t="s">
        <v>47</v>
      </c>
      <c r="G1771" t="s">
        <v>31</v>
      </c>
      <c r="H1771" t="s">
        <v>27</v>
      </c>
      <c r="I1771" t="s">
        <v>27</v>
      </c>
      <c r="J1771" t="s">
        <v>27</v>
      </c>
      <c r="K1771">
        <v>9000</v>
      </c>
      <c r="L1771" t="s">
        <v>31</v>
      </c>
      <c r="M1771">
        <v>79.410784604337209</v>
      </c>
    </row>
    <row r="1772" spans="1:13" hidden="1" x14ac:dyDescent="0.3">
      <c r="A1772" t="s">
        <v>154</v>
      </c>
      <c r="B1772" t="s">
        <v>51</v>
      </c>
      <c r="C1772" t="s">
        <v>52</v>
      </c>
      <c r="D1772">
        <v>2019</v>
      </c>
      <c r="E1772" t="s">
        <v>31</v>
      </c>
      <c r="F1772" t="s">
        <v>53</v>
      </c>
      <c r="G1772" t="s">
        <v>155</v>
      </c>
      <c r="H1772" t="s">
        <v>27</v>
      </c>
      <c r="I1772" t="s">
        <v>27</v>
      </c>
      <c r="J1772" t="s">
        <v>27</v>
      </c>
      <c r="K1772">
        <v>8379</v>
      </c>
      <c r="L1772" t="s">
        <v>31</v>
      </c>
      <c r="M1772">
        <v>79.410784604337209</v>
      </c>
    </row>
    <row r="1773" spans="1:13" hidden="1" x14ac:dyDescent="0.3">
      <c r="A1773" t="s">
        <v>160</v>
      </c>
      <c r="B1773" t="s">
        <v>39</v>
      </c>
      <c r="C1773" t="s">
        <v>157</v>
      </c>
      <c r="D1773">
        <v>2019</v>
      </c>
      <c r="E1773" t="s">
        <v>31</v>
      </c>
      <c r="F1773" t="s">
        <v>161</v>
      </c>
      <c r="G1773" t="s">
        <v>31</v>
      </c>
      <c r="H1773" t="s">
        <v>27</v>
      </c>
      <c r="I1773" t="s">
        <v>27</v>
      </c>
      <c r="J1773" t="s">
        <v>27</v>
      </c>
      <c r="K1773" t="s">
        <v>31</v>
      </c>
      <c r="L1773" t="s">
        <v>31</v>
      </c>
      <c r="M1773">
        <v>79.410784604337209</v>
      </c>
    </row>
    <row r="1774" spans="1:13" hidden="1" x14ac:dyDescent="0.3">
      <c r="A1774" t="s">
        <v>1243</v>
      </c>
      <c r="B1774" t="s">
        <v>28</v>
      </c>
      <c r="C1774" t="s">
        <v>67</v>
      </c>
      <c r="D1774">
        <v>2019</v>
      </c>
      <c r="E1774" t="s">
        <v>31</v>
      </c>
      <c r="F1774" t="s">
        <v>34</v>
      </c>
      <c r="G1774" t="s">
        <v>355</v>
      </c>
      <c r="H1774" t="s">
        <v>27</v>
      </c>
      <c r="I1774" t="s">
        <v>27</v>
      </c>
      <c r="J1774" t="s">
        <v>33</v>
      </c>
      <c r="K1774">
        <v>57</v>
      </c>
      <c r="L1774" t="s">
        <v>31</v>
      </c>
      <c r="M1774">
        <v>79.410784604337209</v>
      </c>
    </row>
    <row r="1775" spans="1:13" hidden="1" x14ac:dyDescent="0.3">
      <c r="A1775" t="s">
        <v>1244</v>
      </c>
      <c r="B1775" t="s">
        <v>51</v>
      </c>
      <c r="C1775" t="s">
        <v>52</v>
      </c>
      <c r="D1775">
        <v>2019</v>
      </c>
      <c r="E1775" t="s">
        <v>31</v>
      </c>
      <c r="F1775" t="s">
        <v>111</v>
      </c>
      <c r="G1775" t="s">
        <v>155</v>
      </c>
      <c r="H1775" t="s">
        <v>27</v>
      </c>
      <c r="I1775" t="s">
        <v>27</v>
      </c>
      <c r="J1775" t="s">
        <v>33</v>
      </c>
      <c r="K1775">
        <v>335540</v>
      </c>
      <c r="L1775" t="s">
        <v>31</v>
      </c>
      <c r="M1775">
        <v>79.410784604337209</v>
      </c>
    </row>
    <row r="1776" spans="1:13" hidden="1" x14ac:dyDescent="0.3">
      <c r="A1776" t="s">
        <v>1245</v>
      </c>
      <c r="B1776" t="s">
        <v>51</v>
      </c>
      <c r="C1776" t="s">
        <v>52</v>
      </c>
      <c r="D1776">
        <v>2019</v>
      </c>
      <c r="E1776" t="s">
        <v>31</v>
      </c>
      <c r="F1776" t="s">
        <v>109</v>
      </c>
      <c r="G1776" t="s">
        <v>31</v>
      </c>
      <c r="H1776" t="s">
        <v>27</v>
      </c>
      <c r="I1776" t="s">
        <v>27</v>
      </c>
      <c r="J1776" t="s">
        <v>27</v>
      </c>
      <c r="K1776">
        <v>3000</v>
      </c>
      <c r="L1776" t="s">
        <v>31</v>
      </c>
      <c r="M1776">
        <v>79.410784604337209</v>
      </c>
    </row>
    <row r="1777" spans="1:13" hidden="1" x14ac:dyDescent="0.3">
      <c r="A1777" t="s">
        <v>1246</v>
      </c>
      <c r="B1777" t="s">
        <v>28</v>
      </c>
      <c r="C1777" t="s">
        <v>97</v>
      </c>
      <c r="D1777">
        <v>2019</v>
      </c>
      <c r="E1777">
        <v>190000</v>
      </c>
      <c r="F1777" t="s">
        <v>34</v>
      </c>
      <c r="G1777" t="s">
        <v>31</v>
      </c>
      <c r="H1777" t="s">
        <v>27</v>
      </c>
      <c r="I1777" t="s">
        <v>27</v>
      </c>
      <c r="J1777" t="s">
        <v>27</v>
      </c>
      <c r="K1777">
        <v>90</v>
      </c>
      <c r="L1777">
        <v>239262</v>
      </c>
      <c r="M1777">
        <v>79.410784604337209</v>
      </c>
    </row>
    <row r="1778" spans="1:13" hidden="1" x14ac:dyDescent="0.3">
      <c r="A1778" t="s">
        <v>1247</v>
      </c>
      <c r="B1778" t="s">
        <v>51</v>
      </c>
      <c r="C1778" t="s">
        <v>52</v>
      </c>
      <c r="D1778">
        <v>2019</v>
      </c>
      <c r="E1778" t="s">
        <v>31</v>
      </c>
      <c r="F1778" t="s">
        <v>53</v>
      </c>
      <c r="G1778" t="s">
        <v>54</v>
      </c>
      <c r="H1778" t="s">
        <v>27</v>
      </c>
      <c r="I1778" t="s">
        <v>27</v>
      </c>
      <c r="J1778" t="s">
        <v>27</v>
      </c>
      <c r="K1778" t="s">
        <v>31</v>
      </c>
      <c r="L1778" t="s">
        <v>31</v>
      </c>
      <c r="M1778">
        <v>79.410784604337209</v>
      </c>
    </row>
    <row r="1779" spans="1:13" hidden="1" x14ac:dyDescent="0.3">
      <c r="A1779" t="s">
        <v>1248</v>
      </c>
      <c r="B1779" t="s">
        <v>51</v>
      </c>
      <c r="C1779" t="s">
        <v>52</v>
      </c>
      <c r="D1779">
        <v>2019</v>
      </c>
      <c r="E1779" t="s">
        <v>31</v>
      </c>
      <c r="F1779" t="s">
        <v>119</v>
      </c>
      <c r="G1779" t="s">
        <v>54</v>
      </c>
      <c r="H1779" t="s">
        <v>27</v>
      </c>
      <c r="I1779" t="s">
        <v>27</v>
      </c>
      <c r="J1779" t="s">
        <v>27</v>
      </c>
      <c r="K1779">
        <v>1306</v>
      </c>
      <c r="L1779" t="s">
        <v>31</v>
      </c>
      <c r="M1779">
        <v>79.410784604337209</v>
      </c>
    </row>
    <row r="1780" spans="1:13" hidden="1" x14ac:dyDescent="0.3">
      <c r="A1780" t="s">
        <v>1249</v>
      </c>
      <c r="B1780" t="s">
        <v>51</v>
      </c>
      <c r="C1780" t="s">
        <v>121</v>
      </c>
      <c r="D1780">
        <v>2019</v>
      </c>
      <c r="E1780">
        <v>10000000</v>
      </c>
      <c r="F1780" t="s">
        <v>34</v>
      </c>
      <c r="G1780" t="s">
        <v>29</v>
      </c>
      <c r="H1780" t="s">
        <v>27</v>
      </c>
      <c r="I1780" t="s">
        <v>27</v>
      </c>
      <c r="J1780" t="s">
        <v>27</v>
      </c>
      <c r="K1780">
        <v>2000</v>
      </c>
      <c r="L1780">
        <v>12592748</v>
      </c>
      <c r="M1780">
        <v>79.410784604337209</v>
      </c>
    </row>
    <row r="1781" spans="1:13" hidden="1" x14ac:dyDescent="0.3">
      <c r="A1781" t="s">
        <v>1250</v>
      </c>
      <c r="B1781" t="s">
        <v>51</v>
      </c>
      <c r="C1781" t="s">
        <v>52</v>
      </c>
      <c r="D1781">
        <v>2019</v>
      </c>
      <c r="E1781">
        <v>800000</v>
      </c>
      <c r="F1781" t="s">
        <v>77</v>
      </c>
      <c r="G1781" t="s">
        <v>402</v>
      </c>
      <c r="H1781" t="s">
        <v>27</v>
      </c>
      <c r="I1781" t="s">
        <v>27</v>
      </c>
      <c r="J1781" t="s">
        <v>27</v>
      </c>
      <c r="K1781">
        <v>19500</v>
      </c>
      <c r="L1781">
        <v>1007420</v>
      </c>
      <c r="M1781">
        <v>79.410784604337209</v>
      </c>
    </row>
    <row r="1782" spans="1:13" hidden="1" x14ac:dyDescent="0.3">
      <c r="A1782" t="s">
        <v>1251</v>
      </c>
      <c r="B1782" t="s">
        <v>28</v>
      </c>
      <c r="C1782" t="s">
        <v>99</v>
      </c>
      <c r="D1782">
        <v>2019</v>
      </c>
      <c r="E1782" t="s">
        <v>31</v>
      </c>
      <c r="F1782" t="s">
        <v>34</v>
      </c>
      <c r="G1782" t="s">
        <v>37</v>
      </c>
      <c r="H1782" t="s">
        <v>27</v>
      </c>
      <c r="I1782" t="s">
        <v>27</v>
      </c>
      <c r="J1782" t="s">
        <v>33</v>
      </c>
      <c r="K1782" t="s">
        <v>31</v>
      </c>
      <c r="L1782" t="s">
        <v>31</v>
      </c>
      <c r="M1782">
        <v>79.410784604337209</v>
      </c>
    </row>
    <row r="1783" spans="1:13" hidden="1" x14ac:dyDescent="0.3">
      <c r="A1783" t="s">
        <v>1253</v>
      </c>
      <c r="B1783" t="s">
        <v>51</v>
      </c>
      <c r="C1783" t="s">
        <v>52</v>
      </c>
      <c r="D1783">
        <v>2019</v>
      </c>
      <c r="E1783" t="s">
        <v>31</v>
      </c>
      <c r="F1783" t="s">
        <v>117</v>
      </c>
      <c r="G1783" t="s">
        <v>31</v>
      </c>
      <c r="H1783" t="s">
        <v>27</v>
      </c>
      <c r="I1783" t="s">
        <v>27</v>
      </c>
      <c r="J1783" t="s">
        <v>33</v>
      </c>
      <c r="K1783">
        <v>310595</v>
      </c>
      <c r="L1783" t="s">
        <v>31</v>
      </c>
      <c r="M1783">
        <v>79.410784604337209</v>
      </c>
    </row>
    <row r="1784" spans="1:13" hidden="1" x14ac:dyDescent="0.3">
      <c r="A1784" t="s">
        <v>1254</v>
      </c>
      <c r="B1784" t="s">
        <v>51</v>
      </c>
      <c r="C1784" t="s">
        <v>52</v>
      </c>
      <c r="D1784">
        <v>2019</v>
      </c>
      <c r="E1784" t="s">
        <v>31</v>
      </c>
      <c r="F1784" t="s">
        <v>73</v>
      </c>
      <c r="G1784" t="s">
        <v>155</v>
      </c>
      <c r="H1784" t="s">
        <v>27</v>
      </c>
      <c r="I1784" t="s">
        <v>27</v>
      </c>
      <c r="J1784" t="s">
        <v>27</v>
      </c>
      <c r="K1784">
        <v>3000</v>
      </c>
      <c r="L1784" t="s">
        <v>31</v>
      </c>
      <c r="M1784">
        <v>79.410784604337209</v>
      </c>
    </row>
    <row r="1785" spans="1:13" hidden="1" x14ac:dyDescent="0.3">
      <c r="A1785" t="s">
        <v>1255</v>
      </c>
      <c r="B1785" t="s">
        <v>91</v>
      </c>
      <c r="C1785" t="s">
        <v>93</v>
      </c>
      <c r="D1785">
        <v>2019</v>
      </c>
      <c r="E1785" t="s">
        <v>31</v>
      </c>
      <c r="F1785" t="s">
        <v>109</v>
      </c>
      <c r="G1785" t="s">
        <v>31</v>
      </c>
      <c r="H1785" t="s">
        <v>27</v>
      </c>
      <c r="I1785" t="s">
        <v>27</v>
      </c>
      <c r="J1785" t="s">
        <v>27</v>
      </c>
      <c r="K1785">
        <v>15</v>
      </c>
      <c r="L1785" t="s">
        <v>31</v>
      </c>
      <c r="M1785">
        <v>79.410784604337209</v>
      </c>
    </row>
    <row r="1786" spans="1:13" hidden="1" x14ac:dyDescent="0.3">
      <c r="A1786" t="s">
        <v>1256</v>
      </c>
      <c r="B1786" t="s">
        <v>91</v>
      </c>
      <c r="C1786" t="s">
        <v>105</v>
      </c>
      <c r="D1786">
        <v>2019</v>
      </c>
      <c r="E1786" t="s">
        <v>31</v>
      </c>
      <c r="F1786" t="s">
        <v>111</v>
      </c>
      <c r="G1786" t="s">
        <v>31</v>
      </c>
      <c r="H1786" t="s">
        <v>27</v>
      </c>
      <c r="I1786" t="s">
        <v>27</v>
      </c>
      <c r="J1786" t="s">
        <v>27</v>
      </c>
      <c r="K1786">
        <v>3000</v>
      </c>
      <c r="L1786" t="s">
        <v>31</v>
      </c>
      <c r="M1786">
        <v>79.410784604337209</v>
      </c>
    </row>
    <row r="1787" spans="1:13" hidden="1" x14ac:dyDescent="0.3">
      <c r="A1787" t="s">
        <v>1257</v>
      </c>
      <c r="B1787" t="s">
        <v>51</v>
      </c>
      <c r="C1787" t="s">
        <v>56</v>
      </c>
      <c r="D1787">
        <v>2019</v>
      </c>
      <c r="E1787" t="s">
        <v>31</v>
      </c>
      <c r="F1787" t="s">
        <v>45</v>
      </c>
      <c r="G1787" t="s">
        <v>31</v>
      </c>
      <c r="H1787" t="s">
        <v>27</v>
      </c>
      <c r="I1787" t="s">
        <v>27</v>
      </c>
      <c r="J1787" t="s">
        <v>27</v>
      </c>
      <c r="K1787">
        <v>1325</v>
      </c>
      <c r="L1787" t="s">
        <v>31</v>
      </c>
      <c r="M1787">
        <v>79.410784604337209</v>
      </c>
    </row>
    <row r="1788" spans="1:13" hidden="1" x14ac:dyDescent="0.3">
      <c r="A1788" t="s">
        <v>1258</v>
      </c>
      <c r="B1788" t="s">
        <v>28</v>
      </c>
      <c r="C1788" t="s">
        <v>30</v>
      </c>
      <c r="D1788">
        <v>2019</v>
      </c>
      <c r="E1788" t="s">
        <v>31</v>
      </c>
      <c r="F1788" t="s">
        <v>73</v>
      </c>
      <c r="G1788" t="s">
        <v>31</v>
      </c>
      <c r="H1788" t="s">
        <v>27</v>
      </c>
      <c r="I1788" t="s">
        <v>27</v>
      </c>
      <c r="J1788" t="s">
        <v>27</v>
      </c>
      <c r="K1788">
        <v>1000</v>
      </c>
      <c r="L1788" t="s">
        <v>31</v>
      </c>
      <c r="M1788">
        <v>79.410784604337209</v>
      </c>
    </row>
    <row r="1789" spans="1:13" hidden="1" x14ac:dyDescent="0.3">
      <c r="A1789" t="s">
        <v>1259</v>
      </c>
      <c r="B1789" t="s">
        <v>28</v>
      </c>
      <c r="C1789" t="s">
        <v>64</v>
      </c>
      <c r="D1789">
        <v>2019</v>
      </c>
      <c r="E1789" t="s">
        <v>31</v>
      </c>
      <c r="F1789" t="s">
        <v>90</v>
      </c>
      <c r="G1789" t="s">
        <v>82</v>
      </c>
      <c r="H1789" t="s">
        <v>27</v>
      </c>
      <c r="I1789" t="s">
        <v>27</v>
      </c>
      <c r="J1789" t="s">
        <v>27</v>
      </c>
      <c r="K1789">
        <v>15000</v>
      </c>
      <c r="L1789" t="s">
        <v>31</v>
      </c>
      <c r="M1789">
        <v>79.410784604337209</v>
      </c>
    </row>
    <row r="1790" spans="1:13" hidden="1" x14ac:dyDescent="0.3">
      <c r="A1790" t="s">
        <v>1260</v>
      </c>
      <c r="B1790" t="s">
        <v>51</v>
      </c>
      <c r="C1790" t="s">
        <v>52</v>
      </c>
      <c r="D1790">
        <v>2019</v>
      </c>
      <c r="E1790" t="s">
        <v>31</v>
      </c>
      <c r="F1790" t="s">
        <v>47</v>
      </c>
      <c r="G1790" t="s">
        <v>31</v>
      </c>
      <c r="H1790" t="s">
        <v>27</v>
      </c>
      <c r="I1790" t="s">
        <v>27</v>
      </c>
      <c r="J1790" t="s">
        <v>27</v>
      </c>
      <c r="K1790">
        <v>23250</v>
      </c>
      <c r="L1790" t="s">
        <v>31</v>
      </c>
      <c r="M1790">
        <v>79.410784604337209</v>
      </c>
    </row>
    <row r="1791" spans="1:13" hidden="1" x14ac:dyDescent="0.3">
      <c r="A1791" t="s">
        <v>1261</v>
      </c>
      <c r="B1791" t="s">
        <v>51</v>
      </c>
      <c r="C1791" t="s">
        <v>52</v>
      </c>
      <c r="D1791">
        <v>2019</v>
      </c>
      <c r="E1791" t="s">
        <v>31</v>
      </c>
      <c r="F1791" t="s">
        <v>119</v>
      </c>
      <c r="G1791" t="s">
        <v>54</v>
      </c>
      <c r="H1791" t="s">
        <v>27</v>
      </c>
      <c r="I1791" t="s">
        <v>27</v>
      </c>
      <c r="J1791" t="s">
        <v>27</v>
      </c>
      <c r="K1791">
        <v>672</v>
      </c>
      <c r="L1791" t="s">
        <v>31</v>
      </c>
      <c r="M1791">
        <v>79.410784604337209</v>
      </c>
    </row>
    <row r="1792" spans="1:13" hidden="1" x14ac:dyDescent="0.3">
      <c r="A1792" t="s">
        <v>1262</v>
      </c>
      <c r="B1792" t="s">
        <v>51</v>
      </c>
      <c r="C1792" t="s">
        <v>52</v>
      </c>
      <c r="D1792">
        <v>2019</v>
      </c>
      <c r="E1792" t="s">
        <v>31</v>
      </c>
      <c r="F1792" t="s">
        <v>119</v>
      </c>
      <c r="G1792" t="s">
        <v>54</v>
      </c>
      <c r="H1792" t="s">
        <v>27</v>
      </c>
      <c r="I1792" t="s">
        <v>27</v>
      </c>
      <c r="J1792" t="s">
        <v>27</v>
      </c>
      <c r="K1792">
        <v>300</v>
      </c>
      <c r="L1792" t="s">
        <v>31</v>
      </c>
      <c r="M1792">
        <v>79.410784604337209</v>
      </c>
    </row>
    <row r="1793" spans="1:13" hidden="1" x14ac:dyDescent="0.3">
      <c r="A1793" t="s">
        <v>1264</v>
      </c>
      <c r="B1793" t="s">
        <v>39</v>
      </c>
      <c r="C1793" t="s">
        <v>157</v>
      </c>
      <c r="D1793">
        <v>2019</v>
      </c>
      <c r="E1793" t="s">
        <v>31</v>
      </c>
      <c r="F1793" t="s">
        <v>130</v>
      </c>
      <c r="G1793" t="s">
        <v>31</v>
      </c>
      <c r="H1793" t="s">
        <v>27</v>
      </c>
      <c r="I1793" t="s">
        <v>27</v>
      </c>
      <c r="J1793" t="s">
        <v>33</v>
      </c>
      <c r="K1793">
        <v>35032</v>
      </c>
      <c r="L1793" t="s">
        <v>31</v>
      </c>
      <c r="M1793">
        <v>79.410784604337209</v>
      </c>
    </row>
    <row r="1794" spans="1:13" hidden="1" x14ac:dyDescent="0.3">
      <c r="A1794" t="s">
        <v>1860</v>
      </c>
      <c r="B1794" t="s">
        <v>51</v>
      </c>
      <c r="C1794" t="s">
        <v>52</v>
      </c>
      <c r="D1794">
        <v>2019</v>
      </c>
      <c r="E1794" t="s">
        <v>31</v>
      </c>
      <c r="F1794" t="s">
        <v>130</v>
      </c>
      <c r="G1794" t="s">
        <v>29</v>
      </c>
      <c r="H1794" t="s">
        <v>27</v>
      </c>
      <c r="I1794" t="s">
        <v>27</v>
      </c>
      <c r="J1794" t="s">
        <v>27</v>
      </c>
      <c r="K1794">
        <v>31451</v>
      </c>
      <c r="L1794" t="s">
        <v>31</v>
      </c>
      <c r="M1794">
        <v>79.410784604337209</v>
      </c>
    </row>
    <row r="1795" spans="1:13" hidden="1" x14ac:dyDescent="0.3">
      <c r="A1795" t="s">
        <v>1861</v>
      </c>
      <c r="B1795" t="s">
        <v>51</v>
      </c>
      <c r="C1795" t="s">
        <v>52</v>
      </c>
      <c r="D1795">
        <v>2019</v>
      </c>
      <c r="E1795" t="s">
        <v>31</v>
      </c>
      <c r="F1795" t="s">
        <v>119</v>
      </c>
      <c r="G1795" t="s">
        <v>29</v>
      </c>
      <c r="H1795" t="s">
        <v>27</v>
      </c>
      <c r="I1795" t="s">
        <v>27</v>
      </c>
      <c r="J1795" t="s">
        <v>33</v>
      </c>
      <c r="K1795">
        <v>10000</v>
      </c>
      <c r="L1795" t="s">
        <v>31</v>
      </c>
      <c r="M1795">
        <v>79.410784604337209</v>
      </c>
    </row>
    <row r="1796" spans="1:13" hidden="1" x14ac:dyDescent="0.3">
      <c r="A1796" t="s">
        <v>1862</v>
      </c>
      <c r="B1796" t="s">
        <v>28</v>
      </c>
      <c r="C1796" t="s">
        <v>97</v>
      </c>
      <c r="D1796">
        <v>2019</v>
      </c>
      <c r="E1796" t="s">
        <v>31</v>
      </c>
      <c r="F1796" t="s">
        <v>242</v>
      </c>
      <c r="G1796" t="s">
        <v>31</v>
      </c>
      <c r="H1796" t="s">
        <v>27</v>
      </c>
      <c r="I1796" t="s">
        <v>27</v>
      </c>
      <c r="J1796" t="s">
        <v>27</v>
      </c>
      <c r="K1796">
        <v>10111</v>
      </c>
      <c r="L1796" t="s">
        <v>31</v>
      </c>
      <c r="M1796">
        <v>79.410784604337209</v>
      </c>
    </row>
    <row r="1797" spans="1:13" hidden="1" x14ac:dyDescent="0.3">
      <c r="A1797" t="s">
        <v>1863</v>
      </c>
      <c r="B1797" t="s">
        <v>51</v>
      </c>
      <c r="C1797" t="s">
        <v>52</v>
      </c>
      <c r="D1797">
        <v>2019</v>
      </c>
      <c r="E1797" t="s">
        <v>31</v>
      </c>
      <c r="F1797" t="s">
        <v>111</v>
      </c>
      <c r="G1797" t="s">
        <v>31</v>
      </c>
      <c r="H1797" t="s">
        <v>27</v>
      </c>
      <c r="I1797" t="s">
        <v>27</v>
      </c>
      <c r="J1797" t="s">
        <v>33</v>
      </c>
      <c r="K1797">
        <v>14000</v>
      </c>
      <c r="L1797" t="s">
        <v>31</v>
      </c>
      <c r="M1797">
        <v>79.410784604337209</v>
      </c>
    </row>
    <row r="1798" spans="1:13" hidden="1" x14ac:dyDescent="0.3">
      <c r="A1798" t="s">
        <v>1864</v>
      </c>
      <c r="B1798" t="s">
        <v>51</v>
      </c>
      <c r="C1798" t="s">
        <v>52</v>
      </c>
      <c r="D1798">
        <v>2019</v>
      </c>
      <c r="E1798" t="s">
        <v>31</v>
      </c>
      <c r="F1798" t="s">
        <v>57</v>
      </c>
      <c r="G1798" t="s">
        <v>31</v>
      </c>
      <c r="H1798" t="s">
        <v>27</v>
      </c>
      <c r="I1798" t="s">
        <v>27</v>
      </c>
      <c r="J1798" t="s">
        <v>27</v>
      </c>
      <c r="K1798">
        <v>5427</v>
      </c>
      <c r="L1798" t="s">
        <v>31</v>
      </c>
      <c r="M1798">
        <v>79.410784604337209</v>
      </c>
    </row>
    <row r="1799" spans="1:13" hidden="1" x14ac:dyDescent="0.3">
      <c r="A1799" t="s">
        <v>1865</v>
      </c>
      <c r="B1799" t="s">
        <v>51</v>
      </c>
      <c r="C1799" t="s">
        <v>52</v>
      </c>
      <c r="D1799">
        <v>2019</v>
      </c>
      <c r="E1799" t="s">
        <v>31</v>
      </c>
      <c r="F1799" t="s">
        <v>34</v>
      </c>
      <c r="G1799" t="s">
        <v>155</v>
      </c>
      <c r="H1799" t="s">
        <v>27</v>
      </c>
      <c r="I1799" t="s">
        <v>27</v>
      </c>
      <c r="J1799" t="s">
        <v>33</v>
      </c>
      <c r="K1799">
        <v>6000</v>
      </c>
      <c r="L1799" t="s">
        <v>31</v>
      </c>
      <c r="M1799">
        <v>79.410784604337209</v>
      </c>
    </row>
    <row r="1800" spans="1:13" hidden="1" x14ac:dyDescent="0.3">
      <c r="A1800" t="s">
        <v>1866</v>
      </c>
      <c r="B1800" t="s">
        <v>51</v>
      </c>
      <c r="C1800" t="s">
        <v>52</v>
      </c>
      <c r="D1800">
        <v>2019</v>
      </c>
      <c r="E1800" t="s">
        <v>31</v>
      </c>
      <c r="F1800" t="s">
        <v>60</v>
      </c>
      <c r="G1800" t="s">
        <v>31</v>
      </c>
      <c r="H1800" t="s">
        <v>27</v>
      </c>
      <c r="I1800" t="s">
        <v>27</v>
      </c>
      <c r="J1800" t="s">
        <v>27</v>
      </c>
      <c r="K1800">
        <v>600</v>
      </c>
      <c r="L1800" t="s">
        <v>31</v>
      </c>
      <c r="M1800">
        <v>79.410784604337209</v>
      </c>
    </row>
    <row r="1801" spans="1:13" hidden="1" x14ac:dyDescent="0.3">
      <c r="A1801" t="s">
        <v>1867</v>
      </c>
      <c r="B1801" t="s">
        <v>51</v>
      </c>
      <c r="C1801" t="s">
        <v>121</v>
      </c>
      <c r="D1801">
        <v>2019</v>
      </c>
      <c r="E1801" t="s">
        <v>31</v>
      </c>
      <c r="F1801" t="s">
        <v>117</v>
      </c>
      <c r="G1801" t="s">
        <v>31</v>
      </c>
      <c r="H1801" t="s">
        <v>27</v>
      </c>
      <c r="I1801" t="s">
        <v>27</v>
      </c>
      <c r="J1801" t="s">
        <v>33</v>
      </c>
      <c r="K1801">
        <v>2000</v>
      </c>
      <c r="L1801" t="s">
        <v>31</v>
      </c>
      <c r="M1801">
        <v>79.410784604337209</v>
      </c>
    </row>
    <row r="1802" spans="1:13" hidden="1" x14ac:dyDescent="0.3">
      <c r="A1802" t="s">
        <v>1868</v>
      </c>
      <c r="B1802" t="s">
        <v>51</v>
      </c>
      <c r="C1802" t="s">
        <v>52</v>
      </c>
      <c r="D1802">
        <v>2019</v>
      </c>
      <c r="E1802" t="s">
        <v>31</v>
      </c>
      <c r="F1802" t="s">
        <v>47</v>
      </c>
      <c r="G1802" t="s">
        <v>54</v>
      </c>
      <c r="H1802" t="s">
        <v>27</v>
      </c>
      <c r="I1802" t="s">
        <v>27</v>
      </c>
      <c r="J1802" t="s">
        <v>27</v>
      </c>
      <c r="K1802">
        <v>1647</v>
      </c>
      <c r="L1802" t="s">
        <v>31</v>
      </c>
      <c r="M1802">
        <v>79.410784604337209</v>
      </c>
    </row>
    <row r="1803" spans="1:13" hidden="1" x14ac:dyDescent="0.3">
      <c r="A1803" t="s">
        <v>1869</v>
      </c>
      <c r="B1803" t="s">
        <v>91</v>
      </c>
      <c r="C1803" t="s">
        <v>93</v>
      </c>
      <c r="D1803">
        <v>2019</v>
      </c>
      <c r="E1803">
        <v>200000</v>
      </c>
      <c r="F1803" t="s">
        <v>34</v>
      </c>
      <c r="G1803" t="s">
        <v>31</v>
      </c>
      <c r="H1803" t="s">
        <v>27</v>
      </c>
      <c r="I1803" t="s">
        <v>27</v>
      </c>
      <c r="J1803" t="s">
        <v>33</v>
      </c>
      <c r="K1803">
        <v>150</v>
      </c>
      <c r="L1803">
        <v>251855</v>
      </c>
      <c r="M1803">
        <v>79.410784604337209</v>
      </c>
    </row>
    <row r="1804" spans="1:13" hidden="1" x14ac:dyDescent="0.3">
      <c r="A1804" t="s">
        <v>1870</v>
      </c>
      <c r="B1804" t="s">
        <v>51</v>
      </c>
      <c r="C1804" t="s">
        <v>52</v>
      </c>
      <c r="D1804">
        <v>2019</v>
      </c>
      <c r="E1804" t="s">
        <v>31</v>
      </c>
      <c r="F1804" t="s">
        <v>34</v>
      </c>
      <c r="G1804" t="s">
        <v>31</v>
      </c>
      <c r="H1804" t="s">
        <v>27</v>
      </c>
      <c r="I1804" t="s">
        <v>27</v>
      </c>
      <c r="J1804" t="s">
        <v>33</v>
      </c>
      <c r="K1804">
        <v>600</v>
      </c>
      <c r="L1804" t="s">
        <v>31</v>
      </c>
      <c r="M1804">
        <v>79.410784604337209</v>
      </c>
    </row>
    <row r="1805" spans="1:13" hidden="1" x14ac:dyDescent="0.3">
      <c r="A1805" t="s">
        <v>1871</v>
      </c>
      <c r="B1805" t="s">
        <v>28</v>
      </c>
      <c r="C1805" t="s">
        <v>30</v>
      </c>
      <c r="D1805">
        <v>2019</v>
      </c>
      <c r="E1805">
        <v>600000</v>
      </c>
      <c r="F1805" t="s">
        <v>34</v>
      </c>
      <c r="G1805" t="s">
        <v>31</v>
      </c>
      <c r="H1805" t="s">
        <v>27</v>
      </c>
      <c r="I1805" t="s">
        <v>27</v>
      </c>
      <c r="J1805" t="s">
        <v>27</v>
      </c>
      <c r="K1805" t="s">
        <v>31</v>
      </c>
      <c r="L1805">
        <v>755565</v>
      </c>
      <c r="M1805">
        <v>79.410784604337209</v>
      </c>
    </row>
    <row r="1806" spans="1:13" hidden="1" x14ac:dyDescent="0.3">
      <c r="A1806" t="s">
        <v>1872</v>
      </c>
      <c r="B1806" t="s">
        <v>43</v>
      </c>
      <c r="C1806" t="s">
        <v>114</v>
      </c>
      <c r="D1806">
        <v>2019</v>
      </c>
      <c r="E1806" t="s">
        <v>31</v>
      </c>
      <c r="F1806" t="s">
        <v>161</v>
      </c>
      <c r="G1806" t="s">
        <v>31</v>
      </c>
      <c r="H1806" t="s">
        <v>27</v>
      </c>
      <c r="I1806" t="s">
        <v>27</v>
      </c>
      <c r="J1806" t="s">
        <v>27</v>
      </c>
      <c r="K1806">
        <v>4852</v>
      </c>
      <c r="L1806" t="s">
        <v>31</v>
      </c>
      <c r="M1806">
        <v>79.410784604337209</v>
      </c>
    </row>
    <row r="1807" spans="1:13" hidden="1" x14ac:dyDescent="0.3">
      <c r="A1807" t="s">
        <v>1873</v>
      </c>
      <c r="B1807" t="s">
        <v>43</v>
      </c>
      <c r="C1807" t="s">
        <v>114</v>
      </c>
      <c r="D1807">
        <v>2019</v>
      </c>
      <c r="E1807" t="s">
        <v>31</v>
      </c>
      <c r="F1807" t="s">
        <v>81</v>
      </c>
      <c r="G1807" t="s">
        <v>31</v>
      </c>
      <c r="H1807" t="s">
        <v>27</v>
      </c>
      <c r="I1807" t="s">
        <v>27</v>
      </c>
      <c r="J1807" t="s">
        <v>27</v>
      </c>
      <c r="K1807">
        <v>94513</v>
      </c>
      <c r="L1807" t="s">
        <v>31</v>
      </c>
      <c r="M1807">
        <v>79.410784604337209</v>
      </c>
    </row>
    <row r="1808" spans="1:13" hidden="1" x14ac:dyDescent="0.3">
      <c r="A1808" t="s">
        <v>1874</v>
      </c>
      <c r="B1808" t="s">
        <v>39</v>
      </c>
      <c r="C1808" t="s">
        <v>41</v>
      </c>
      <c r="D1808">
        <v>2019</v>
      </c>
      <c r="E1808" t="s">
        <v>31</v>
      </c>
      <c r="F1808" t="s">
        <v>111</v>
      </c>
      <c r="G1808" t="s">
        <v>31</v>
      </c>
      <c r="H1808" t="s">
        <v>33</v>
      </c>
      <c r="I1808" t="s">
        <v>27</v>
      </c>
      <c r="J1808" t="s">
        <v>27</v>
      </c>
      <c r="K1808">
        <v>36000</v>
      </c>
      <c r="L1808" t="s">
        <v>31</v>
      </c>
      <c r="M1808">
        <v>79.410784604337209</v>
      </c>
    </row>
    <row r="1809" spans="1:13" hidden="1" x14ac:dyDescent="0.3">
      <c r="A1809" t="s">
        <v>1875</v>
      </c>
      <c r="B1809" t="s">
        <v>39</v>
      </c>
      <c r="C1809" t="s">
        <v>41</v>
      </c>
      <c r="D1809">
        <v>2019</v>
      </c>
      <c r="E1809" t="s">
        <v>31</v>
      </c>
      <c r="F1809" t="s">
        <v>119</v>
      </c>
      <c r="G1809" t="s">
        <v>31</v>
      </c>
      <c r="H1809" t="s">
        <v>33</v>
      </c>
      <c r="I1809" t="s">
        <v>27</v>
      </c>
      <c r="J1809" t="s">
        <v>27</v>
      </c>
      <c r="K1809">
        <v>10002195</v>
      </c>
      <c r="L1809" t="s">
        <v>31</v>
      </c>
      <c r="M1809">
        <v>79.410784604337209</v>
      </c>
    </row>
    <row r="1810" spans="1:13" hidden="1" x14ac:dyDescent="0.3">
      <c r="A1810" t="s">
        <v>1876</v>
      </c>
      <c r="B1810" t="s">
        <v>39</v>
      </c>
      <c r="C1810" t="s">
        <v>41</v>
      </c>
      <c r="D1810">
        <v>2019</v>
      </c>
      <c r="E1810">
        <v>1300000</v>
      </c>
      <c r="F1810" t="s">
        <v>34</v>
      </c>
      <c r="G1810" t="s">
        <v>31</v>
      </c>
      <c r="H1810" t="s">
        <v>27</v>
      </c>
      <c r="I1810" t="s">
        <v>27</v>
      </c>
      <c r="J1810" t="s">
        <v>33</v>
      </c>
      <c r="K1810">
        <v>662</v>
      </c>
      <c r="L1810">
        <v>1637057</v>
      </c>
      <c r="M1810">
        <v>79.410784604337209</v>
      </c>
    </row>
    <row r="1811" spans="1:13" hidden="1" x14ac:dyDescent="0.3">
      <c r="A1811" t="s">
        <v>1877</v>
      </c>
      <c r="B1811" t="s">
        <v>28</v>
      </c>
      <c r="C1811" t="s">
        <v>30</v>
      </c>
      <c r="D1811">
        <v>2019</v>
      </c>
      <c r="E1811">
        <v>383000</v>
      </c>
      <c r="F1811" t="s">
        <v>73</v>
      </c>
      <c r="G1811" t="s">
        <v>37</v>
      </c>
      <c r="H1811" t="s">
        <v>27</v>
      </c>
      <c r="I1811" t="s">
        <v>27</v>
      </c>
      <c r="J1811" t="s">
        <v>27</v>
      </c>
      <c r="K1811" t="s">
        <v>31</v>
      </c>
      <c r="L1811">
        <v>482302</v>
      </c>
      <c r="M1811">
        <v>79.410784604337209</v>
      </c>
    </row>
    <row r="1812" spans="1:13" hidden="1" x14ac:dyDescent="0.3">
      <c r="A1812" t="s">
        <v>1879</v>
      </c>
      <c r="B1812" t="s">
        <v>28</v>
      </c>
      <c r="C1812" t="s">
        <v>67</v>
      </c>
      <c r="D1812">
        <v>2019</v>
      </c>
      <c r="E1812" t="s">
        <v>31</v>
      </c>
      <c r="F1812" t="s">
        <v>34</v>
      </c>
      <c r="G1812" t="s">
        <v>68</v>
      </c>
      <c r="H1812" t="s">
        <v>27</v>
      </c>
      <c r="I1812" t="s">
        <v>27</v>
      </c>
      <c r="J1812" t="s">
        <v>27</v>
      </c>
      <c r="K1812" t="s">
        <v>31</v>
      </c>
      <c r="L1812" t="s">
        <v>31</v>
      </c>
      <c r="M1812">
        <v>79.410784604337209</v>
      </c>
    </row>
    <row r="1813" spans="1:13" hidden="1" x14ac:dyDescent="0.3">
      <c r="A1813" t="s">
        <v>1880</v>
      </c>
      <c r="B1813" t="s">
        <v>51</v>
      </c>
      <c r="C1813" t="s">
        <v>52</v>
      </c>
      <c r="D1813">
        <v>2019</v>
      </c>
      <c r="E1813" t="s">
        <v>31</v>
      </c>
      <c r="F1813" t="s">
        <v>57</v>
      </c>
      <c r="G1813" t="s">
        <v>31</v>
      </c>
      <c r="H1813" t="s">
        <v>27</v>
      </c>
      <c r="I1813" t="s">
        <v>27</v>
      </c>
      <c r="J1813" t="s">
        <v>27</v>
      </c>
      <c r="K1813">
        <v>270</v>
      </c>
      <c r="L1813" t="s">
        <v>31</v>
      </c>
      <c r="M1813">
        <v>79.410784604337209</v>
      </c>
    </row>
    <row r="1814" spans="1:13" hidden="1" x14ac:dyDescent="0.3">
      <c r="A1814" t="s">
        <v>1882</v>
      </c>
      <c r="B1814" t="s">
        <v>51</v>
      </c>
      <c r="C1814" t="s">
        <v>52</v>
      </c>
      <c r="D1814">
        <v>2019</v>
      </c>
      <c r="E1814" t="s">
        <v>31</v>
      </c>
      <c r="F1814" t="s">
        <v>47</v>
      </c>
      <c r="G1814" t="s">
        <v>31</v>
      </c>
      <c r="H1814" t="s">
        <v>27</v>
      </c>
      <c r="I1814" t="s">
        <v>27</v>
      </c>
      <c r="J1814" t="s">
        <v>27</v>
      </c>
      <c r="K1814" t="s">
        <v>31</v>
      </c>
      <c r="L1814" t="s">
        <v>31</v>
      </c>
      <c r="M1814">
        <v>79.410784604337209</v>
      </c>
    </row>
    <row r="1815" spans="1:13" hidden="1" x14ac:dyDescent="0.3">
      <c r="A1815" t="s">
        <v>1971</v>
      </c>
      <c r="B1815" t="s">
        <v>51</v>
      </c>
      <c r="C1815" t="s">
        <v>52</v>
      </c>
      <c r="D1815">
        <v>2019</v>
      </c>
      <c r="E1815" t="s">
        <v>31</v>
      </c>
      <c r="F1815" t="s">
        <v>73</v>
      </c>
      <c r="G1815" t="s">
        <v>31</v>
      </c>
      <c r="H1815" t="s">
        <v>27</v>
      </c>
      <c r="I1815" t="s">
        <v>27</v>
      </c>
      <c r="J1815" t="s">
        <v>27</v>
      </c>
      <c r="K1815">
        <v>500</v>
      </c>
      <c r="L1815" t="s">
        <v>31</v>
      </c>
      <c r="M1815">
        <v>79.410784604337209</v>
      </c>
    </row>
    <row r="1816" spans="1:13" hidden="1" x14ac:dyDescent="0.3">
      <c r="A1816" t="s">
        <v>2477</v>
      </c>
      <c r="B1816" t="s">
        <v>51</v>
      </c>
      <c r="C1816" t="s">
        <v>52</v>
      </c>
      <c r="D1816">
        <v>2019</v>
      </c>
      <c r="E1816" t="s">
        <v>31</v>
      </c>
      <c r="F1816" t="s">
        <v>34</v>
      </c>
      <c r="G1816" t="s">
        <v>54</v>
      </c>
      <c r="H1816" t="s">
        <v>27</v>
      </c>
      <c r="I1816" t="s">
        <v>27</v>
      </c>
      <c r="J1816" t="s">
        <v>27</v>
      </c>
      <c r="K1816">
        <v>8000</v>
      </c>
      <c r="L1816" t="s">
        <v>31</v>
      </c>
      <c r="M1816">
        <v>79.410784604337209</v>
      </c>
    </row>
    <row r="1817" spans="1:13" hidden="1" x14ac:dyDescent="0.3">
      <c r="A1817" t="s">
        <v>2546</v>
      </c>
      <c r="B1817" t="s">
        <v>91</v>
      </c>
      <c r="C1817" t="s">
        <v>93</v>
      </c>
      <c r="D1817">
        <v>2019</v>
      </c>
      <c r="E1817" t="s">
        <v>31</v>
      </c>
      <c r="F1817" t="s">
        <v>60</v>
      </c>
      <c r="G1817" t="s">
        <v>31</v>
      </c>
      <c r="H1817" t="s">
        <v>27</v>
      </c>
      <c r="I1817" t="s">
        <v>27</v>
      </c>
      <c r="J1817" t="s">
        <v>27</v>
      </c>
      <c r="K1817">
        <v>780</v>
      </c>
      <c r="L1817" t="s">
        <v>31</v>
      </c>
      <c r="M1817">
        <v>79.410784604337209</v>
      </c>
    </row>
    <row r="1818" spans="1:13" hidden="1" x14ac:dyDescent="0.3">
      <c r="A1818" t="s">
        <v>2547</v>
      </c>
      <c r="B1818" t="s">
        <v>51</v>
      </c>
      <c r="C1818" t="s">
        <v>150</v>
      </c>
      <c r="D1818">
        <v>2019</v>
      </c>
      <c r="E1818" t="s">
        <v>31</v>
      </c>
      <c r="F1818" t="s">
        <v>53</v>
      </c>
      <c r="G1818" t="s">
        <v>31</v>
      </c>
      <c r="H1818" t="s">
        <v>27</v>
      </c>
      <c r="I1818" t="s">
        <v>27</v>
      </c>
      <c r="J1818" t="s">
        <v>27</v>
      </c>
      <c r="K1818">
        <v>28</v>
      </c>
      <c r="L1818" t="s">
        <v>31</v>
      </c>
      <c r="M1818">
        <v>79.410784604337209</v>
      </c>
    </row>
    <row r="1819" spans="1:13" hidden="1" x14ac:dyDescent="0.3">
      <c r="A1819" t="s">
        <v>2548</v>
      </c>
      <c r="B1819" t="s">
        <v>28</v>
      </c>
      <c r="C1819" t="s">
        <v>2549</v>
      </c>
      <c r="D1819">
        <v>2019</v>
      </c>
      <c r="E1819">
        <v>100000</v>
      </c>
      <c r="F1819" t="s">
        <v>34</v>
      </c>
      <c r="G1819" t="s">
        <v>2550</v>
      </c>
      <c r="H1819" t="s">
        <v>27</v>
      </c>
      <c r="I1819" t="s">
        <v>27</v>
      </c>
      <c r="J1819" t="s">
        <v>27</v>
      </c>
      <c r="K1819" t="s">
        <v>31</v>
      </c>
      <c r="L1819">
        <v>125927</v>
      </c>
      <c r="M1819">
        <v>79.410784604337209</v>
      </c>
    </row>
    <row r="1820" spans="1:13" hidden="1" x14ac:dyDescent="0.3">
      <c r="A1820" t="s">
        <v>2551</v>
      </c>
      <c r="B1820" t="s">
        <v>28</v>
      </c>
      <c r="C1820" t="s">
        <v>67</v>
      </c>
      <c r="D1820">
        <v>2019</v>
      </c>
      <c r="E1820" t="s">
        <v>31</v>
      </c>
      <c r="F1820" t="s">
        <v>34</v>
      </c>
      <c r="G1820" t="s">
        <v>68</v>
      </c>
      <c r="H1820" t="s">
        <v>27</v>
      </c>
      <c r="I1820" t="s">
        <v>27</v>
      </c>
      <c r="J1820" t="s">
        <v>27</v>
      </c>
      <c r="K1820" t="s">
        <v>31</v>
      </c>
      <c r="L1820" t="s">
        <v>31</v>
      </c>
      <c r="M1820">
        <v>79.410784604337209</v>
      </c>
    </row>
    <row r="1821" spans="1:13" hidden="1" x14ac:dyDescent="0.3">
      <c r="A1821" t="s">
        <v>2552</v>
      </c>
      <c r="B1821" t="s">
        <v>51</v>
      </c>
      <c r="C1821" t="s">
        <v>52</v>
      </c>
      <c r="D1821">
        <v>2019</v>
      </c>
      <c r="E1821" t="s">
        <v>31</v>
      </c>
      <c r="F1821" t="s">
        <v>119</v>
      </c>
      <c r="G1821" t="s">
        <v>54</v>
      </c>
      <c r="H1821" t="s">
        <v>27</v>
      </c>
      <c r="I1821" t="s">
        <v>27</v>
      </c>
      <c r="J1821" t="s">
        <v>33</v>
      </c>
      <c r="K1821">
        <v>4500</v>
      </c>
      <c r="L1821" t="s">
        <v>31</v>
      </c>
      <c r="M1821">
        <v>79.410784604337209</v>
      </c>
    </row>
    <row r="1822" spans="1:13" hidden="1" x14ac:dyDescent="0.3">
      <c r="A1822" t="s">
        <v>2553</v>
      </c>
      <c r="B1822" t="s">
        <v>28</v>
      </c>
      <c r="C1822" t="s">
        <v>97</v>
      </c>
      <c r="D1822">
        <v>2019</v>
      </c>
      <c r="E1822">
        <v>1300000</v>
      </c>
      <c r="F1822" t="s">
        <v>34</v>
      </c>
      <c r="G1822" t="s">
        <v>65</v>
      </c>
      <c r="H1822" t="s">
        <v>27</v>
      </c>
      <c r="I1822" t="s">
        <v>27</v>
      </c>
      <c r="J1822" t="s">
        <v>27</v>
      </c>
      <c r="K1822">
        <v>177</v>
      </c>
      <c r="L1822">
        <v>1637057</v>
      </c>
      <c r="M1822">
        <v>79.410784604337209</v>
      </c>
    </row>
    <row r="1823" spans="1:13" hidden="1" x14ac:dyDescent="0.3">
      <c r="A1823" t="s">
        <v>2554</v>
      </c>
      <c r="B1823" t="s">
        <v>91</v>
      </c>
      <c r="C1823" t="s">
        <v>93</v>
      </c>
      <c r="D1823">
        <v>2019</v>
      </c>
      <c r="E1823" t="s">
        <v>31</v>
      </c>
      <c r="F1823" t="s">
        <v>115</v>
      </c>
      <c r="G1823" t="s">
        <v>54</v>
      </c>
      <c r="H1823" t="s">
        <v>27</v>
      </c>
      <c r="I1823" t="s">
        <v>27</v>
      </c>
      <c r="J1823" t="s">
        <v>27</v>
      </c>
      <c r="K1823">
        <v>160</v>
      </c>
      <c r="L1823" t="s">
        <v>31</v>
      </c>
      <c r="M1823">
        <v>79.410784604337209</v>
      </c>
    </row>
    <row r="1824" spans="1:13" hidden="1" x14ac:dyDescent="0.3">
      <c r="A1824" t="s">
        <v>2555</v>
      </c>
      <c r="B1824" t="s">
        <v>91</v>
      </c>
      <c r="C1824" t="s">
        <v>93</v>
      </c>
      <c r="D1824">
        <v>2019</v>
      </c>
      <c r="E1824" t="s">
        <v>31</v>
      </c>
      <c r="F1824" t="s">
        <v>53</v>
      </c>
      <c r="G1824" t="s">
        <v>31</v>
      </c>
      <c r="H1824" t="s">
        <v>27</v>
      </c>
      <c r="I1824" t="s">
        <v>27</v>
      </c>
      <c r="J1824" t="s">
        <v>33</v>
      </c>
      <c r="K1824">
        <v>4272</v>
      </c>
      <c r="L1824" t="s">
        <v>31</v>
      </c>
      <c r="M1824">
        <v>79.410784604337209</v>
      </c>
    </row>
    <row r="1825" spans="1:13" hidden="1" x14ac:dyDescent="0.3">
      <c r="A1825" t="s">
        <v>2556</v>
      </c>
      <c r="B1825" t="s">
        <v>28</v>
      </c>
      <c r="C1825" t="s">
        <v>97</v>
      </c>
      <c r="D1825">
        <v>2019</v>
      </c>
      <c r="E1825" t="s">
        <v>31</v>
      </c>
      <c r="F1825" t="s">
        <v>34</v>
      </c>
      <c r="G1825" t="s">
        <v>65</v>
      </c>
      <c r="H1825" t="s">
        <v>27</v>
      </c>
      <c r="I1825" t="s">
        <v>27</v>
      </c>
      <c r="J1825" t="s">
        <v>27</v>
      </c>
      <c r="K1825">
        <v>150</v>
      </c>
      <c r="L1825" t="s">
        <v>31</v>
      </c>
      <c r="M1825">
        <v>79.410784604337209</v>
      </c>
    </row>
    <row r="1826" spans="1:13" hidden="1" x14ac:dyDescent="0.3">
      <c r="A1826" t="s">
        <v>2557</v>
      </c>
      <c r="B1826" t="s">
        <v>51</v>
      </c>
      <c r="C1826" t="s">
        <v>52</v>
      </c>
      <c r="D1826">
        <v>2019</v>
      </c>
      <c r="E1826" t="s">
        <v>31</v>
      </c>
      <c r="F1826" t="s">
        <v>57</v>
      </c>
      <c r="G1826" t="s">
        <v>31</v>
      </c>
      <c r="H1826" t="s">
        <v>27</v>
      </c>
      <c r="I1826" t="s">
        <v>27</v>
      </c>
      <c r="J1826" t="s">
        <v>27</v>
      </c>
      <c r="K1826">
        <v>7406</v>
      </c>
      <c r="L1826" t="s">
        <v>31</v>
      </c>
      <c r="M1826">
        <v>79.410784604337209</v>
      </c>
    </row>
    <row r="1827" spans="1:13" hidden="1" x14ac:dyDescent="0.3">
      <c r="A1827" t="s">
        <v>2558</v>
      </c>
      <c r="B1827" t="s">
        <v>51</v>
      </c>
      <c r="C1827" t="s">
        <v>134</v>
      </c>
      <c r="D1827">
        <v>2019</v>
      </c>
      <c r="E1827" t="s">
        <v>31</v>
      </c>
      <c r="F1827" t="s">
        <v>109</v>
      </c>
      <c r="G1827" t="s">
        <v>37</v>
      </c>
      <c r="H1827" t="s">
        <v>27</v>
      </c>
      <c r="I1827" t="s">
        <v>27</v>
      </c>
      <c r="J1827" t="s">
        <v>27</v>
      </c>
      <c r="K1827">
        <v>145</v>
      </c>
      <c r="L1827" t="s">
        <v>31</v>
      </c>
      <c r="M1827">
        <v>79.410784604337209</v>
      </c>
    </row>
    <row r="1828" spans="1:13" hidden="1" x14ac:dyDescent="0.3">
      <c r="A1828" t="s">
        <v>2559</v>
      </c>
      <c r="B1828" t="s">
        <v>43</v>
      </c>
      <c r="C1828" t="s">
        <v>114</v>
      </c>
      <c r="D1828">
        <v>2019</v>
      </c>
      <c r="E1828" t="s">
        <v>31</v>
      </c>
      <c r="F1828" t="s">
        <v>49</v>
      </c>
      <c r="G1828" t="s">
        <v>31</v>
      </c>
      <c r="H1828" t="s">
        <v>27</v>
      </c>
      <c r="I1828" t="s">
        <v>27</v>
      </c>
      <c r="J1828" t="s">
        <v>33</v>
      </c>
      <c r="K1828">
        <v>71216</v>
      </c>
      <c r="L1828" t="s">
        <v>31</v>
      </c>
      <c r="M1828">
        <v>79.410784604337209</v>
      </c>
    </row>
    <row r="1829" spans="1:13" hidden="1" x14ac:dyDescent="0.3">
      <c r="A1829" t="s">
        <v>2560</v>
      </c>
      <c r="B1829" t="s">
        <v>43</v>
      </c>
      <c r="C1829" t="s">
        <v>114</v>
      </c>
      <c r="D1829">
        <v>2019</v>
      </c>
      <c r="E1829" t="s">
        <v>31</v>
      </c>
      <c r="F1829" t="s">
        <v>90</v>
      </c>
      <c r="G1829" t="s">
        <v>31</v>
      </c>
      <c r="H1829" t="s">
        <v>27</v>
      </c>
      <c r="I1829" t="s">
        <v>27</v>
      </c>
      <c r="J1829" t="s">
        <v>27</v>
      </c>
      <c r="K1829">
        <v>6264</v>
      </c>
      <c r="L1829" t="s">
        <v>31</v>
      </c>
      <c r="M1829">
        <v>79.410784604337209</v>
      </c>
    </row>
    <row r="1830" spans="1:13" hidden="1" x14ac:dyDescent="0.3">
      <c r="A1830" t="s">
        <v>2561</v>
      </c>
      <c r="B1830" t="s">
        <v>51</v>
      </c>
      <c r="C1830" t="s">
        <v>52</v>
      </c>
      <c r="D1830">
        <v>2019</v>
      </c>
      <c r="E1830" t="s">
        <v>31</v>
      </c>
      <c r="F1830" t="s">
        <v>119</v>
      </c>
      <c r="G1830" t="s">
        <v>54</v>
      </c>
      <c r="H1830" t="s">
        <v>27</v>
      </c>
      <c r="I1830" t="s">
        <v>27</v>
      </c>
      <c r="J1830" t="s">
        <v>27</v>
      </c>
      <c r="K1830" t="s">
        <v>31</v>
      </c>
      <c r="L1830" t="s">
        <v>31</v>
      </c>
      <c r="M1830">
        <v>79.410784604337209</v>
      </c>
    </row>
    <row r="1831" spans="1:13" hidden="1" x14ac:dyDescent="0.3">
      <c r="A1831" t="s">
        <v>2562</v>
      </c>
      <c r="B1831" t="s">
        <v>28</v>
      </c>
      <c r="C1831" t="s">
        <v>30</v>
      </c>
      <c r="D1831">
        <v>2019</v>
      </c>
      <c r="E1831">
        <v>1600000</v>
      </c>
      <c r="F1831" t="s">
        <v>34</v>
      </c>
      <c r="G1831" t="s">
        <v>37</v>
      </c>
      <c r="H1831" t="s">
        <v>27</v>
      </c>
      <c r="I1831" t="s">
        <v>27</v>
      </c>
      <c r="J1831" t="s">
        <v>27</v>
      </c>
      <c r="K1831" t="s">
        <v>31</v>
      </c>
      <c r="L1831">
        <v>2014840</v>
      </c>
      <c r="M1831">
        <v>79.410784604337209</v>
      </c>
    </row>
    <row r="1832" spans="1:13" hidden="1" x14ac:dyDescent="0.3">
      <c r="A1832" t="s">
        <v>2563</v>
      </c>
      <c r="B1832" t="s">
        <v>28</v>
      </c>
      <c r="C1832" t="s">
        <v>30</v>
      </c>
      <c r="D1832">
        <v>2019</v>
      </c>
      <c r="E1832">
        <v>3500000</v>
      </c>
      <c r="F1832" t="s">
        <v>34</v>
      </c>
      <c r="G1832" t="s">
        <v>37</v>
      </c>
      <c r="H1832" t="s">
        <v>27</v>
      </c>
      <c r="I1832" t="s">
        <v>27</v>
      </c>
      <c r="J1832" t="s">
        <v>27</v>
      </c>
      <c r="K1832">
        <v>1000</v>
      </c>
      <c r="L1832">
        <v>4407462</v>
      </c>
      <c r="M1832">
        <v>79.410784604337209</v>
      </c>
    </row>
    <row r="1833" spans="1:13" hidden="1" x14ac:dyDescent="0.3">
      <c r="A1833" t="s">
        <v>2564</v>
      </c>
      <c r="B1833" t="s">
        <v>28</v>
      </c>
      <c r="C1833" t="s">
        <v>30</v>
      </c>
      <c r="D1833">
        <v>2019</v>
      </c>
      <c r="E1833" t="s">
        <v>31</v>
      </c>
      <c r="F1833" t="s">
        <v>73</v>
      </c>
      <c r="G1833" t="s">
        <v>37</v>
      </c>
      <c r="H1833" t="s">
        <v>27</v>
      </c>
      <c r="I1833" t="s">
        <v>27</v>
      </c>
      <c r="J1833" t="s">
        <v>27</v>
      </c>
      <c r="K1833">
        <v>200</v>
      </c>
      <c r="L1833" t="s">
        <v>31</v>
      </c>
      <c r="M1833">
        <v>79.410784604337209</v>
      </c>
    </row>
    <row r="1834" spans="1:13" hidden="1" x14ac:dyDescent="0.3">
      <c r="A1834" t="s">
        <v>2565</v>
      </c>
      <c r="B1834" t="s">
        <v>39</v>
      </c>
      <c r="C1834" t="s">
        <v>41</v>
      </c>
      <c r="D1834">
        <v>2019</v>
      </c>
      <c r="E1834" t="s">
        <v>31</v>
      </c>
      <c r="F1834" t="s">
        <v>117</v>
      </c>
      <c r="G1834" t="s">
        <v>31</v>
      </c>
      <c r="H1834" t="s">
        <v>33</v>
      </c>
      <c r="I1834" t="s">
        <v>27</v>
      </c>
      <c r="J1834" t="s">
        <v>27</v>
      </c>
      <c r="K1834">
        <v>4000</v>
      </c>
      <c r="L1834" t="s">
        <v>31</v>
      </c>
      <c r="M1834">
        <v>79.410784604337209</v>
      </c>
    </row>
    <row r="1835" spans="1:13" hidden="1" x14ac:dyDescent="0.3">
      <c r="A1835" t="s">
        <v>2566</v>
      </c>
      <c r="B1835" t="s">
        <v>43</v>
      </c>
      <c r="C1835" t="s">
        <v>114</v>
      </c>
      <c r="D1835">
        <v>2019</v>
      </c>
      <c r="E1835" t="s">
        <v>31</v>
      </c>
      <c r="F1835" t="s">
        <v>47</v>
      </c>
      <c r="G1835" t="s">
        <v>31</v>
      </c>
      <c r="H1835" t="s">
        <v>27</v>
      </c>
      <c r="I1835" t="s">
        <v>27</v>
      </c>
      <c r="J1835" t="s">
        <v>27</v>
      </c>
      <c r="K1835">
        <v>79639</v>
      </c>
      <c r="L1835" t="s">
        <v>31</v>
      </c>
      <c r="M1835">
        <v>79.410784604337209</v>
      </c>
    </row>
    <row r="1836" spans="1:13" hidden="1" x14ac:dyDescent="0.3">
      <c r="A1836" t="s">
        <v>2567</v>
      </c>
      <c r="B1836" t="s">
        <v>43</v>
      </c>
      <c r="C1836" t="s">
        <v>114</v>
      </c>
      <c r="D1836">
        <v>2019</v>
      </c>
      <c r="E1836" t="s">
        <v>31</v>
      </c>
      <c r="F1836" t="s">
        <v>75</v>
      </c>
      <c r="G1836" t="s">
        <v>31</v>
      </c>
      <c r="H1836" t="s">
        <v>27</v>
      </c>
      <c r="I1836" t="s">
        <v>27</v>
      </c>
      <c r="J1836" t="s">
        <v>33</v>
      </c>
      <c r="K1836">
        <v>16907</v>
      </c>
      <c r="L1836" t="s">
        <v>31</v>
      </c>
      <c r="M1836">
        <v>79.410784604337209</v>
      </c>
    </row>
    <row r="1837" spans="1:13" hidden="1" x14ac:dyDescent="0.3">
      <c r="A1837" t="s">
        <v>2568</v>
      </c>
      <c r="B1837" t="s">
        <v>91</v>
      </c>
      <c r="C1837" t="s">
        <v>93</v>
      </c>
      <c r="D1837">
        <v>2019</v>
      </c>
      <c r="E1837" t="s">
        <v>31</v>
      </c>
      <c r="F1837" t="s">
        <v>109</v>
      </c>
      <c r="G1837" t="s">
        <v>31</v>
      </c>
      <c r="H1837" t="s">
        <v>27</v>
      </c>
      <c r="I1837" t="s">
        <v>27</v>
      </c>
      <c r="J1837" t="s">
        <v>27</v>
      </c>
      <c r="K1837">
        <v>249</v>
      </c>
      <c r="L1837" t="s">
        <v>31</v>
      </c>
      <c r="M1837">
        <v>79.410784604337209</v>
      </c>
    </row>
    <row r="1838" spans="1:13" hidden="1" x14ac:dyDescent="0.3">
      <c r="A1838" t="s">
        <v>55</v>
      </c>
      <c r="B1838" t="s">
        <v>51</v>
      </c>
      <c r="C1838" t="s">
        <v>56</v>
      </c>
      <c r="D1838">
        <v>2020</v>
      </c>
      <c r="E1838" t="s">
        <v>31</v>
      </c>
      <c r="F1838" t="s">
        <v>57</v>
      </c>
      <c r="G1838" t="s">
        <v>29</v>
      </c>
      <c r="H1838" t="s">
        <v>27</v>
      </c>
      <c r="I1838" t="s">
        <v>27</v>
      </c>
      <c r="J1838" t="s">
        <v>27</v>
      </c>
      <c r="K1838">
        <v>360</v>
      </c>
      <c r="L1838" t="s">
        <v>31</v>
      </c>
      <c r="M1838">
        <v>80.39038300821143</v>
      </c>
    </row>
    <row r="1839" spans="1:13" hidden="1" x14ac:dyDescent="0.3">
      <c r="A1839" t="s">
        <v>61</v>
      </c>
      <c r="B1839" t="s">
        <v>28</v>
      </c>
      <c r="C1839" t="s">
        <v>30</v>
      </c>
      <c r="D1839">
        <v>2020</v>
      </c>
      <c r="E1839">
        <v>59800</v>
      </c>
      <c r="F1839" t="s">
        <v>62</v>
      </c>
      <c r="G1839" t="s">
        <v>31</v>
      </c>
      <c r="H1839" t="s">
        <v>27</v>
      </c>
      <c r="I1839" t="s">
        <v>27</v>
      </c>
      <c r="J1839" t="s">
        <v>27</v>
      </c>
      <c r="K1839" t="s">
        <v>31</v>
      </c>
      <c r="L1839">
        <v>74387</v>
      </c>
      <c r="M1839">
        <v>80.39038300821143</v>
      </c>
    </row>
    <row r="1840" spans="1:13" hidden="1" x14ac:dyDescent="0.3">
      <c r="A1840" t="s">
        <v>72</v>
      </c>
      <c r="B1840" t="s">
        <v>51</v>
      </c>
      <c r="C1840" t="s">
        <v>52</v>
      </c>
      <c r="D1840">
        <v>2020</v>
      </c>
      <c r="E1840" t="s">
        <v>31</v>
      </c>
      <c r="F1840" t="s">
        <v>73</v>
      </c>
      <c r="G1840" t="s">
        <v>54</v>
      </c>
      <c r="H1840" t="s">
        <v>27</v>
      </c>
      <c r="I1840" t="s">
        <v>27</v>
      </c>
      <c r="J1840" t="s">
        <v>27</v>
      </c>
      <c r="K1840">
        <v>5100</v>
      </c>
      <c r="L1840" t="s">
        <v>31</v>
      </c>
      <c r="M1840">
        <v>80.39038300821143</v>
      </c>
    </row>
    <row r="1841" spans="1:13" hidden="1" x14ac:dyDescent="0.3">
      <c r="A1841" t="s">
        <v>74</v>
      </c>
      <c r="B1841" t="s">
        <v>28</v>
      </c>
      <c r="C1841" t="s">
        <v>30</v>
      </c>
      <c r="D1841">
        <v>2020</v>
      </c>
      <c r="E1841" t="s">
        <v>31</v>
      </c>
      <c r="F1841" t="s">
        <v>75</v>
      </c>
      <c r="G1841" t="s">
        <v>31</v>
      </c>
      <c r="H1841" t="s">
        <v>27</v>
      </c>
      <c r="I1841" t="s">
        <v>27</v>
      </c>
      <c r="J1841" t="s">
        <v>27</v>
      </c>
      <c r="K1841">
        <v>10000</v>
      </c>
      <c r="L1841" t="s">
        <v>31</v>
      </c>
      <c r="M1841">
        <v>80.39038300821143</v>
      </c>
    </row>
    <row r="1842" spans="1:13" hidden="1" x14ac:dyDescent="0.3">
      <c r="A1842" t="s">
        <v>78</v>
      </c>
      <c r="B1842" t="s">
        <v>28</v>
      </c>
      <c r="C1842" t="s">
        <v>30</v>
      </c>
      <c r="D1842">
        <v>2020</v>
      </c>
      <c r="E1842" t="s">
        <v>31</v>
      </c>
      <c r="F1842" t="s">
        <v>73</v>
      </c>
      <c r="G1842" t="s">
        <v>31</v>
      </c>
      <c r="H1842" t="s">
        <v>27</v>
      </c>
      <c r="I1842" t="s">
        <v>27</v>
      </c>
      <c r="J1842" t="s">
        <v>27</v>
      </c>
      <c r="K1842" t="s">
        <v>31</v>
      </c>
      <c r="L1842" t="s">
        <v>31</v>
      </c>
      <c r="M1842">
        <v>80.39038300821143</v>
      </c>
    </row>
    <row r="1843" spans="1:13" hidden="1" x14ac:dyDescent="0.3">
      <c r="A1843" t="s">
        <v>80</v>
      </c>
      <c r="B1843" t="s">
        <v>28</v>
      </c>
      <c r="C1843" t="s">
        <v>30</v>
      </c>
      <c r="D1843">
        <v>2020</v>
      </c>
      <c r="E1843">
        <v>178000</v>
      </c>
      <c r="F1843" t="s">
        <v>81</v>
      </c>
      <c r="G1843" t="s">
        <v>82</v>
      </c>
      <c r="H1843" t="s">
        <v>33</v>
      </c>
      <c r="I1843" t="s">
        <v>27</v>
      </c>
      <c r="J1843" t="s">
        <v>27</v>
      </c>
      <c r="K1843">
        <v>30000</v>
      </c>
      <c r="L1843">
        <v>221420</v>
      </c>
      <c r="M1843">
        <v>80.39038300821143</v>
      </c>
    </row>
    <row r="1844" spans="1:13" hidden="1" x14ac:dyDescent="0.3">
      <c r="A1844" t="s">
        <v>84</v>
      </c>
      <c r="B1844" t="s">
        <v>28</v>
      </c>
      <c r="C1844" t="s">
        <v>30</v>
      </c>
      <c r="D1844">
        <v>2020</v>
      </c>
      <c r="E1844">
        <v>1500000</v>
      </c>
      <c r="F1844" t="s">
        <v>34</v>
      </c>
      <c r="G1844" t="s">
        <v>85</v>
      </c>
      <c r="H1844" t="s">
        <v>27</v>
      </c>
      <c r="I1844" t="s">
        <v>27</v>
      </c>
      <c r="J1844" t="s">
        <v>27</v>
      </c>
      <c r="K1844" t="s">
        <v>31</v>
      </c>
      <c r="L1844">
        <v>1865895</v>
      </c>
      <c r="M1844">
        <v>80.39038300821143</v>
      </c>
    </row>
    <row r="1845" spans="1:13" hidden="1" x14ac:dyDescent="0.3">
      <c r="A1845" t="s">
        <v>86</v>
      </c>
      <c r="B1845" t="s">
        <v>28</v>
      </c>
      <c r="C1845" t="s">
        <v>30</v>
      </c>
      <c r="D1845">
        <v>2020</v>
      </c>
      <c r="E1845">
        <v>3500000</v>
      </c>
      <c r="F1845" t="s">
        <v>34</v>
      </c>
      <c r="G1845" t="s">
        <v>87</v>
      </c>
      <c r="H1845" t="s">
        <v>27</v>
      </c>
      <c r="I1845" t="s">
        <v>27</v>
      </c>
      <c r="J1845" t="s">
        <v>27</v>
      </c>
      <c r="K1845" t="s">
        <v>31</v>
      </c>
      <c r="L1845">
        <v>4353755</v>
      </c>
      <c r="M1845">
        <v>80.39038300821143</v>
      </c>
    </row>
    <row r="1846" spans="1:13" hidden="1" x14ac:dyDescent="0.3">
      <c r="A1846" t="s">
        <v>88</v>
      </c>
      <c r="B1846" t="s">
        <v>28</v>
      </c>
      <c r="C1846" t="s">
        <v>30</v>
      </c>
      <c r="D1846">
        <v>2020</v>
      </c>
      <c r="E1846">
        <v>100000</v>
      </c>
      <c r="F1846" t="s">
        <v>47</v>
      </c>
      <c r="G1846" t="s">
        <v>82</v>
      </c>
      <c r="H1846" t="s">
        <v>27</v>
      </c>
      <c r="I1846" t="s">
        <v>27</v>
      </c>
      <c r="J1846" t="s">
        <v>27</v>
      </c>
      <c r="K1846">
        <v>228000</v>
      </c>
      <c r="L1846">
        <v>124393</v>
      </c>
      <c r="M1846">
        <v>80.39038300821143</v>
      </c>
    </row>
    <row r="1847" spans="1:13" hidden="1" x14ac:dyDescent="0.3">
      <c r="A1847" t="s">
        <v>89</v>
      </c>
      <c r="B1847" t="s">
        <v>28</v>
      </c>
      <c r="C1847" t="s">
        <v>30</v>
      </c>
      <c r="D1847">
        <v>2020</v>
      </c>
      <c r="E1847" t="s">
        <v>31</v>
      </c>
      <c r="F1847" t="s">
        <v>90</v>
      </c>
      <c r="G1847" t="s">
        <v>31</v>
      </c>
      <c r="H1847" t="s">
        <v>27</v>
      </c>
      <c r="I1847" t="s">
        <v>33</v>
      </c>
      <c r="J1847" t="s">
        <v>27</v>
      </c>
      <c r="K1847">
        <v>131298</v>
      </c>
      <c r="L1847" t="s">
        <v>31</v>
      </c>
      <c r="M1847">
        <v>80.39038300821143</v>
      </c>
    </row>
    <row r="1848" spans="1:13" hidden="1" x14ac:dyDescent="0.3">
      <c r="A1848" t="s">
        <v>98</v>
      </c>
      <c r="B1848" t="s">
        <v>28</v>
      </c>
      <c r="C1848" t="s">
        <v>99</v>
      </c>
      <c r="D1848">
        <v>2020</v>
      </c>
      <c r="E1848">
        <v>350000</v>
      </c>
      <c r="F1848" t="s">
        <v>34</v>
      </c>
      <c r="G1848" t="s">
        <v>100</v>
      </c>
      <c r="H1848" t="s">
        <v>27</v>
      </c>
      <c r="I1848" t="s">
        <v>27</v>
      </c>
      <c r="J1848" t="s">
        <v>27</v>
      </c>
      <c r="K1848" t="s">
        <v>31</v>
      </c>
      <c r="L1848">
        <v>435375</v>
      </c>
      <c r="M1848">
        <v>80.39038300821143</v>
      </c>
    </row>
    <row r="1849" spans="1:13" hidden="1" x14ac:dyDescent="0.3">
      <c r="A1849" t="s">
        <v>106</v>
      </c>
      <c r="B1849" t="s">
        <v>28</v>
      </c>
      <c r="C1849" t="s">
        <v>64</v>
      </c>
      <c r="D1849">
        <v>2020</v>
      </c>
      <c r="E1849">
        <v>2900000</v>
      </c>
      <c r="F1849" t="s">
        <v>34</v>
      </c>
      <c r="G1849" t="s">
        <v>31</v>
      </c>
      <c r="H1849" t="s">
        <v>27</v>
      </c>
      <c r="I1849" t="s">
        <v>27</v>
      </c>
      <c r="J1849" t="s">
        <v>27</v>
      </c>
      <c r="K1849" t="s">
        <v>31</v>
      </c>
      <c r="L1849">
        <v>3607397</v>
      </c>
      <c r="M1849">
        <v>80.39038300821143</v>
      </c>
    </row>
    <row r="1850" spans="1:13" hidden="1" x14ac:dyDescent="0.3">
      <c r="A1850" t="s">
        <v>107</v>
      </c>
      <c r="B1850" t="s">
        <v>28</v>
      </c>
      <c r="C1850" t="s">
        <v>65</v>
      </c>
      <c r="D1850">
        <v>2020</v>
      </c>
      <c r="E1850">
        <v>1400000</v>
      </c>
      <c r="F1850" t="s">
        <v>34</v>
      </c>
      <c r="G1850" t="s">
        <v>31</v>
      </c>
      <c r="H1850" t="s">
        <v>27</v>
      </c>
      <c r="I1850" t="s">
        <v>27</v>
      </c>
      <c r="J1850" t="s">
        <v>27</v>
      </c>
      <c r="K1850" t="s">
        <v>31</v>
      </c>
      <c r="L1850">
        <v>1741502</v>
      </c>
      <c r="M1850">
        <v>80.39038300821143</v>
      </c>
    </row>
    <row r="1851" spans="1:13" hidden="1" x14ac:dyDescent="0.3">
      <c r="A1851" t="s">
        <v>429</v>
      </c>
      <c r="B1851" t="s">
        <v>28</v>
      </c>
      <c r="C1851" t="s">
        <v>97</v>
      </c>
      <c r="D1851">
        <v>2020</v>
      </c>
      <c r="E1851">
        <v>2500000</v>
      </c>
      <c r="F1851" t="s">
        <v>34</v>
      </c>
      <c r="G1851" t="s">
        <v>31</v>
      </c>
      <c r="H1851" t="s">
        <v>27</v>
      </c>
      <c r="I1851" t="s">
        <v>27</v>
      </c>
      <c r="J1851" t="s">
        <v>33</v>
      </c>
      <c r="K1851">
        <v>12300</v>
      </c>
      <c r="L1851">
        <v>3109825</v>
      </c>
      <c r="M1851">
        <v>80.39038300821143</v>
      </c>
    </row>
    <row r="1852" spans="1:13" hidden="1" x14ac:dyDescent="0.3">
      <c r="A1852" t="s">
        <v>430</v>
      </c>
      <c r="B1852" t="s">
        <v>28</v>
      </c>
      <c r="C1852" t="s">
        <v>97</v>
      </c>
      <c r="D1852">
        <v>2020</v>
      </c>
      <c r="E1852">
        <v>2900000</v>
      </c>
      <c r="F1852" t="s">
        <v>34</v>
      </c>
      <c r="G1852" t="s">
        <v>65</v>
      </c>
      <c r="H1852" t="s">
        <v>27</v>
      </c>
      <c r="I1852" t="s">
        <v>27</v>
      </c>
      <c r="J1852" t="s">
        <v>27</v>
      </c>
      <c r="K1852" t="s">
        <v>31</v>
      </c>
      <c r="L1852">
        <v>3607397</v>
      </c>
      <c r="M1852">
        <v>80.39038300821143</v>
      </c>
    </row>
    <row r="1853" spans="1:13" hidden="1" x14ac:dyDescent="0.3">
      <c r="A1853" t="s">
        <v>431</v>
      </c>
      <c r="B1853" t="s">
        <v>51</v>
      </c>
      <c r="C1853" t="s">
        <v>52</v>
      </c>
      <c r="D1853">
        <v>2020</v>
      </c>
      <c r="E1853" t="s">
        <v>31</v>
      </c>
      <c r="F1853" t="s">
        <v>111</v>
      </c>
      <c r="G1853" t="s">
        <v>54</v>
      </c>
      <c r="H1853" t="s">
        <v>27</v>
      </c>
      <c r="I1853" t="s">
        <v>27</v>
      </c>
      <c r="J1853" t="s">
        <v>33</v>
      </c>
      <c r="K1853">
        <v>2511</v>
      </c>
      <c r="L1853" t="s">
        <v>31</v>
      </c>
      <c r="M1853">
        <v>80.39038300821143</v>
      </c>
    </row>
    <row r="1854" spans="1:13" hidden="1" x14ac:dyDescent="0.3">
      <c r="A1854" t="s">
        <v>432</v>
      </c>
      <c r="B1854" t="s">
        <v>28</v>
      </c>
      <c r="C1854" t="s">
        <v>30</v>
      </c>
      <c r="D1854">
        <v>2020</v>
      </c>
      <c r="E1854" t="s">
        <v>31</v>
      </c>
      <c r="F1854" t="s">
        <v>49</v>
      </c>
      <c r="G1854" t="s">
        <v>54</v>
      </c>
      <c r="H1854" t="s">
        <v>27</v>
      </c>
      <c r="I1854" t="s">
        <v>27</v>
      </c>
      <c r="J1854" t="s">
        <v>27</v>
      </c>
      <c r="K1854">
        <v>1200</v>
      </c>
      <c r="L1854" t="s">
        <v>31</v>
      </c>
      <c r="M1854">
        <v>80.39038300821143</v>
      </c>
    </row>
    <row r="1855" spans="1:13" hidden="1" x14ac:dyDescent="0.3">
      <c r="A1855" t="s">
        <v>433</v>
      </c>
      <c r="B1855" t="s">
        <v>28</v>
      </c>
      <c r="C1855" t="s">
        <v>30</v>
      </c>
      <c r="D1855">
        <v>2020</v>
      </c>
      <c r="E1855">
        <v>325000</v>
      </c>
      <c r="F1855" t="s">
        <v>34</v>
      </c>
      <c r="G1855" t="s">
        <v>31</v>
      </c>
      <c r="H1855" t="s">
        <v>27</v>
      </c>
      <c r="I1855" t="s">
        <v>27</v>
      </c>
      <c r="J1855" t="s">
        <v>33</v>
      </c>
      <c r="K1855" t="s">
        <v>31</v>
      </c>
      <c r="L1855">
        <v>404277</v>
      </c>
      <c r="M1855">
        <v>80.39038300821143</v>
      </c>
    </row>
    <row r="1856" spans="1:13" hidden="1" x14ac:dyDescent="0.3">
      <c r="A1856" t="s">
        <v>434</v>
      </c>
      <c r="B1856" t="s">
        <v>28</v>
      </c>
      <c r="C1856" t="s">
        <v>64</v>
      </c>
      <c r="D1856">
        <v>2020</v>
      </c>
      <c r="E1856">
        <v>1200000</v>
      </c>
      <c r="F1856" t="s">
        <v>34</v>
      </c>
      <c r="G1856" t="s">
        <v>37</v>
      </c>
      <c r="H1856" t="s">
        <v>27</v>
      </c>
      <c r="I1856" t="s">
        <v>27</v>
      </c>
      <c r="J1856" t="s">
        <v>27</v>
      </c>
      <c r="K1856" t="s">
        <v>31</v>
      </c>
      <c r="L1856">
        <v>1492716</v>
      </c>
      <c r="M1856">
        <v>80.39038300821143</v>
      </c>
    </row>
    <row r="1857" spans="1:13" hidden="1" x14ac:dyDescent="0.3">
      <c r="A1857" t="s">
        <v>1263</v>
      </c>
      <c r="B1857" t="s">
        <v>51</v>
      </c>
      <c r="C1857" t="s">
        <v>56</v>
      </c>
      <c r="D1857">
        <v>2020</v>
      </c>
      <c r="E1857" t="s">
        <v>31</v>
      </c>
      <c r="F1857" t="s">
        <v>53</v>
      </c>
      <c r="G1857" t="s">
        <v>54</v>
      </c>
      <c r="H1857" t="s">
        <v>27</v>
      </c>
      <c r="I1857" t="s">
        <v>27</v>
      </c>
      <c r="J1857" t="s">
        <v>27</v>
      </c>
      <c r="K1857">
        <v>240</v>
      </c>
      <c r="L1857" t="s">
        <v>31</v>
      </c>
      <c r="M1857">
        <v>80.39038300821143</v>
      </c>
    </row>
    <row r="1858" spans="1:13" hidden="1" x14ac:dyDescent="0.3">
      <c r="A1858" t="s">
        <v>1265</v>
      </c>
      <c r="B1858" t="s">
        <v>91</v>
      </c>
      <c r="C1858" t="s">
        <v>93</v>
      </c>
      <c r="D1858">
        <v>2020</v>
      </c>
      <c r="E1858">
        <v>800000</v>
      </c>
      <c r="F1858" t="s">
        <v>62</v>
      </c>
      <c r="G1858" t="s">
        <v>173</v>
      </c>
      <c r="H1858" t="s">
        <v>27</v>
      </c>
      <c r="I1858" t="s">
        <v>27</v>
      </c>
      <c r="J1858" t="s">
        <v>27</v>
      </c>
      <c r="K1858">
        <v>5078</v>
      </c>
      <c r="L1858">
        <v>995144</v>
      </c>
      <c r="M1858">
        <v>80.39038300821143</v>
      </c>
    </row>
    <row r="1859" spans="1:13" hidden="1" x14ac:dyDescent="0.3">
      <c r="A1859" t="s">
        <v>1266</v>
      </c>
      <c r="B1859" t="s">
        <v>51</v>
      </c>
      <c r="C1859" t="s">
        <v>150</v>
      </c>
      <c r="D1859">
        <v>2020</v>
      </c>
      <c r="E1859" t="s">
        <v>31</v>
      </c>
      <c r="F1859" t="s">
        <v>53</v>
      </c>
      <c r="G1859" t="s">
        <v>37</v>
      </c>
      <c r="H1859" t="s">
        <v>27</v>
      </c>
      <c r="I1859" t="s">
        <v>27</v>
      </c>
      <c r="J1859" t="s">
        <v>27</v>
      </c>
      <c r="K1859">
        <v>13</v>
      </c>
      <c r="L1859" t="s">
        <v>31</v>
      </c>
      <c r="M1859">
        <v>80.39038300821143</v>
      </c>
    </row>
    <row r="1860" spans="1:13" hidden="1" x14ac:dyDescent="0.3">
      <c r="A1860" t="s">
        <v>1267</v>
      </c>
      <c r="B1860" t="s">
        <v>51</v>
      </c>
      <c r="C1860" t="s">
        <v>52</v>
      </c>
      <c r="D1860">
        <v>2020</v>
      </c>
      <c r="E1860" t="s">
        <v>31</v>
      </c>
      <c r="F1860" t="s">
        <v>119</v>
      </c>
      <c r="G1860" t="s">
        <v>54</v>
      </c>
      <c r="H1860" t="s">
        <v>27</v>
      </c>
      <c r="I1860" t="s">
        <v>27</v>
      </c>
      <c r="J1860" t="s">
        <v>27</v>
      </c>
      <c r="K1860">
        <v>152</v>
      </c>
      <c r="L1860" t="s">
        <v>31</v>
      </c>
      <c r="M1860">
        <v>80.39038300821143</v>
      </c>
    </row>
    <row r="1861" spans="1:13" hidden="1" x14ac:dyDescent="0.3">
      <c r="A1861" t="s">
        <v>1268</v>
      </c>
      <c r="B1861" t="s">
        <v>43</v>
      </c>
      <c r="C1861" t="s">
        <v>114</v>
      </c>
      <c r="D1861">
        <v>2020</v>
      </c>
      <c r="E1861" t="s">
        <v>31</v>
      </c>
      <c r="F1861" t="s">
        <v>117</v>
      </c>
      <c r="G1861" t="s">
        <v>31</v>
      </c>
      <c r="H1861" t="s">
        <v>27</v>
      </c>
      <c r="I1861" t="s">
        <v>27</v>
      </c>
      <c r="J1861" t="s">
        <v>33</v>
      </c>
      <c r="K1861">
        <v>106127</v>
      </c>
      <c r="L1861" t="s">
        <v>31</v>
      </c>
      <c r="M1861">
        <v>80.39038300821143</v>
      </c>
    </row>
    <row r="1862" spans="1:13" hidden="1" x14ac:dyDescent="0.3">
      <c r="A1862" t="s">
        <v>1269</v>
      </c>
      <c r="B1862" t="s">
        <v>51</v>
      </c>
      <c r="C1862" t="s">
        <v>52</v>
      </c>
      <c r="D1862">
        <v>2020</v>
      </c>
      <c r="E1862">
        <v>10000</v>
      </c>
      <c r="F1862" t="s">
        <v>130</v>
      </c>
      <c r="G1862" t="s">
        <v>31</v>
      </c>
      <c r="H1862" t="s">
        <v>27</v>
      </c>
      <c r="I1862" t="s">
        <v>27</v>
      </c>
      <c r="J1862" t="s">
        <v>27</v>
      </c>
      <c r="K1862">
        <v>3000</v>
      </c>
      <c r="L1862">
        <v>12439</v>
      </c>
      <c r="M1862">
        <v>80.39038300821143</v>
      </c>
    </row>
    <row r="1863" spans="1:13" hidden="1" x14ac:dyDescent="0.3">
      <c r="A1863" t="s">
        <v>1270</v>
      </c>
      <c r="B1863" t="s">
        <v>51</v>
      </c>
      <c r="C1863" t="s">
        <v>56</v>
      </c>
      <c r="D1863">
        <v>2020</v>
      </c>
      <c r="E1863">
        <v>10000</v>
      </c>
      <c r="F1863" t="s">
        <v>53</v>
      </c>
      <c r="G1863" t="s">
        <v>54</v>
      </c>
      <c r="H1863" t="s">
        <v>27</v>
      </c>
      <c r="I1863" t="s">
        <v>27</v>
      </c>
      <c r="J1863" t="s">
        <v>27</v>
      </c>
      <c r="K1863">
        <v>6461</v>
      </c>
      <c r="L1863">
        <v>12439</v>
      </c>
      <c r="M1863">
        <v>80.39038300821143</v>
      </c>
    </row>
    <row r="1864" spans="1:13" hidden="1" x14ac:dyDescent="0.3">
      <c r="A1864" t="s">
        <v>1271</v>
      </c>
      <c r="B1864" t="s">
        <v>28</v>
      </c>
      <c r="C1864" t="s">
        <v>97</v>
      </c>
      <c r="D1864">
        <v>2020</v>
      </c>
      <c r="E1864">
        <v>3500000</v>
      </c>
      <c r="F1864" t="s">
        <v>34</v>
      </c>
      <c r="G1864" t="s">
        <v>37</v>
      </c>
      <c r="H1864" t="s">
        <v>27</v>
      </c>
      <c r="I1864" t="s">
        <v>27</v>
      </c>
      <c r="J1864" t="s">
        <v>27</v>
      </c>
      <c r="K1864">
        <v>200</v>
      </c>
      <c r="L1864">
        <v>4353755</v>
      </c>
      <c r="M1864">
        <v>80.39038300821143</v>
      </c>
    </row>
    <row r="1865" spans="1:13" hidden="1" x14ac:dyDescent="0.3">
      <c r="A1865" t="s">
        <v>1272</v>
      </c>
      <c r="B1865" t="s">
        <v>51</v>
      </c>
      <c r="C1865" t="s">
        <v>52</v>
      </c>
      <c r="D1865">
        <v>2020</v>
      </c>
      <c r="E1865" t="s">
        <v>31</v>
      </c>
      <c r="F1865" t="s">
        <v>1273</v>
      </c>
      <c r="G1865" t="s">
        <v>31</v>
      </c>
      <c r="H1865" t="s">
        <v>27</v>
      </c>
      <c r="I1865" t="s">
        <v>27</v>
      </c>
      <c r="J1865" t="s">
        <v>27</v>
      </c>
      <c r="K1865">
        <v>139</v>
      </c>
      <c r="L1865" t="s">
        <v>31</v>
      </c>
      <c r="M1865">
        <v>80.39038300821143</v>
      </c>
    </row>
    <row r="1866" spans="1:13" hidden="1" x14ac:dyDescent="0.3">
      <c r="A1866" t="s">
        <v>1274</v>
      </c>
      <c r="B1866" t="s">
        <v>91</v>
      </c>
      <c r="C1866" t="s">
        <v>93</v>
      </c>
      <c r="D1866">
        <v>2020</v>
      </c>
      <c r="E1866">
        <v>150000</v>
      </c>
      <c r="F1866" t="s">
        <v>62</v>
      </c>
      <c r="G1866" t="s">
        <v>54</v>
      </c>
      <c r="H1866" t="s">
        <v>27</v>
      </c>
      <c r="I1866" t="s">
        <v>27</v>
      </c>
      <c r="J1866" t="s">
        <v>27</v>
      </c>
      <c r="K1866">
        <v>150</v>
      </c>
      <c r="L1866">
        <v>186589</v>
      </c>
      <c r="M1866">
        <v>80.39038300821143</v>
      </c>
    </row>
    <row r="1867" spans="1:13" hidden="1" x14ac:dyDescent="0.3">
      <c r="A1867" t="s">
        <v>1275</v>
      </c>
      <c r="B1867" t="s">
        <v>51</v>
      </c>
      <c r="C1867" t="s">
        <v>52</v>
      </c>
      <c r="D1867">
        <v>2020</v>
      </c>
      <c r="E1867" t="s">
        <v>31</v>
      </c>
      <c r="F1867" t="s">
        <v>90</v>
      </c>
      <c r="G1867" t="s">
        <v>155</v>
      </c>
      <c r="H1867" t="s">
        <v>27</v>
      </c>
      <c r="I1867" t="s">
        <v>27</v>
      </c>
      <c r="J1867" t="s">
        <v>27</v>
      </c>
      <c r="K1867">
        <v>16000</v>
      </c>
      <c r="L1867" t="s">
        <v>31</v>
      </c>
      <c r="M1867">
        <v>80.39038300821143</v>
      </c>
    </row>
    <row r="1868" spans="1:13" hidden="1" x14ac:dyDescent="0.3">
      <c r="A1868" t="s">
        <v>1276</v>
      </c>
      <c r="B1868" t="s">
        <v>28</v>
      </c>
      <c r="C1868" t="s">
        <v>189</v>
      </c>
      <c r="D1868">
        <v>2020</v>
      </c>
      <c r="E1868" t="s">
        <v>31</v>
      </c>
      <c r="F1868" t="s">
        <v>242</v>
      </c>
      <c r="G1868" t="s">
        <v>37</v>
      </c>
      <c r="H1868" t="s">
        <v>27</v>
      </c>
      <c r="I1868" t="s">
        <v>27</v>
      </c>
      <c r="J1868" t="s">
        <v>27</v>
      </c>
      <c r="K1868">
        <v>3833</v>
      </c>
      <c r="L1868" t="s">
        <v>31</v>
      </c>
      <c r="M1868">
        <v>80.39038300821143</v>
      </c>
    </row>
    <row r="1869" spans="1:13" hidden="1" x14ac:dyDescent="0.3">
      <c r="A1869" t="s">
        <v>1277</v>
      </c>
      <c r="B1869" t="s">
        <v>28</v>
      </c>
      <c r="C1869" t="s">
        <v>30</v>
      </c>
      <c r="D1869">
        <v>2020</v>
      </c>
      <c r="E1869" t="s">
        <v>31</v>
      </c>
      <c r="F1869" t="s">
        <v>73</v>
      </c>
      <c r="G1869" t="s">
        <v>54</v>
      </c>
      <c r="H1869" t="s">
        <v>27</v>
      </c>
      <c r="I1869" t="s">
        <v>27</v>
      </c>
      <c r="J1869" t="s">
        <v>27</v>
      </c>
      <c r="K1869">
        <v>606</v>
      </c>
      <c r="L1869" t="s">
        <v>31</v>
      </c>
      <c r="M1869">
        <v>80.39038300821143</v>
      </c>
    </row>
    <row r="1870" spans="1:13" hidden="1" x14ac:dyDescent="0.3">
      <c r="A1870" t="s">
        <v>1278</v>
      </c>
      <c r="B1870" t="s">
        <v>28</v>
      </c>
      <c r="C1870" t="s">
        <v>189</v>
      </c>
      <c r="D1870">
        <v>2020</v>
      </c>
      <c r="E1870">
        <v>100000</v>
      </c>
      <c r="F1870" t="s">
        <v>119</v>
      </c>
      <c r="G1870" t="s">
        <v>82</v>
      </c>
      <c r="H1870" t="s">
        <v>27</v>
      </c>
      <c r="I1870" t="s">
        <v>27</v>
      </c>
      <c r="J1870" t="s">
        <v>33</v>
      </c>
      <c r="K1870">
        <v>1119</v>
      </c>
      <c r="L1870">
        <v>124393</v>
      </c>
      <c r="M1870">
        <v>80.39038300821143</v>
      </c>
    </row>
    <row r="1871" spans="1:13" hidden="1" x14ac:dyDescent="0.3">
      <c r="A1871" t="s">
        <v>1279</v>
      </c>
      <c r="B1871" t="s">
        <v>28</v>
      </c>
      <c r="C1871" t="s">
        <v>64</v>
      </c>
      <c r="D1871">
        <v>2020</v>
      </c>
      <c r="E1871" t="s">
        <v>31</v>
      </c>
      <c r="F1871" t="s">
        <v>57</v>
      </c>
      <c r="G1871" t="s">
        <v>37</v>
      </c>
      <c r="H1871" t="s">
        <v>27</v>
      </c>
      <c r="I1871" t="s">
        <v>27</v>
      </c>
      <c r="J1871" t="s">
        <v>27</v>
      </c>
      <c r="K1871">
        <v>360</v>
      </c>
      <c r="L1871" t="s">
        <v>31</v>
      </c>
      <c r="M1871">
        <v>80.39038300821143</v>
      </c>
    </row>
    <row r="1872" spans="1:13" hidden="1" x14ac:dyDescent="0.3">
      <c r="A1872" t="s">
        <v>1280</v>
      </c>
      <c r="B1872" t="s">
        <v>39</v>
      </c>
      <c r="C1872" t="s">
        <v>41</v>
      </c>
      <c r="D1872">
        <v>2020</v>
      </c>
      <c r="E1872">
        <v>11000000</v>
      </c>
      <c r="F1872" t="s">
        <v>34</v>
      </c>
      <c r="G1872" t="s">
        <v>31</v>
      </c>
      <c r="H1872" t="s">
        <v>27</v>
      </c>
      <c r="I1872" t="s">
        <v>27</v>
      </c>
      <c r="J1872" t="s">
        <v>27</v>
      </c>
      <c r="K1872" t="s">
        <v>31</v>
      </c>
      <c r="L1872">
        <v>13683229</v>
      </c>
      <c r="M1872">
        <v>80.39038300821143</v>
      </c>
    </row>
    <row r="1873" spans="1:13" hidden="1" x14ac:dyDescent="0.3">
      <c r="A1873" t="s">
        <v>1281</v>
      </c>
      <c r="B1873" t="s">
        <v>51</v>
      </c>
      <c r="C1873" t="s">
        <v>150</v>
      </c>
      <c r="D1873">
        <v>2020</v>
      </c>
      <c r="E1873" t="s">
        <v>31</v>
      </c>
      <c r="F1873" t="s">
        <v>115</v>
      </c>
      <c r="G1873" t="s">
        <v>31</v>
      </c>
      <c r="H1873" t="s">
        <v>27</v>
      </c>
      <c r="I1873" t="s">
        <v>27</v>
      </c>
      <c r="J1873" t="s">
        <v>27</v>
      </c>
      <c r="K1873">
        <v>525</v>
      </c>
      <c r="L1873" t="s">
        <v>31</v>
      </c>
      <c r="M1873">
        <v>80.39038300821143</v>
      </c>
    </row>
    <row r="1874" spans="1:13" hidden="1" x14ac:dyDescent="0.3">
      <c r="A1874" t="s">
        <v>1282</v>
      </c>
      <c r="B1874" t="s">
        <v>51</v>
      </c>
      <c r="C1874" t="s">
        <v>52</v>
      </c>
      <c r="D1874">
        <v>2020</v>
      </c>
      <c r="E1874">
        <v>30000</v>
      </c>
      <c r="F1874" t="s">
        <v>70</v>
      </c>
      <c r="G1874" t="s">
        <v>31</v>
      </c>
      <c r="H1874" t="s">
        <v>27</v>
      </c>
      <c r="I1874" t="s">
        <v>27</v>
      </c>
      <c r="J1874" t="s">
        <v>27</v>
      </c>
      <c r="K1874">
        <v>3690</v>
      </c>
      <c r="L1874">
        <v>37318</v>
      </c>
      <c r="M1874">
        <v>80.39038300821143</v>
      </c>
    </row>
    <row r="1875" spans="1:13" hidden="1" x14ac:dyDescent="0.3">
      <c r="A1875" t="s">
        <v>1283</v>
      </c>
      <c r="B1875" t="s">
        <v>28</v>
      </c>
      <c r="C1875" t="s">
        <v>30</v>
      </c>
      <c r="D1875">
        <v>2020</v>
      </c>
      <c r="E1875" t="s">
        <v>31</v>
      </c>
      <c r="F1875" t="s">
        <v>161</v>
      </c>
      <c r="G1875" t="s">
        <v>31</v>
      </c>
      <c r="H1875" t="s">
        <v>27</v>
      </c>
      <c r="I1875" t="s">
        <v>27</v>
      </c>
      <c r="J1875" t="s">
        <v>33</v>
      </c>
      <c r="K1875">
        <v>25000</v>
      </c>
      <c r="L1875" t="s">
        <v>31</v>
      </c>
      <c r="M1875">
        <v>80.39038300821143</v>
      </c>
    </row>
    <row r="1876" spans="1:13" hidden="1" x14ac:dyDescent="0.3">
      <c r="A1876" t="s">
        <v>1284</v>
      </c>
      <c r="B1876" t="s">
        <v>28</v>
      </c>
      <c r="C1876" t="s">
        <v>30</v>
      </c>
      <c r="D1876">
        <v>2020</v>
      </c>
      <c r="E1876">
        <v>386000</v>
      </c>
      <c r="F1876" t="s">
        <v>90</v>
      </c>
      <c r="G1876" t="s">
        <v>82</v>
      </c>
      <c r="H1876" t="s">
        <v>27</v>
      </c>
      <c r="I1876" t="s">
        <v>27</v>
      </c>
      <c r="J1876" t="s">
        <v>33</v>
      </c>
      <c r="K1876">
        <v>2415888</v>
      </c>
      <c r="L1876">
        <v>480157</v>
      </c>
      <c r="M1876">
        <v>80.39038300821143</v>
      </c>
    </row>
    <row r="1877" spans="1:13" hidden="1" x14ac:dyDescent="0.3">
      <c r="A1877" t="s">
        <v>1285</v>
      </c>
      <c r="B1877" t="s">
        <v>28</v>
      </c>
      <c r="C1877" t="s">
        <v>30</v>
      </c>
      <c r="D1877">
        <v>2020</v>
      </c>
      <c r="E1877" t="s">
        <v>31</v>
      </c>
      <c r="F1877" t="s">
        <v>49</v>
      </c>
      <c r="G1877" t="s">
        <v>31</v>
      </c>
      <c r="H1877" t="s">
        <v>33</v>
      </c>
      <c r="I1877" t="s">
        <v>33</v>
      </c>
      <c r="J1877" t="s">
        <v>27</v>
      </c>
      <c r="K1877">
        <v>4566584</v>
      </c>
      <c r="L1877" t="s">
        <v>31</v>
      </c>
      <c r="M1877">
        <v>80.39038300821143</v>
      </c>
    </row>
    <row r="1878" spans="1:13" hidden="1" x14ac:dyDescent="0.3">
      <c r="A1878" t="s">
        <v>1286</v>
      </c>
      <c r="B1878" t="s">
        <v>43</v>
      </c>
      <c r="C1878" t="s">
        <v>114</v>
      </c>
      <c r="D1878">
        <v>2020</v>
      </c>
      <c r="E1878" t="s">
        <v>31</v>
      </c>
      <c r="F1878" t="s">
        <v>148</v>
      </c>
      <c r="G1878" t="s">
        <v>31</v>
      </c>
      <c r="H1878" t="s">
        <v>27</v>
      </c>
      <c r="I1878" t="s">
        <v>27</v>
      </c>
      <c r="J1878" t="s">
        <v>27</v>
      </c>
      <c r="K1878">
        <v>1760</v>
      </c>
      <c r="L1878" t="s">
        <v>31</v>
      </c>
      <c r="M1878">
        <v>80.39038300821143</v>
      </c>
    </row>
    <row r="1879" spans="1:13" hidden="1" x14ac:dyDescent="0.3">
      <c r="A1879" t="s">
        <v>1287</v>
      </c>
      <c r="B1879" t="s">
        <v>28</v>
      </c>
      <c r="C1879" t="s">
        <v>30</v>
      </c>
      <c r="D1879">
        <v>2020</v>
      </c>
      <c r="E1879" t="s">
        <v>31</v>
      </c>
      <c r="F1879" t="s">
        <v>115</v>
      </c>
      <c r="G1879" t="s">
        <v>31</v>
      </c>
      <c r="H1879" t="s">
        <v>27</v>
      </c>
      <c r="I1879" t="s">
        <v>27</v>
      </c>
      <c r="J1879" t="s">
        <v>27</v>
      </c>
      <c r="K1879" t="s">
        <v>31</v>
      </c>
      <c r="L1879" t="s">
        <v>31</v>
      </c>
      <c r="M1879">
        <v>80.39038300821143</v>
      </c>
    </row>
    <row r="1880" spans="1:13" hidden="1" x14ac:dyDescent="0.3">
      <c r="A1880" t="s">
        <v>1288</v>
      </c>
      <c r="B1880" t="s">
        <v>51</v>
      </c>
      <c r="C1880" t="s">
        <v>52</v>
      </c>
      <c r="D1880">
        <v>2020</v>
      </c>
      <c r="E1880" t="s">
        <v>31</v>
      </c>
      <c r="F1880" t="s">
        <v>73</v>
      </c>
      <c r="G1880" t="s">
        <v>54</v>
      </c>
      <c r="H1880" t="s">
        <v>27</v>
      </c>
      <c r="I1880" t="s">
        <v>27</v>
      </c>
      <c r="J1880" t="s">
        <v>27</v>
      </c>
      <c r="K1880">
        <v>90000</v>
      </c>
      <c r="L1880" t="s">
        <v>31</v>
      </c>
      <c r="M1880">
        <v>80.39038300821143</v>
      </c>
    </row>
    <row r="1881" spans="1:13" x14ac:dyDescent="0.3">
      <c r="D1881" s="2" t="s">
        <v>2571</v>
      </c>
      <c r="E1881" s="2">
        <f>SUM(E1695,E1726)</f>
        <v>53000</v>
      </c>
    </row>
    <row r="1882" spans="1:13" x14ac:dyDescent="0.3">
      <c r="A1882" t="s">
        <v>1881</v>
      </c>
      <c r="B1882" t="s">
        <v>51</v>
      </c>
      <c r="C1882" t="s">
        <v>52</v>
      </c>
      <c r="D1882">
        <v>2020</v>
      </c>
      <c r="E1882">
        <v>75000</v>
      </c>
      <c r="F1882" t="s">
        <v>119</v>
      </c>
      <c r="G1882" t="s">
        <v>54</v>
      </c>
      <c r="H1882" t="s">
        <v>27</v>
      </c>
      <c r="I1882" t="s">
        <v>27</v>
      </c>
      <c r="J1882" t="s">
        <v>27</v>
      </c>
      <c r="K1882">
        <v>5000</v>
      </c>
      <c r="L1882">
        <v>93295</v>
      </c>
      <c r="M1882">
        <v>80.39038300821143</v>
      </c>
    </row>
    <row r="1883" spans="1:13" hidden="1" x14ac:dyDescent="0.3">
      <c r="A1883" t="s">
        <v>1883</v>
      </c>
      <c r="B1883" t="s">
        <v>51</v>
      </c>
      <c r="C1883" t="s">
        <v>134</v>
      </c>
      <c r="D1883">
        <v>2020</v>
      </c>
      <c r="E1883" t="s">
        <v>31</v>
      </c>
      <c r="F1883" t="s">
        <v>47</v>
      </c>
      <c r="G1883" t="s">
        <v>37</v>
      </c>
      <c r="H1883" t="s">
        <v>27</v>
      </c>
      <c r="I1883" t="s">
        <v>27</v>
      </c>
      <c r="J1883" t="s">
        <v>27</v>
      </c>
      <c r="K1883">
        <v>12</v>
      </c>
      <c r="L1883" t="s">
        <v>31</v>
      </c>
      <c r="M1883">
        <v>80.39038300821143</v>
      </c>
    </row>
    <row r="1884" spans="1:13" x14ac:dyDescent="0.3">
      <c r="A1884" t="s">
        <v>1884</v>
      </c>
      <c r="B1884" t="s">
        <v>51</v>
      </c>
      <c r="C1884" t="s">
        <v>52</v>
      </c>
      <c r="D1884">
        <v>2020</v>
      </c>
      <c r="E1884">
        <v>300000</v>
      </c>
      <c r="F1884" t="s">
        <v>119</v>
      </c>
      <c r="G1884" t="s">
        <v>155</v>
      </c>
      <c r="H1884" t="s">
        <v>27</v>
      </c>
      <c r="I1884" t="s">
        <v>27</v>
      </c>
      <c r="J1884" t="s">
        <v>33</v>
      </c>
      <c r="K1884">
        <v>11012</v>
      </c>
      <c r="L1884">
        <v>373179</v>
      </c>
      <c r="M1884">
        <v>80.39038300821143</v>
      </c>
    </row>
    <row r="1885" spans="1:13" x14ac:dyDescent="0.3">
      <c r="A1885" t="s">
        <v>1885</v>
      </c>
      <c r="B1885" t="s">
        <v>51</v>
      </c>
      <c r="C1885" t="s">
        <v>52</v>
      </c>
      <c r="D1885">
        <v>2020</v>
      </c>
      <c r="E1885">
        <v>50000</v>
      </c>
      <c r="F1885" t="s">
        <v>119</v>
      </c>
      <c r="G1885" t="s">
        <v>54</v>
      </c>
      <c r="H1885" t="s">
        <v>27</v>
      </c>
      <c r="I1885" t="s">
        <v>27</v>
      </c>
      <c r="J1885" t="s">
        <v>33</v>
      </c>
      <c r="K1885">
        <v>658</v>
      </c>
      <c r="L1885">
        <v>62196</v>
      </c>
      <c r="M1885">
        <v>80.39038300821143</v>
      </c>
    </row>
    <row r="1886" spans="1:13" hidden="1" x14ac:dyDescent="0.3">
      <c r="A1886" t="s">
        <v>1886</v>
      </c>
      <c r="B1886" t="s">
        <v>51</v>
      </c>
      <c r="C1886" t="s">
        <v>56</v>
      </c>
      <c r="D1886">
        <v>2020</v>
      </c>
      <c r="E1886" t="s">
        <v>31</v>
      </c>
      <c r="F1886" t="s">
        <v>47</v>
      </c>
      <c r="G1886" t="s">
        <v>54</v>
      </c>
      <c r="H1886" t="s">
        <v>27</v>
      </c>
      <c r="I1886" t="s">
        <v>27</v>
      </c>
      <c r="J1886" t="s">
        <v>27</v>
      </c>
      <c r="K1886">
        <v>157</v>
      </c>
      <c r="L1886" t="s">
        <v>31</v>
      </c>
      <c r="M1886">
        <v>80.39038300821143</v>
      </c>
    </row>
    <row r="1887" spans="1:13" hidden="1" x14ac:dyDescent="0.3">
      <c r="A1887" t="s">
        <v>1887</v>
      </c>
      <c r="B1887" t="s">
        <v>51</v>
      </c>
      <c r="C1887" t="s">
        <v>52</v>
      </c>
      <c r="D1887">
        <v>2020</v>
      </c>
      <c r="E1887" t="s">
        <v>31</v>
      </c>
      <c r="F1887" t="s">
        <v>109</v>
      </c>
      <c r="G1887" t="s">
        <v>31</v>
      </c>
      <c r="H1887" t="s">
        <v>27</v>
      </c>
      <c r="I1887" t="s">
        <v>27</v>
      </c>
      <c r="J1887" t="s">
        <v>27</v>
      </c>
      <c r="K1887">
        <v>290</v>
      </c>
      <c r="L1887" t="s">
        <v>31</v>
      </c>
      <c r="M1887">
        <v>80.39038300821143</v>
      </c>
    </row>
    <row r="1888" spans="1:13" hidden="1" x14ac:dyDescent="0.3">
      <c r="A1888" t="s">
        <v>1888</v>
      </c>
      <c r="B1888" t="s">
        <v>51</v>
      </c>
      <c r="C1888" t="s">
        <v>52</v>
      </c>
      <c r="D1888">
        <v>2020</v>
      </c>
      <c r="E1888" t="s">
        <v>31</v>
      </c>
      <c r="F1888" t="s">
        <v>49</v>
      </c>
      <c r="G1888" t="s">
        <v>29</v>
      </c>
      <c r="H1888" t="s">
        <v>27</v>
      </c>
      <c r="I1888" t="s">
        <v>27</v>
      </c>
      <c r="J1888" t="s">
        <v>27</v>
      </c>
      <c r="K1888">
        <v>17700</v>
      </c>
      <c r="L1888" t="s">
        <v>31</v>
      </c>
      <c r="M1888">
        <v>80.39038300821143</v>
      </c>
    </row>
    <row r="1889" spans="1:13" hidden="1" x14ac:dyDescent="0.3">
      <c r="A1889" t="s">
        <v>1889</v>
      </c>
      <c r="B1889" t="s">
        <v>51</v>
      </c>
      <c r="C1889" t="s">
        <v>52</v>
      </c>
      <c r="D1889">
        <v>2020</v>
      </c>
      <c r="E1889">
        <v>10000</v>
      </c>
      <c r="F1889" t="s">
        <v>111</v>
      </c>
      <c r="G1889" t="s">
        <v>54</v>
      </c>
      <c r="H1889" t="s">
        <v>27</v>
      </c>
      <c r="I1889" t="s">
        <v>27</v>
      </c>
      <c r="J1889" t="s">
        <v>33</v>
      </c>
      <c r="K1889">
        <v>35100</v>
      </c>
      <c r="L1889">
        <v>12439</v>
      </c>
      <c r="M1889">
        <v>80.39038300821143</v>
      </c>
    </row>
    <row r="1890" spans="1:13" hidden="1" x14ac:dyDescent="0.3">
      <c r="A1890" t="s">
        <v>1890</v>
      </c>
      <c r="B1890" t="s">
        <v>28</v>
      </c>
      <c r="C1890" t="s">
        <v>97</v>
      </c>
      <c r="D1890">
        <v>2020</v>
      </c>
      <c r="E1890">
        <v>1400000</v>
      </c>
      <c r="F1890" t="s">
        <v>34</v>
      </c>
      <c r="G1890" t="s">
        <v>37</v>
      </c>
      <c r="H1890" t="s">
        <v>27</v>
      </c>
      <c r="I1890" t="s">
        <v>27</v>
      </c>
      <c r="J1890" t="s">
        <v>27</v>
      </c>
      <c r="K1890">
        <v>31</v>
      </c>
      <c r="L1890">
        <v>1741502</v>
      </c>
      <c r="M1890">
        <v>80.39038300821143</v>
      </c>
    </row>
    <row r="1891" spans="1:13" hidden="1" x14ac:dyDescent="0.3">
      <c r="A1891" t="s">
        <v>1891</v>
      </c>
      <c r="B1891" t="s">
        <v>51</v>
      </c>
      <c r="C1891" t="s">
        <v>121</v>
      </c>
      <c r="D1891">
        <v>2020</v>
      </c>
      <c r="E1891">
        <v>1300000</v>
      </c>
      <c r="F1891" t="s">
        <v>77</v>
      </c>
      <c r="G1891" t="s">
        <v>31</v>
      </c>
      <c r="H1891" t="s">
        <v>27</v>
      </c>
      <c r="I1891" t="s">
        <v>27</v>
      </c>
      <c r="J1891" t="s">
        <v>27</v>
      </c>
      <c r="K1891">
        <v>12936</v>
      </c>
      <c r="L1891">
        <v>1617109</v>
      </c>
      <c r="M1891">
        <v>80.39038300821143</v>
      </c>
    </row>
    <row r="1892" spans="1:13" hidden="1" x14ac:dyDescent="0.3">
      <c r="A1892" t="s">
        <v>1892</v>
      </c>
      <c r="B1892" t="s">
        <v>51</v>
      </c>
      <c r="C1892" t="s">
        <v>52</v>
      </c>
      <c r="D1892">
        <v>2020</v>
      </c>
      <c r="E1892">
        <v>2100000</v>
      </c>
      <c r="F1892" t="s">
        <v>34</v>
      </c>
      <c r="G1892" t="s">
        <v>402</v>
      </c>
      <c r="H1892" t="s">
        <v>27</v>
      </c>
      <c r="I1892" t="s">
        <v>27</v>
      </c>
      <c r="J1892" t="s">
        <v>33</v>
      </c>
      <c r="K1892">
        <v>10000</v>
      </c>
      <c r="L1892">
        <v>2612253</v>
      </c>
      <c r="M1892">
        <v>80.39038300821143</v>
      </c>
    </row>
    <row r="1893" spans="1:13" hidden="1" x14ac:dyDescent="0.3">
      <c r="A1893" t="s">
        <v>1893</v>
      </c>
      <c r="B1893" t="s">
        <v>28</v>
      </c>
      <c r="C1893" t="s">
        <v>30</v>
      </c>
      <c r="D1893">
        <v>2020</v>
      </c>
      <c r="E1893" t="s">
        <v>31</v>
      </c>
      <c r="F1893" t="s">
        <v>90</v>
      </c>
      <c r="G1893" t="s">
        <v>54</v>
      </c>
      <c r="H1893" t="s">
        <v>27</v>
      </c>
      <c r="I1893" t="s">
        <v>27</v>
      </c>
      <c r="J1893" t="s">
        <v>27</v>
      </c>
      <c r="K1893">
        <v>306886</v>
      </c>
      <c r="L1893" t="s">
        <v>31</v>
      </c>
      <c r="M1893">
        <v>80.39038300821143</v>
      </c>
    </row>
    <row r="1894" spans="1:13" hidden="1" x14ac:dyDescent="0.3">
      <c r="A1894" t="s">
        <v>1894</v>
      </c>
      <c r="B1894" t="s">
        <v>28</v>
      </c>
      <c r="C1894" t="s">
        <v>30</v>
      </c>
      <c r="D1894">
        <v>2020</v>
      </c>
      <c r="E1894">
        <v>220000</v>
      </c>
      <c r="F1894" t="s">
        <v>115</v>
      </c>
      <c r="G1894" t="s">
        <v>82</v>
      </c>
      <c r="H1894" t="s">
        <v>27</v>
      </c>
      <c r="I1894" t="s">
        <v>33</v>
      </c>
      <c r="J1894" t="s">
        <v>33</v>
      </c>
      <c r="K1894">
        <v>149840</v>
      </c>
      <c r="L1894">
        <v>273665</v>
      </c>
      <c r="M1894">
        <v>80.39038300821143</v>
      </c>
    </row>
    <row r="1895" spans="1:13" hidden="1" x14ac:dyDescent="0.3">
      <c r="A1895" t="s">
        <v>1895</v>
      </c>
      <c r="B1895" t="s">
        <v>28</v>
      </c>
      <c r="C1895" t="s">
        <v>30</v>
      </c>
      <c r="D1895">
        <v>2020</v>
      </c>
      <c r="E1895">
        <v>165000</v>
      </c>
      <c r="F1895" t="s">
        <v>75</v>
      </c>
      <c r="G1895" t="s">
        <v>31</v>
      </c>
      <c r="H1895" t="s">
        <v>27</v>
      </c>
      <c r="I1895" t="s">
        <v>27</v>
      </c>
      <c r="J1895" t="s">
        <v>27</v>
      </c>
      <c r="K1895">
        <v>5595</v>
      </c>
      <c r="L1895">
        <v>205248</v>
      </c>
      <c r="M1895">
        <v>80.39038300821143</v>
      </c>
    </row>
    <row r="1896" spans="1:13" hidden="1" x14ac:dyDescent="0.3">
      <c r="A1896" t="s">
        <v>1896</v>
      </c>
      <c r="B1896" t="s">
        <v>28</v>
      </c>
      <c r="C1896" t="s">
        <v>30</v>
      </c>
      <c r="D1896">
        <v>2020</v>
      </c>
      <c r="E1896">
        <v>135000</v>
      </c>
      <c r="F1896" t="s">
        <v>73</v>
      </c>
      <c r="G1896" t="s">
        <v>37</v>
      </c>
      <c r="H1896" t="s">
        <v>27</v>
      </c>
      <c r="I1896" t="s">
        <v>27</v>
      </c>
      <c r="J1896" t="s">
        <v>27</v>
      </c>
      <c r="K1896" t="s">
        <v>31</v>
      </c>
      <c r="L1896">
        <v>167931</v>
      </c>
      <c r="M1896">
        <v>80.39038300821143</v>
      </c>
    </row>
    <row r="1897" spans="1:13" hidden="1" x14ac:dyDescent="0.3">
      <c r="A1897" t="s">
        <v>1897</v>
      </c>
      <c r="B1897" t="s">
        <v>28</v>
      </c>
      <c r="C1897" t="s">
        <v>30</v>
      </c>
      <c r="D1897">
        <v>2020</v>
      </c>
      <c r="E1897">
        <v>1100000</v>
      </c>
      <c r="F1897" t="s">
        <v>34</v>
      </c>
      <c r="G1897" t="s">
        <v>37</v>
      </c>
      <c r="H1897" t="s">
        <v>27</v>
      </c>
      <c r="I1897" t="s">
        <v>27</v>
      </c>
      <c r="J1897" t="s">
        <v>27</v>
      </c>
      <c r="K1897" t="s">
        <v>31</v>
      </c>
      <c r="L1897">
        <v>1368323</v>
      </c>
      <c r="M1897">
        <v>80.39038300821143</v>
      </c>
    </row>
    <row r="1898" spans="1:13" hidden="1" x14ac:dyDescent="0.3">
      <c r="A1898" t="s">
        <v>1898</v>
      </c>
      <c r="B1898" t="s">
        <v>28</v>
      </c>
      <c r="C1898" t="s">
        <v>30</v>
      </c>
      <c r="D1898">
        <v>2020</v>
      </c>
      <c r="E1898">
        <v>13000000</v>
      </c>
      <c r="F1898" t="s">
        <v>34</v>
      </c>
      <c r="G1898" t="s">
        <v>1357</v>
      </c>
      <c r="H1898" t="s">
        <v>27</v>
      </c>
      <c r="I1898" t="s">
        <v>27</v>
      </c>
      <c r="J1898" t="s">
        <v>27</v>
      </c>
      <c r="K1898">
        <v>6500</v>
      </c>
      <c r="L1898">
        <v>16171089</v>
      </c>
      <c r="M1898">
        <v>80.39038300821143</v>
      </c>
    </row>
    <row r="1899" spans="1:13" hidden="1" x14ac:dyDescent="0.3">
      <c r="A1899" t="s">
        <v>1899</v>
      </c>
      <c r="B1899" t="s">
        <v>28</v>
      </c>
      <c r="C1899" t="s">
        <v>30</v>
      </c>
      <c r="D1899">
        <v>2020</v>
      </c>
      <c r="E1899">
        <v>2900000</v>
      </c>
      <c r="F1899" t="s">
        <v>34</v>
      </c>
      <c r="G1899" t="s">
        <v>37</v>
      </c>
      <c r="H1899" t="s">
        <v>27</v>
      </c>
      <c r="I1899" t="s">
        <v>27</v>
      </c>
      <c r="J1899" t="s">
        <v>27</v>
      </c>
      <c r="K1899">
        <v>9400</v>
      </c>
      <c r="L1899">
        <v>3607397</v>
      </c>
      <c r="M1899">
        <v>80.39038300821143</v>
      </c>
    </row>
    <row r="1900" spans="1:13" hidden="1" x14ac:dyDescent="0.3">
      <c r="A1900" t="s">
        <v>1900</v>
      </c>
      <c r="B1900" t="s">
        <v>28</v>
      </c>
      <c r="C1900" t="s">
        <v>30</v>
      </c>
      <c r="D1900">
        <v>2020</v>
      </c>
      <c r="E1900">
        <v>6300000</v>
      </c>
      <c r="F1900" t="s">
        <v>34</v>
      </c>
      <c r="G1900" t="s">
        <v>37</v>
      </c>
      <c r="H1900" t="s">
        <v>27</v>
      </c>
      <c r="I1900" t="s">
        <v>27</v>
      </c>
      <c r="J1900" t="s">
        <v>33</v>
      </c>
      <c r="K1900" t="s">
        <v>31</v>
      </c>
      <c r="L1900">
        <v>7836758</v>
      </c>
      <c r="M1900">
        <v>80.39038300821143</v>
      </c>
    </row>
    <row r="1901" spans="1:13" hidden="1" x14ac:dyDescent="0.3">
      <c r="A1901" t="s">
        <v>1901</v>
      </c>
      <c r="B1901" t="s">
        <v>28</v>
      </c>
      <c r="C1901" t="s">
        <v>30</v>
      </c>
      <c r="D1901">
        <v>2020</v>
      </c>
      <c r="E1901">
        <v>25000</v>
      </c>
      <c r="F1901" t="s">
        <v>47</v>
      </c>
      <c r="G1901" t="s">
        <v>31</v>
      </c>
      <c r="H1901" t="s">
        <v>27</v>
      </c>
      <c r="I1901" t="s">
        <v>27</v>
      </c>
      <c r="J1901" t="s">
        <v>27</v>
      </c>
      <c r="K1901">
        <v>49800</v>
      </c>
      <c r="L1901">
        <v>31098</v>
      </c>
      <c r="M1901">
        <v>80.39038300821143</v>
      </c>
    </row>
    <row r="1902" spans="1:13" hidden="1" x14ac:dyDescent="0.3">
      <c r="A1902" t="s">
        <v>1902</v>
      </c>
      <c r="B1902" t="s">
        <v>28</v>
      </c>
      <c r="C1902" t="s">
        <v>30</v>
      </c>
      <c r="D1902">
        <v>2020</v>
      </c>
      <c r="E1902">
        <v>11000</v>
      </c>
      <c r="F1902" t="s">
        <v>166</v>
      </c>
      <c r="G1902" t="s">
        <v>31</v>
      </c>
      <c r="H1902" t="s">
        <v>27</v>
      </c>
      <c r="I1902" t="s">
        <v>27</v>
      </c>
      <c r="J1902" t="s">
        <v>27</v>
      </c>
      <c r="K1902">
        <v>5000</v>
      </c>
      <c r="L1902">
        <v>13683</v>
      </c>
      <c r="M1902">
        <v>80.39038300821143</v>
      </c>
    </row>
    <row r="1903" spans="1:13" hidden="1" x14ac:dyDescent="0.3">
      <c r="A1903" t="s">
        <v>1903</v>
      </c>
      <c r="B1903" t="s">
        <v>51</v>
      </c>
      <c r="C1903" t="s">
        <v>52</v>
      </c>
      <c r="D1903">
        <v>2020</v>
      </c>
      <c r="E1903">
        <v>25000</v>
      </c>
      <c r="F1903" t="s">
        <v>47</v>
      </c>
      <c r="G1903" t="s">
        <v>54</v>
      </c>
      <c r="H1903" t="s">
        <v>27</v>
      </c>
      <c r="I1903" t="s">
        <v>27</v>
      </c>
      <c r="J1903" t="s">
        <v>27</v>
      </c>
      <c r="K1903">
        <v>26460</v>
      </c>
      <c r="L1903">
        <v>31098</v>
      </c>
      <c r="M1903">
        <v>80.39038300821143</v>
      </c>
    </row>
    <row r="1904" spans="1:13" hidden="1" x14ac:dyDescent="0.3">
      <c r="A1904" t="s">
        <v>1904</v>
      </c>
      <c r="B1904" t="s">
        <v>91</v>
      </c>
      <c r="C1904" t="s">
        <v>105</v>
      </c>
      <c r="D1904">
        <v>2020</v>
      </c>
      <c r="E1904" t="s">
        <v>31</v>
      </c>
      <c r="F1904" t="s">
        <v>109</v>
      </c>
      <c r="G1904" t="s">
        <v>31</v>
      </c>
      <c r="H1904" t="s">
        <v>27</v>
      </c>
      <c r="I1904" t="s">
        <v>27</v>
      </c>
      <c r="J1904" t="s">
        <v>27</v>
      </c>
      <c r="K1904">
        <v>18685</v>
      </c>
      <c r="L1904" t="s">
        <v>31</v>
      </c>
      <c r="M1904">
        <v>80.39038300821143</v>
      </c>
    </row>
    <row r="1905" spans="1:13" hidden="1" x14ac:dyDescent="0.3">
      <c r="A1905" t="s">
        <v>1905</v>
      </c>
      <c r="B1905" t="s">
        <v>28</v>
      </c>
      <c r="C1905" t="s">
        <v>30</v>
      </c>
      <c r="D1905">
        <v>2020</v>
      </c>
      <c r="E1905">
        <v>100000</v>
      </c>
      <c r="F1905" t="s">
        <v>73</v>
      </c>
      <c r="G1905" t="s">
        <v>31</v>
      </c>
      <c r="H1905" t="s">
        <v>27</v>
      </c>
      <c r="I1905" t="s">
        <v>27</v>
      </c>
      <c r="J1905" t="s">
        <v>27</v>
      </c>
      <c r="K1905" t="s">
        <v>31</v>
      </c>
      <c r="L1905">
        <v>124393</v>
      </c>
      <c r="M1905">
        <v>80.39038300821143</v>
      </c>
    </row>
    <row r="1906" spans="1:13" hidden="1" x14ac:dyDescent="0.3">
      <c r="A1906" t="s">
        <v>1906</v>
      </c>
      <c r="B1906" t="s">
        <v>28</v>
      </c>
      <c r="C1906" t="s">
        <v>30</v>
      </c>
      <c r="D1906">
        <v>2020</v>
      </c>
      <c r="E1906">
        <v>741000</v>
      </c>
      <c r="F1906" t="s">
        <v>81</v>
      </c>
      <c r="G1906" t="s">
        <v>31</v>
      </c>
      <c r="H1906" t="s">
        <v>33</v>
      </c>
      <c r="I1906" t="s">
        <v>27</v>
      </c>
      <c r="J1906" t="s">
        <v>27</v>
      </c>
      <c r="K1906">
        <v>900000</v>
      </c>
      <c r="L1906">
        <v>921752</v>
      </c>
      <c r="M1906">
        <v>80.39038300821143</v>
      </c>
    </row>
    <row r="1907" spans="1:13" hidden="1" x14ac:dyDescent="0.3">
      <c r="A1907" t="s">
        <v>1907</v>
      </c>
      <c r="B1907" t="s">
        <v>28</v>
      </c>
      <c r="C1907" t="s">
        <v>30</v>
      </c>
      <c r="D1907">
        <v>2020</v>
      </c>
      <c r="E1907" t="s">
        <v>31</v>
      </c>
      <c r="F1907" t="s">
        <v>166</v>
      </c>
      <c r="G1907" t="s">
        <v>31</v>
      </c>
      <c r="H1907" t="s">
        <v>27</v>
      </c>
      <c r="I1907" t="s">
        <v>27</v>
      </c>
      <c r="J1907" t="s">
        <v>27</v>
      </c>
      <c r="K1907" t="s">
        <v>31</v>
      </c>
      <c r="L1907" t="s">
        <v>31</v>
      </c>
      <c r="M1907">
        <v>80.39038300821143</v>
      </c>
    </row>
    <row r="1908" spans="1:13" x14ac:dyDescent="0.3">
      <c r="A1908" t="s">
        <v>1908</v>
      </c>
      <c r="B1908" t="s">
        <v>51</v>
      </c>
      <c r="C1908" t="s">
        <v>52</v>
      </c>
      <c r="D1908">
        <v>2020</v>
      </c>
      <c r="E1908">
        <v>75000</v>
      </c>
      <c r="F1908" t="s">
        <v>119</v>
      </c>
      <c r="G1908" t="s">
        <v>54</v>
      </c>
      <c r="H1908" t="s">
        <v>27</v>
      </c>
      <c r="I1908" t="s">
        <v>27</v>
      </c>
      <c r="J1908" t="s">
        <v>27</v>
      </c>
      <c r="K1908">
        <v>339</v>
      </c>
      <c r="L1908">
        <v>93295</v>
      </c>
      <c r="M1908">
        <v>80.39038300821143</v>
      </c>
    </row>
    <row r="1909" spans="1:13" hidden="1" x14ac:dyDescent="0.3">
      <c r="A1909" t="s">
        <v>1909</v>
      </c>
      <c r="B1909" t="s">
        <v>28</v>
      </c>
      <c r="C1909" t="s">
        <v>222</v>
      </c>
      <c r="D1909">
        <v>2020</v>
      </c>
      <c r="E1909">
        <v>6800000</v>
      </c>
      <c r="F1909" t="s">
        <v>34</v>
      </c>
      <c r="G1909" t="s">
        <v>31</v>
      </c>
      <c r="H1909" t="s">
        <v>27</v>
      </c>
      <c r="I1909" t="s">
        <v>27</v>
      </c>
      <c r="J1909" t="s">
        <v>27</v>
      </c>
      <c r="K1909" t="s">
        <v>31</v>
      </c>
      <c r="L1909">
        <v>8458723</v>
      </c>
      <c r="M1909">
        <v>80.39038300821143</v>
      </c>
    </row>
    <row r="1910" spans="1:13" hidden="1" x14ac:dyDescent="0.3">
      <c r="A1910" t="s">
        <v>1972</v>
      </c>
      <c r="B1910" t="s">
        <v>28</v>
      </c>
      <c r="C1910" t="s">
        <v>189</v>
      </c>
      <c r="D1910">
        <v>2020</v>
      </c>
      <c r="E1910" t="s">
        <v>31</v>
      </c>
      <c r="F1910" t="s">
        <v>130</v>
      </c>
      <c r="G1910" t="s">
        <v>37</v>
      </c>
      <c r="H1910" t="s">
        <v>27</v>
      </c>
      <c r="I1910" t="s">
        <v>27</v>
      </c>
      <c r="J1910" t="s">
        <v>27</v>
      </c>
      <c r="K1910">
        <v>250</v>
      </c>
      <c r="L1910" t="s">
        <v>31</v>
      </c>
      <c r="M1910">
        <v>80.39038300821143</v>
      </c>
    </row>
    <row r="1911" spans="1:13" hidden="1" x14ac:dyDescent="0.3">
      <c r="A1911" t="s">
        <v>1973</v>
      </c>
      <c r="B1911" t="s">
        <v>51</v>
      </c>
      <c r="C1911" t="s">
        <v>121</v>
      </c>
      <c r="D1911">
        <v>2020</v>
      </c>
      <c r="E1911">
        <v>175000</v>
      </c>
      <c r="F1911" t="s">
        <v>34</v>
      </c>
      <c r="G1911" t="s">
        <v>31</v>
      </c>
      <c r="H1911" t="s">
        <v>27</v>
      </c>
      <c r="I1911" t="s">
        <v>27</v>
      </c>
      <c r="J1911" t="s">
        <v>33</v>
      </c>
      <c r="K1911">
        <v>3000</v>
      </c>
      <c r="L1911">
        <v>217688</v>
      </c>
      <c r="M1911">
        <v>80.39038300821143</v>
      </c>
    </row>
    <row r="1912" spans="1:13" hidden="1" x14ac:dyDescent="0.3">
      <c r="A1912" t="s">
        <v>1974</v>
      </c>
      <c r="B1912" t="s">
        <v>51</v>
      </c>
      <c r="C1912" t="s">
        <v>56</v>
      </c>
      <c r="D1912">
        <v>2020</v>
      </c>
      <c r="E1912" t="s">
        <v>31</v>
      </c>
      <c r="F1912" t="s">
        <v>53</v>
      </c>
      <c r="G1912" t="s">
        <v>54</v>
      </c>
      <c r="H1912" t="s">
        <v>27</v>
      </c>
      <c r="I1912" t="s">
        <v>27</v>
      </c>
      <c r="J1912" t="s">
        <v>27</v>
      </c>
      <c r="K1912">
        <v>550</v>
      </c>
      <c r="L1912" t="s">
        <v>31</v>
      </c>
      <c r="M1912">
        <v>80.39038300821143</v>
      </c>
    </row>
    <row r="1913" spans="1:13" hidden="1" x14ac:dyDescent="0.3">
      <c r="A1913" t="s">
        <v>1975</v>
      </c>
      <c r="B1913" t="s">
        <v>28</v>
      </c>
      <c r="C1913" t="s">
        <v>64</v>
      </c>
      <c r="D1913">
        <v>2020</v>
      </c>
      <c r="E1913">
        <v>2100000</v>
      </c>
      <c r="F1913" t="s">
        <v>34</v>
      </c>
      <c r="G1913" t="s">
        <v>65</v>
      </c>
      <c r="H1913" t="s">
        <v>27</v>
      </c>
      <c r="I1913" t="s">
        <v>27</v>
      </c>
      <c r="J1913" t="s">
        <v>27</v>
      </c>
      <c r="K1913" t="s">
        <v>31</v>
      </c>
      <c r="L1913">
        <v>2612253</v>
      </c>
      <c r="M1913">
        <v>80.39038300821143</v>
      </c>
    </row>
    <row r="1914" spans="1:13" hidden="1" x14ac:dyDescent="0.3">
      <c r="A1914" t="s">
        <v>1976</v>
      </c>
      <c r="B1914" t="s">
        <v>51</v>
      </c>
      <c r="C1914" t="s">
        <v>52</v>
      </c>
      <c r="D1914">
        <v>2020</v>
      </c>
      <c r="E1914" t="s">
        <v>31</v>
      </c>
      <c r="F1914" t="s">
        <v>90</v>
      </c>
      <c r="G1914" t="s">
        <v>54</v>
      </c>
      <c r="H1914" t="s">
        <v>27</v>
      </c>
      <c r="I1914" t="s">
        <v>27</v>
      </c>
      <c r="J1914" t="s">
        <v>27</v>
      </c>
      <c r="K1914">
        <v>4070</v>
      </c>
      <c r="L1914" t="s">
        <v>31</v>
      </c>
      <c r="M1914">
        <v>80.39038300821143</v>
      </c>
    </row>
    <row r="1915" spans="1:13" hidden="1" x14ac:dyDescent="0.3">
      <c r="A1915" t="s">
        <v>1977</v>
      </c>
      <c r="B1915" t="s">
        <v>28</v>
      </c>
      <c r="C1915" t="s">
        <v>64</v>
      </c>
      <c r="D1915">
        <v>2020</v>
      </c>
      <c r="E1915">
        <v>1200000</v>
      </c>
      <c r="F1915" t="s">
        <v>77</v>
      </c>
      <c r="G1915" t="s">
        <v>65</v>
      </c>
      <c r="H1915" t="s">
        <v>27</v>
      </c>
      <c r="I1915" t="s">
        <v>27</v>
      </c>
      <c r="J1915" t="s">
        <v>27</v>
      </c>
      <c r="K1915">
        <v>60000</v>
      </c>
      <c r="L1915">
        <v>1492716</v>
      </c>
      <c r="M1915">
        <v>80.39038300821143</v>
      </c>
    </row>
    <row r="1916" spans="1:13" hidden="1" x14ac:dyDescent="0.3">
      <c r="A1916" t="s">
        <v>1978</v>
      </c>
      <c r="B1916" t="s">
        <v>91</v>
      </c>
      <c r="C1916" t="s">
        <v>93</v>
      </c>
      <c r="D1916">
        <v>2020</v>
      </c>
      <c r="E1916">
        <v>75000</v>
      </c>
      <c r="F1916" t="s">
        <v>73</v>
      </c>
      <c r="G1916" t="s">
        <v>31</v>
      </c>
      <c r="H1916" t="s">
        <v>27</v>
      </c>
      <c r="I1916" t="s">
        <v>27</v>
      </c>
      <c r="J1916" t="s">
        <v>33</v>
      </c>
      <c r="K1916">
        <v>24393</v>
      </c>
      <c r="L1916">
        <v>93295</v>
      </c>
      <c r="M1916">
        <v>80.39038300821143</v>
      </c>
    </row>
    <row r="1917" spans="1:13" hidden="1" x14ac:dyDescent="0.3">
      <c r="A1917" t="s">
        <v>1979</v>
      </c>
      <c r="B1917" t="s">
        <v>28</v>
      </c>
      <c r="C1917" t="s">
        <v>30</v>
      </c>
      <c r="D1917">
        <v>2020</v>
      </c>
      <c r="E1917" t="s">
        <v>31</v>
      </c>
      <c r="F1917" t="s">
        <v>242</v>
      </c>
      <c r="G1917" t="s">
        <v>31</v>
      </c>
      <c r="H1917" t="s">
        <v>27</v>
      </c>
      <c r="I1917" t="s">
        <v>27</v>
      </c>
      <c r="J1917" t="s">
        <v>27</v>
      </c>
      <c r="K1917">
        <v>500</v>
      </c>
      <c r="L1917" t="s">
        <v>31</v>
      </c>
      <c r="M1917">
        <v>80.39038300821143</v>
      </c>
    </row>
    <row r="1918" spans="1:13" hidden="1" x14ac:dyDescent="0.3">
      <c r="A1918" t="s">
        <v>1980</v>
      </c>
      <c r="B1918" t="s">
        <v>28</v>
      </c>
      <c r="C1918" t="s">
        <v>30</v>
      </c>
      <c r="D1918">
        <v>2020</v>
      </c>
      <c r="E1918">
        <v>4800000</v>
      </c>
      <c r="F1918" t="s">
        <v>34</v>
      </c>
      <c r="G1918" t="s">
        <v>31</v>
      </c>
      <c r="H1918" t="s">
        <v>27</v>
      </c>
      <c r="I1918" t="s">
        <v>27</v>
      </c>
      <c r="J1918" t="s">
        <v>27</v>
      </c>
      <c r="K1918" t="s">
        <v>31</v>
      </c>
      <c r="L1918">
        <v>5970863</v>
      </c>
      <c r="M1918">
        <v>80.39038300821143</v>
      </c>
    </row>
    <row r="1919" spans="1:13" hidden="1" x14ac:dyDescent="0.3">
      <c r="A1919" t="s">
        <v>1981</v>
      </c>
      <c r="B1919" t="s">
        <v>51</v>
      </c>
      <c r="C1919" t="s">
        <v>52</v>
      </c>
      <c r="D1919">
        <v>2020</v>
      </c>
      <c r="E1919">
        <v>10000</v>
      </c>
      <c r="F1919" t="s">
        <v>47</v>
      </c>
      <c r="G1919" t="s">
        <v>31</v>
      </c>
      <c r="H1919" t="s">
        <v>27</v>
      </c>
      <c r="I1919" t="s">
        <v>27</v>
      </c>
      <c r="J1919" t="s">
        <v>27</v>
      </c>
      <c r="K1919">
        <v>30000</v>
      </c>
      <c r="L1919">
        <v>12439</v>
      </c>
      <c r="M1919">
        <v>80.39038300821143</v>
      </c>
    </row>
    <row r="1920" spans="1:13" hidden="1" x14ac:dyDescent="0.3">
      <c r="A1920" t="s">
        <v>1982</v>
      </c>
      <c r="B1920" t="s">
        <v>51</v>
      </c>
      <c r="C1920" t="s">
        <v>121</v>
      </c>
      <c r="D1920">
        <v>2020</v>
      </c>
      <c r="E1920" t="s">
        <v>31</v>
      </c>
      <c r="F1920" t="s">
        <v>166</v>
      </c>
      <c r="G1920" t="s">
        <v>31</v>
      </c>
      <c r="H1920" t="s">
        <v>27</v>
      </c>
      <c r="I1920" t="s">
        <v>27</v>
      </c>
      <c r="J1920" t="s">
        <v>27</v>
      </c>
      <c r="K1920">
        <v>150</v>
      </c>
      <c r="L1920" t="s">
        <v>31</v>
      </c>
      <c r="M1920">
        <v>80.39038300821143</v>
      </c>
    </row>
    <row r="1921" spans="1:13" hidden="1" x14ac:dyDescent="0.3">
      <c r="A1921" t="s">
        <v>1983</v>
      </c>
      <c r="B1921" t="s">
        <v>28</v>
      </c>
      <c r="C1921" t="s">
        <v>30</v>
      </c>
      <c r="D1921">
        <v>2020</v>
      </c>
      <c r="E1921" t="s">
        <v>31</v>
      </c>
      <c r="F1921" t="s">
        <v>45</v>
      </c>
      <c r="G1921" t="s">
        <v>31</v>
      </c>
      <c r="H1921" t="s">
        <v>27</v>
      </c>
      <c r="I1921" t="s">
        <v>27</v>
      </c>
      <c r="J1921" t="s">
        <v>27</v>
      </c>
      <c r="K1921">
        <v>44175</v>
      </c>
      <c r="L1921" t="s">
        <v>31</v>
      </c>
      <c r="M1921">
        <v>80.39038300821143</v>
      </c>
    </row>
    <row r="1922" spans="1:13" hidden="1" x14ac:dyDescent="0.3">
      <c r="A1922" t="s">
        <v>1984</v>
      </c>
      <c r="B1922" t="s">
        <v>28</v>
      </c>
      <c r="C1922" t="s">
        <v>30</v>
      </c>
      <c r="D1922">
        <v>2020</v>
      </c>
      <c r="E1922">
        <v>100000</v>
      </c>
      <c r="F1922" t="s">
        <v>73</v>
      </c>
      <c r="G1922" t="s">
        <v>31</v>
      </c>
      <c r="H1922" t="s">
        <v>27</v>
      </c>
      <c r="I1922" t="s">
        <v>27</v>
      </c>
      <c r="J1922" t="s">
        <v>27</v>
      </c>
      <c r="K1922">
        <v>3500</v>
      </c>
      <c r="L1922">
        <v>124393</v>
      </c>
      <c r="M1922">
        <v>80.39038300821143</v>
      </c>
    </row>
    <row r="1923" spans="1:13" hidden="1" x14ac:dyDescent="0.3">
      <c r="A1923" t="s">
        <v>1985</v>
      </c>
      <c r="B1923" t="s">
        <v>39</v>
      </c>
      <c r="C1923" t="s">
        <v>41</v>
      </c>
      <c r="D1923">
        <v>2020</v>
      </c>
      <c r="E1923" t="s">
        <v>31</v>
      </c>
      <c r="F1923" t="s">
        <v>111</v>
      </c>
      <c r="G1923" t="s">
        <v>31</v>
      </c>
      <c r="H1923" t="s">
        <v>33</v>
      </c>
      <c r="I1923" t="s">
        <v>27</v>
      </c>
      <c r="J1923" t="s">
        <v>33</v>
      </c>
      <c r="K1923">
        <v>126000</v>
      </c>
      <c r="L1923" t="s">
        <v>31</v>
      </c>
      <c r="M1923">
        <v>80.39038300821143</v>
      </c>
    </row>
    <row r="1924" spans="1:13" hidden="1" x14ac:dyDescent="0.3">
      <c r="A1924" t="s">
        <v>1987</v>
      </c>
      <c r="B1924" t="s">
        <v>28</v>
      </c>
      <c r="C1924" t="s">
        <v>30</v>
      </c>
      <c r="D1924">
        <v>2020</v>
      </c>
      <c r="E1924" t="s">
        <v>31</v>
      </c>
      <c r="F1924" t="s">
        <v>32</v>
      </c>
      <c r="G1924" t="s">
        <v>31</v>
      </c>
      <c r="H1924" t="s">
        <v>27</v>
      </c>
      <c r="I1924" t="s">
        <v>27</v>
      </c>
      <c r="J1924" t="s">
        <v>27</v>
      </c>
      <c r="K1924">
        <v>60000</v>
      </c>
      <c r="L1924" t="s">
        <v>31</v>
      </c>
      <c r="M1924">
        <v>80.39038300821143</v>
      </c>
    </row>
    <row r="1925" spans="1:13" hidden="1" x14ac:dyDescent="0.3">
      <c r="A1925" t="s">
        <v>1988</v>
      </c>
      <c r="B1925" t="s">
        <v>28</v>
      </c>
      <c r="C1925" t="s">
        <v>30</v>
      </c>
      <c r="D1925">
        <v>2020</v>
      </c>
      <c r="E1925" t="s">
        <v>31</v>
      </c>
      <c r="F1925" t="s">
        <v>115</v>
      </c>
      <c r="G1925" t="s">
        <v>31</v>
      </c>
      <c r="H1925" t="s">
        <v>27</v>
      </c>
      <c r="I1925" t="s">
        <v>27</v>
      </c>
      <c r="J1925" t="s">
        <v>27</v>
      </c>
      <c r="K1925" t="s">
        <v>31</v>
      </c>
      <c r="L1925" t="s">
        <v>31</v>
      </c>
      <c r="M1925">
        <v>80.39038300821143</v>
      </c>
    </row>
    <row r="1926" spans="1:13" hidden="1" x14ac:dyDescent="0.3">
      <c r="A1926" t="s">
        <v>1989</v>
      </c>
      <c r="B1926" t="s">
        <v>43</v>
      </c>
      <c r="C1926" t="s">
        <v>114</v>
      </c>
      <c r="D1926">
        <v>2020</v>
      </c>
      <c r="E1926" t="s">
        <v>31</v>
      </c>
      <c r="F1926" t="s">
        <v>246</v>
      </c>
      <c r="G1926" t="s">
        <v>31</v>
      </c>
      <c r="H1926" t="s">
        <v>27</v>
      </c>
      <c r="I1926" t="s">
        <v>27</v>
      </c>
      <c r="J1926" t="s">
        <v>33</v>
      </c>
      <c r="K1926">
        <v>1318</v>
      </c>
      <c r="L1926" t="s">
        <v>31</v>
      </c>
      <c r="M1926">
        <v>80.39038300821143</v>
      </c>
    </row>
    <row r="1927" spans="1:13" hidden="1" x14ac:dyDescent="0.3">
      <c r="A1927" t="s">
        <v>1990</v>
      </c>
      <c r="B1927" t="s">
        <v>28</v>
      </c>
      <c r="C1927" t="s">
        <v>30</v>
      </c>
      <c r="D1927">
        <v>2020</v>
      </c>
      <c r="E1927" t="s">
        <v>31</v>
      </c>
      <c r="F1927" t="s">
        <v>49</v>
      </c>
      <c r="G1927" t="s">
        <v>31</v>
      </c>
      <c r="H1927" t="s">
        <v>33</v>
      </c>
      <c r="I1927" t="s">
        <v>33</v>
      </c>
      <c r="J1927" t="s">
        <v>27</v>
      </c>
      <c r="K1927">
        <v>578000</v>
      </c>
      <c r="L1927" t="s">
        <v>31</v>
      </c>
      <c r="M1927">
        <v>80.39038300821143</v>
      </c>
    </row>
    <row r="1928" spans="1:13" hidden="1" x14ac:dyDescent="0.3">
      <c r="A1928" t="s">
        <v>1991</v>
      </c>
      <c r="B1928" t="s">
        <v>28</v>
      </c>
      <c r="C1928" t="s">
        <v>64</v>
      </c>
      <c r="D1928">
        <v>2020</v>
      </c>
      <c r="E1928">
        <v>1600000</v>
      </c>
      <c r="F1928" t="s">
        <v>34</v>
      </c>
      <c r="G1928" t="s">
        <v>262</v>
      </c>
      <c r="H1928" t="s">
        <v>27</v>
      </c>
      <c r="I1928" t="s">
        <v>27</v>
      </c>
      <c r="J1928" t="s">
        <v>27</v>
      </c>
      <c r="K1928" t="s">
        <v>31</v>
      </c>
      <c r="L1928">
        <v>1990288</v>
      </c>
      <c r="M1928">
        <v>80.39038300821143</v>
      </c>
    </row>
    <row r="1929" spans="1:13" hidden="1" x14ac:dyDescent="0.3">
      <c r="A1929" t="s">
        <v>1992</v>
      </c>
      <c r="B1929" t="s">
        <v>39</v>
      </c>
      <c r="C1929" t="s">
        <v>157</v>
      </c>
      <c r="D1929">
        <v>2020</v>
      </c>
      <c r="E1929">
        <v>3000000</v>
      </c>
      <c r="F1929" t="s">
        <v>119</v>
      </c>
      <c r="G1929" t="s">
        <v>31</v>
      </c>
      <c r="H1929" t="s">
        <v>27</v>
      </c>
      <c r="I1929" t="s">
        <v>27</v>
      </c>
      <c r="J1929" t="s">
        <v>27</v>
      </c>
      <c r="K1929" t="s">
        <v>31</v>
      </c>
      <c r="L1929">
        <v>3731790</v>
      </c>
      <c r="M1929">
        <v>80.39038300821143</v>
      </c>
    </row>
    <row r="1930" spans="1:13" hidden="1" x14ac:dyDescent="0.3">
      <c r="A1930" t="s">
        <v>1993</v>
      </c>
      <c r="B1930" t="s">
        <v>39</v>
      </c>
      <c r="C1930" t="s">
        <v>157</v>
      </c>
      <c r="D1930">
        <v>2020</v>
      </c>
      <c r="E1930">
        <v>4500000</v>
      </c>
      <c r="F1930" t="s">
        <v>34</v>
      </c>
      <c r="G1930" t="s">
        <v>95</v>
      </c>
      <c r="H1930" t="s">
        <v>27</v>
      </c>
      <c r="I1930" t="s">
        <v>27</v>
      </c>
      <c r="J1930" t="s">
        <v>27</v>
      </c>
      <c r="K1930" t="s">
        <v>31</v>
      </c>
      <c r="L1930">
        <v>5597684</v>
      </c>
      <c r="M1930">
        <v>80.39038300821143</v>
      </c>
    </row>
    <row r="1931" spans="1:13" hidden="1" x14ac:dyDescent="0.3">
      <c r="A1931" t="s">
        <v>94</v>
      </c>
      <c r="B1931" t="s">
        <v>28</v>
      </c>
      <c r="C1931" t="s">
        <v>95</v>
      </c>
      <c r="D1931">
        <v>2021</v>
      </c>
      <c r="E1931" t="s">
        <v>31</v>
      </c>
      <c r="F1931" t="s">
        <v>77</v>
      </c>
      <c r="G1931" t="s">
        <v>40</v>
      </c>
      <c r="H1931" t="s">
        <v>27</v>
      </c>
      <c r="I1931" t="s">
        <v>27</v>
      </c>
      <c r="J1931" t="s">
        <v>27</v>
      </c>
      <c r="K1931" t="s">
        <v>31</v>
      </c>
      <c r="L1931" t="s">
        <v>31</v>
      </c>
      <c r="M1931">
        <v>84.166982957252443</v>
      </c>
    </row>
    <row r="1932" spans="1:13" hidden="1" x14ac:dyDescent="0.3">
      <c r="A1932" t="s">
        <v>108</v>
      </c>
      <c r="B1932" t="s">
        <v>91</v>
      </c>
      <c r="C1932" t="s">
        <v>105</v>
      </c>
      <c r="D1932">
        <v>2021</v>
      </c>
      <c r="E1932" t="s">
        <v>31</v>
      </c>
      <c r="F1932" t="s">
        <v>109</v>
      </c>
      <c r="G1932" t="s">
        <v>31</v>
      </c>
      <c r="H1932" t="s">
        <v>27</v>
      </c>
      <c r="I1932" t="s">
        <v>27</v>
      </c>
      <c r="J1932" t="s">
        <v>27</v>
      </c>
      <c r="K1932">
        <v>133306</v>
      </c>
      <c r="L1932" t="s">
        <v>31</v>
      </c>
      <c r="M1932">
        <v>84.166982957252443</v>
      </c>
    </row>
    <row r="1933" spans="1:13" hidden="1" x14ac:dyDescent="0.3">
      <c r="A1933" t="s">
        <v>110</v>
      </c>
      <c r="B1933" t="s">
        <v>51</v>
      </c>
      <c r="C1933" t="s">
        <v>52</v>
      </c>
      <c r="D1933">
        <v>2021</v>
      </c>
      <c r="E1933" t="s">
        <v>31</v>
      </c>
      <c r="F1933" t="s">
        <v>111</v>
      </c>
      <c r="G1933" t="s">
        <v>31</v>
      </c>
      <c r="H1933" t="s">
        <v>27</v>
      </c>
      <c r="I1933" t="s">
        <v>27</v>
      </c>
      <c r="J1933" t="s">
        <v>27</v>
      </c>
      <c r="K1933">
        <v>13000</v>
      </c>
      <c r="L1933" t="s">
        <v>31</v>
      </c>
      <c r="M1933">
        <v>84.166982957252443</v>
      </c>
    </row>
    <row r="1934" spans="1:13" hidden="1" x14ac:dyDescent="0.3">
      <c r="A1934" t="s">
        <v>116</v>
      </c>
      <c r="B1934" t="s">
        <v>51</v>
      </c>
      <c r="C1934" t="s">
        <v>52</v>
      </c>
      <c r="D1934">
        <v>2021</v>
      </c>
      <c r="E1934" t="s">
        <v>31</v>
      </c>
      <c r="F1934" t="s">
        <v>117</v>
      </c>
      <c r="G1934" t="s">
        <v>31</v>
      </c>
      <c r="H1934" t="s">
        <v>27</v>
      </c>
      <c r="I1934" t="s">
        <v>27</v>
      </c>
      <c r="J1934" t="s">
        <v>27</v>
      </c>
      <c r="K1934">
        <v>4000</v>
      </c>
      <c r="L1934" t="s">
        <v>31</v>
      </c>
      <c r="M1934">
        <v>84.166982957252443</v>
      </c>
    </row>
    <row r="1935" spans="1:13" hidden="1" x14ac:dyDescent="0.3">
      <c r="A1935" t="s">
        <v>122</v>
      </c>
      <c r="B1935" t="s">
        <v>28</v>
      </c>
      <c r="C1935" t="s">
        <v>64</v>
      </c>
      <c r="D1935">
        <v>2021</v>
      </c>
      <c r="E1935">
        <v>1100000</v>
      </c>
      <c r="F1935" t="s">
        <v>34</v>
      </c>
      <c r="G1935" t="s">
        <v>82</v>
      </c>
      <c r="H1935" t="s">
        <v>27</v>
      </c>
      <c r="I1935" t="s">
        <v>27</v>
      </c>
      <c r="J1935" t="s">
        <v>27</v>
      </c>
      <c r="K1935">
        <v>75</v>
      </c>
      <c r="L1935">
        <v>1306926</v>
      </c>
      <c r="M1935">
        <v>84.166982957252443</v>
      </c>
    </row>
    <row r="1936" spans="1:13" hidden="1" x14ac:dyDescent="0.3">
      <c r="A1936" t="s">
        <v>123</v>
      </c>
      <c r="B1936" t="s">
        <v>28</v>
      </c>
      <c r="C1936" t="s">
        <v>67</v>
      </c>
      <c r="D1936">
        <v>2021</v>
      </c>
      <c r="E1936">
        <v>30000000</v>
      </c>
      <c r="F1936" t="s">
        <v>34</v>
      </c>
      <c r="G1936" t="s">
        <v>68</v>
      </c>
      <c r="H1936" t="s">
        <v>27</v>
      </c>
      <c r="I1936" t="s">
        <v>27</v>
      </c>
      <c r="J1936" t="s">
        <v>27</v>
      </c>
      <c r="K1936">
        <v>10</v>
      </c>
      <c r="L1936">
        <v>35643430</v>
      </c>
      <c r="M1936">
        <v>84.166982957252443</v>
      </c>
    </row>
    <row r="1937" spans="1:13" hidden="1" x14ac:dyDescent="0.3">
      <c r="A1937" t="s">
        <v>124</v>
      </c>
      <c r="B1937" t="s">
        <v>51</v>
      </c>
      <c r="C1937" t="s">
        <v>121</v>
      </c>
      <c r="D1937">
        <v>2021</v>
      </c>
      <c r="E1937" t="s">
        <v>31</v>
      </c>
      <c r="F1937" t="s">
        <v>53</v>
      </c>
      <c r="G1937" t="s">
        <v>54</v>
      </c>
      <c r="H1937" t="s">
        <v>27</v>
      </c>
      <c r="I1937" t="s">
        <v>27</v>
      </c>
      <c r="J1937" t="s">
        <v>33</v>
      </c>
      <c r="K1937">
        <v>561</v>
      </c>
      <c r="L1937" t="s">
        <v>31</v>
      </c>
      <c r="M1937">
        <v>84.166982957252443</v>
      </c>
    </row>
    <row r="1938" spans="1:13" hidden="1" x14ac:dyDescent="0.3">
      <c r="A1938" t="s">
        <v>126</v>
      </c>
      <c r="B1938" t="s">
        <v>28</v>
      </c>
      <c r="C1938" t="s">
        <v>97</v>
      </c>
      <c r="D1938">
        <v>2021</v>
      </c>
      <c r="E1938">
        <v>1700000</v>
      </c>
      <c r="F1938" t="s">
        <v>34</v>
      </c>
      <c r="G1938" t="s">
        <v>37</v>
      </c>
      <c r="H1938" t="s">
        <v>27</v>
      </c>
      <c r="I1938" t="s">
        <v>27</v>
      </c>
      <c r="J1938" t="s">
        <v>33</v>
      </c>
      <c r="K1938" t="s">
        <v>31</v>
      </c>
      <c r="L1938">
        <v>2019794</v>
      </c>
      <c r="M1938">
        <v>84.166982957252443</v>
      </c>
    </row>
    <row r="1939" spans="1:13" hidden="1" x14ac:dyDescent="0.3">
      <c r="A1939" t="s">
        <v>127</v>
      </c>
      <c r="B1939" t="s">
        <v>51</v>
      </c>
      <c r="C1939" t="s">
        <v>52</v>
      </c>
      <c r="D1939">
        <v>2021</v>
      </c>
      <c r="E1939">
        <v>1300000</v>
      </c>
      <c r="F1939" t="s">
        <v>34</v>
      </c>
      <c r="G1939" t="s">
        <v>31</v>
      </c>
      <c r="H1939" t="s">
        <v>27</v>
      </c>
      <c r="I1939" t="s">
        <v>27</v>
      </c>
      <c r="J1939" t="s">
        <v>27</v>
      </c>
      <c r="K1939" t="s">
        <v>31</v>
      </c>
      <c r="L1939">
        <v>1544549</v>
      </c>
      <c r="M1939">
        <v>84.166982957252443</v>
      </c>
    </row>
    <row r="1940" spans="1:13" hidden="1" x14ac:dyDescent="0.3">
      <c r="A1940" t="s">
        <v>132</v>
      </c>
      <c r="B1940" t="s">
        <v>51</v>
      </c>
      <c r="C1940" t="s">
        <v>52</v>
      </c>
      <c r="D1940">
        <v>2021</v>
      </c>
      <c r="E1940" t="s">
        <v>31</v>
      </c>
      <c r="F1940" t="s">
        <v>90</v>
      </c>
      <c r="G1940" t="s">
        <v>54</v>
      </c>
      <c r="H1940" t="s">
        <v>27</v>
      </c>
      <c r="I1940" t="s">
        <v>27</v>
      </c>
      <c r="J1940" t="s">
        <v>27</v>
      </c>
      <c r="K1940">
        <v>2245</v>
      </c>
      <c r="L1940" t="s">
        <v>31</v>
      </c>
      <c r="M1940">
        <v>84.166982957252443</v>
      </c>
    </row>
    <row r="1941" spans="1:13" hidden="1" x14ac:dyDescent="0.3">
      <c r="A1941" t="s">
        <v>135</v>
      </c>
      <c r="B1941" t="s">
        <v>28</v>
      </c>
      <c r="C1941" t="s">
        <v>64</v>
      </c>
      <c r="D1941">
        <v>2021</v>
      </c>
      <c r="E1941">
        <v>1300000</v>
      </c>
      <c r="F1941" t="s">
        <v>34</v>
      </c>
      <c r="G1941" t="s">
        <v>37</v>
      </c>
      <c r="H1941" t="s">
        <v>27</v>
      </c>
      <c r="I1941" t="s">
        <v>27</v>
      </c>
      <c r="J1941" t="s">
        <v>27</v>
      </c>
      <c r="K1941">
        <v>250</v>
      </c>
      <c r="L1941">
        <v>1544549</v>
      </c>
      <c r="M1941">
        <v>84.166982957252443</v>
      </c>
    </row>
    <row r="1942" spans="1:13" hidden="1" x14ac:dyDescent="0.3">
      <c r="A1942" t="s">
        <v>136</v>
      </c>
      <c r="B1942" t="s">
        <v>51</v>
      </c>
      <c r="C1942" t="s">
        <v>52</v>
      </c>
      <c r="D1942">
        <v>2021</v>
      </c>
      <c r="E1942" t="s">
        <v>31</v>
      </c>
      <c r="F1942" t="s">
        <v>119</v>
      </c>
      <c r="G1942" t="s">
        <v>31</v>
      </c>
      <c r="H1942" t="s">
        <v>27</v>
      </c>
      <c r="I1942" t="s">
        <v>27</v>
      </c>
      <c r="J1942" t="s">
        <v>27</v>
      </c>
      <c r="K1942">
        <v>455005</v>
      </c>
      <c r="L1942" t="s">
        <v>31</v>
      </c>
      <c r="M1942">
        <v>84.166982957252443</v>
      </c>
    </row>
    <row r="1943" spans="1:13" hidden="1" x14ac:dyDescent="0.3">
      <c r="A1943" t="s">
        <v>137</v>
      </c>
      <c r="B1943" t="s">
        <v>28</v>
      </c>
      <c r="C1943" t="s">
        <v>30</v>
      </c>
      <c r="D1943">
        <v>2021</v>
      </c>
      <c r="E1943">
        <v>50000</v>
      </c>
      <c r="F1943" t="s">
        <v>73</v>
      </c>
      <c r="G1943" t="s">
        <v>138</v>
      </c>
      <c r="H1943" t="s">
        <v>27</v>
      </c>
      <c r="I1943" t="s">
        <v>27</v>
      </c>
      <c r="J1943" t="s">
        <v>27</v>
      </c>
      <c r="K1943">
        <v>600</v>
      </c>
      <c r="L1943">
        <v>59406</v>
      </c>
      <c r="M1943">
        <v>84.166982957252443</v>
      </c>
    </row>
    <row r="1944" spans="1:13" hidden="1" x14ac:dyDescent="0.3">
      <c r="A1944" t="s">
        <v>139</v>
      </c>
      <c r="B1944" t="s">
        <v>51</v>
      </c>
      <c r="C1944" t="s">
        <v>56</v>
      </c>
      <c r="D1944">
        <v>2021</v>
      </c>
      <c r="E1944">
        <v>950000</v>
      </c>
      <c r="F1944" t="s">
        <v>34</v>
      </c>
      <c r="G1944" t="s">
        <v>31</v>
      </c>
      <c r="H1944" t="s">
        <v>27</v>
      </c>
      <c r="I1944" t="s">
        <v>27</v>
      </c>
      <c r="J1944" t="s">
        <v>27</v>
      </c>
      <c r="K1944">
        <v>636</v>
      </c>
      <c r="L1944">
        <v>1128709</v>
      </c>
      <c r="M1944">
        <v>84.166982957252443</v>
      </c>
    </row>
    <row r="1945" spans="1:13" hidden="1" x14ac:dyDescent="0.3">
      <c r="A1945" t="s">
        <v>140</v>
      </c>
      <c r="B1945" t="s">
        <v>28</v>
      </c>
      <c r="C1945" t="s">
        <v>97</v>
      </c>
      <c r="D1945">
        <v>2021</v>
      </c>
      <c r="E1945">
        <v>25000</v>
      </c>
      <c r="F1945" t="s">
        <v>77</v>
      </c>
      <c r="G1945" t="s">
        <v>31</v>
      </c>
      <c r="H1945" t="s">
        <v>27</v>
      </c>
      <c r="I1945" t="s">
        <v>27</v>
      </c>
      <c r="J1945" t="s">
        <v>27</v>
      </c>
      <c r="K1945">
        <v>302</v>
      </c>
      <c r="L1945">
        <v>29703</v>
      </c>
      <c r="M1945">
        <v>84.166982957252443</v>
      </c>
    </row>
    <row r="1946" spans="1:13" hidden="1" x14ac:dyDescent="0.3">
      <c r="A1946" t="s">
        <v>141</v>
      </c>
      <c r="B1946" t="s">
        <v>39</v>
      </c>
      <c r="C1946" t="s">
        <v>142</v>
      </c>
      <c r="D1946">
        <v>2021</v>
      </c>
      <c r="E1946">
        <v>10000</v>
      </c>
      <c r="F1946" t="s">
        <v>34</v>
      </c>
      <c r="G1946" t="s">
        <v>31</v>
      </c>
      <c r="H1946" t="s">
        <v>27</v>
      </c>
      <c r="I1946" t="s">
        <v>27</v>
      </c>
      <c r="J1946" t="s">
        <v>27</v>
      </c>
      <c r="K1946">
        <v>178</v>
      </c>
      <c r="L1946">
        <v>11881</v>
      </c>
      <c r="M1946">
        <v>84.166982957252443</v>
      </c>
    </row>
    <row r="1947" spans="1:13" hidden="1" x14ac:dyDescent="0.3">
      <c r="A1947" t="s">
        <v>143</v>
      </c>
      <c r="B1947" t="s">
        <v>28</v>
      </c>
      <c r="C1947" t="s">
        <v>30</v>
      </c>
      <c r="D1947">
        <v>2021</v>
      </c>
      <c r="E1947" t="s">
        <v>31</v>
      </c>
      <c r="F1947" t="s">
        <v>144</v>
      </c>
      <c r="G1947" t="s">
        <v>31</v>
      </c>
      <c r="H1947" t="s">
        <v>27</v>
      </c>
      <c r="I1947" t="s">
        <v>27</v>
      </c>
      <c r="J1947" t="s">
        <v>27</v>
      </c>
      <c r="K1947">
        <v>3300</v>
      </c>
      <c r="L1947" t="s">
        <v>31</v>
      </c>
      <c r="M1947">
        <v>84.166982957252443</v>
      </c>
    </row>
    <row r="1948" spans="1:13" hidden="1" x14ac:dyDescent="0.3">
      <c r="A1948" t="s">
        <v>145</v>
      </c>
      <c r="B1948" t="s">
        <v>28</v>
      </c>
      <c r="C1948" t="s">
        <v>30</v>
      </c>
      <c r="D1948">
        <v>2021</v>
      </c>
      <c r="E1948" t="s">
        <v>31</v>
      </c>
      <c r="F1948" t="s">
        <v>75</v>
      </c>
      <c r="G1948" t="s">
        <v>31</v>
      </c>
      <c r="H1948" t="s">
        <v>27</v>
      </c>
      <c r="I1948" t="s">
        <v>27</v>
      </c>
      <c r="J1948" t="s">
        <v>27</v>
      </c>
      <c r="K1948">
        <v>153</v>
      </c>
      <c r="L1948" t="s">
        <v>31</v>
      </c>
      <c r="M1948">
        <v>84.166982957252443</v>
      </c>
    </row>
    <row r="1949" spans="1:13" hidden="1" x14ac:dyDescent="0.3">
      <c r="A1949" t="s">
        <v>146</v>
      </c>
      <c r="B1949" t="s">
        <v>28</v>
      </c>
      <c r="C1949" t="s">
        <v>30</v>
      </c>
      <c r="D1949">
        <v>2021</v>
      </c>
      <c r="E1949" t="s">
        <v>31</v>
      </c>
      <c r="F1949" t="s">
        <v>45</v>
      </c>
      <c r="G1949" t="s">
        <v>31</v>
      </c>
      <c r="H1949" t="s">
        <v>27</v>
      </c>
      <c r="I1949" t="s">
        <v>27</v>
      </c>
      <c r="J1949" t="s">
        <v>27</v>
      </c>
      <c r="K1949">
        <v>3</v>
      </c>
      <c r="L1949" t="s">
        <v>31</v>
      </c>
      <c r="M1949">
        <v>84.166982957252443</v>
      </c>
    </row>
    <row r="1950" spans="1:13" hidden="1" x14ac:dyDescent="0.3">
      <c r="A1950" t="s">
        <v>147</v>
      </c>
      <c r="B1950" t="s">
        <v>28</v>
      </c>
      <c r="C1950" t="s">
        <v>30</v>
      </c>
      <c r="D1950">
        <v>2021</v>
      </c>
      <c r="E1950" t="s">
        <v>31</v>
      </c>
      <c r="F1950" t="s">
        <v>148</v>
      </c>
      <c r="G1950" t="s">
        <v>31</v>
      </c>
      <c r="H1950" t="s">
        <v>27</v>
      </c>
      <c r="I1950" t="s">
        <v>27</v>
      </c>
      <c r="J1950" t="s">
        <v>27</v>
      </c>
      <c r="K1950">
        <v>129</v>
      </c>
      <c r="L1950" t="s">
        <v>31</v>
      </c>
      <c r="M1950">
        <v>84.166982957252443</v>
      </c>
    </row>
    <row r="1951" spans="1:13" hidden="1" x14ac:dyDescent="0.3">
      <c r="A1951" t="s">
        <v>153</v>
      </c>
      <c r="B1951" t="s">
        <v>51</v>
      </c>
      <c r="C1951" t="s">
        <v>52</v>
      </c>
      <c r="D1951">
        <v>2021</v>
      </c>
      <c r="E1951" t="s">
        <v>31</v>
      </c>
      <c r="F1951" t="s">
        <v>60</v>
      </c>
      <c r="G1951" t="s">
        <v>54</v>
      </c>
      <c r="H1951" t="s">
        <v>27</v>
      </c>
      <c r="I1951" t="s">
        <v>27</v>
      </c>
      <c r="J1951" t="s">
        <v>27</v>
      </c>
      <c r="K1951">
        <v>610</v>
      </c>
      <c r="L1951" t="s">
        <v>31</v>
      </c>
      <c r="M1951">
        <v>84.166982957252443</v>
      </c>
    </row>
    <row r="1952" spans="1:13" hidden="1" x14ac:dyDescent="0.3">
      <c r="A1952" t="s">
        <v>163</v>
      </c>
      <c r="B1952" t="s">
        <v>51</v>
      </c>
      <c r="C1952" t="s">
        <v>52</v>
      </c>
      <c r="D1952">
        <v>2021</v>
      </c>
      <c r="E1952">
        <v>50000</v>
      </c>
      <c r="F1952" t="s">
        <v>34</v>
      </c>
      <c r="G1952" t="s">
        <v>54</v>
      </c>
      <c r="H1952" t="s">
        <v>27</v>
      </c>
      <c r="I1952" t="s">
        <v>27</v>
      </c>
      <c r="J1952" t="s">
        <v>33</v>
      </c>
      <c r="K1952" t="s">
        <v>31</v>
      </c>
      <c r="L1952">
        <v>59406</v>
      </c>
      <c r="M1952">
        <v>84.166982957252443</v>
      </c>
    </row>
    <row r="1953" spans="1:13" hidden="1" x14ac:dyDescent="0.3">
      <c r="A1953" t="s">
        <v>165</v>
      </c>
      <c r="B1953" t="s">
        <v>51</v>
      </c>
      <c r="C1953" t="s">
        <v>52</v>
      </c>
      <c r="D1953">
        <v>2021</v>
      </c>
      <c r="E1953" t="s">
        <v>31</v>
      </c>
      <c r="F1953" t="s">
        <v>166</v>
      </c>
      <c r="G1953" t="s">
        <v>54</v>
      </c>
      <c r="H1953" t="s">
        <v>27</v>
      </c>
      <c r="I1953" t="s">
        <v>27</v>
      </c>
      <c r="J1953" t="s">
        <v>27</v>
      </c>
      <c r="K1953">
        <v>27189</v>
      </c>
      <c r="L1953" t="s">
        <v>31</v>
      </c>
      <c r="M1953">
        <v>84.166982957252443</v>
      </c>
    </row>
    <row r="1954" spans="1:13" hidden="1" x14ac:dyDescent="0.3">
      <c r="A1954" t="s">
        <v>167</v>
      </c>
      <c r="B1954" t="s">
        <v>28</v>
      </c>
      <c r="C1954" t="s">
        <v>30</v>
      </c>
      <c r="D1954">
        <v>2021</v>
      </c>
      <c r="E1954" t="s">
        <v>31</v>
      </c>
      <c r="F1954" t="s">
        <v>75</v>
      </c>
      <c r="G1954" t="s">
        <v>31</v>
      </c>
      <c r="H1954" t="s">
        <v>27</v>
      </c>
      <c r="I1954" t="s">
        <v>27</v>
      </c>
      <c r="J1954" t="s">
        <v>27</v>
      </c>
      <c r="K1954">
        <v>4025</v>
      </c>
      <c r="L1954" t="s">
        <v>31</v>
      </c>
      <c r="M1954">
        <v>84.166982957252443</v>
      </c>
    </row>
    <row r="1955" spans="1:13" hidden="1" x14ac:dyDescent="0.3">
      <c r="A1955" t="s">
        <v>168</v>
      </c>
      <c r="B1955" t="s">
        <v>28</v>
      </c>
      <c r="C1955" t="s">
        <v>30</v>
      </c>
      <c r="D1955">
        <v>2021</v>
      </c>
      <c r="E1955">
        <v>550000</v>
      </c>
      <c r="F1955" t="s">
        <v>34</v>
      </c>
      <c r="G1955" t="s">
        <v>37</v>
      </c>
      <c r="H1955" t="s">
        <v>27</v>
      </c>
      <c r="I1955" t="s">
        <v>27</v>
      </c>
      <c r="J1955" t="s">
        <v>33</v>
      </c>
      <c r="K1955">
        <v>86</v>
      </c>
      <c r="L1955">
        <v>653463</v>
      </c>
      <c r="M1955">
        <v>84.166982957252443</v>
      </c>
    </row>
    <row r="1956" spans="1:13" hidden="1" x14ac:dyDescent="0.3">
      <c r="A1956" t="s">
        <v>169</v>
      </c>
      <c r="B1956" t="s">
        <v>28</v>
      </c>
      <c r="C1956" t="s">
        <v>30</v>
      </c>
      <c r="D1956">
        <v>2021</v>
      </c>
      <c r="E1956">
        <v>1300000</v>
      </c>
      <c r="F1956" t="s">
        <v>34</v>
      </c>
      <c r="G1956" t="s">
        <v>37</v>
      </c>
      <c r="H1956" t="s">
        <v>27</v>
      </c>
      <c r="I1956" t="s">
        <v>27</v>
      </c>
      <c r="J1956" t="s">
        <v>33</v>
      </c>
      <c r="K1956">
        <v>105</v>
      </c>
      <c r="L1956">
        <v>1544549</v>
      </c>
      <c r="M1956">
        <v>84.166982957252443</v>
      </c>
    </row>
    <row r="1957" spans="1:13" hidden="1" x14ac:dyDescent="0.3">
      <c r="A1957" t="s">
        <v>171</v>
      </c>
      <c r="B1957" t="s">
        <v>28</v>
      </c>
      <c r="C1957" t="s">
        <v>30</v>
      </c>
      <c r="D1957">
        <v>2021</v>
      </c>
      <c r="E1957">
        <v>100000</v>
      </c>
      <c r="F1957" t="s">
        <v>73</v>
      </c>
      <c r="G1957" t="s">
        <v>82</v>
      </c>
      <c r="H1957" t="s">
        <v>27</v>
      </c>
      <c r="I1957" t="s">
        <v>27</v>
      </c>
      <c r="J1957" t="s">
        <v>27</v>
      </c>
      <c r="K1957">
        <v>1503</v>
      </c>
      <c r="L1957">
        <v>118811</v>
      </c>
      <c r="M1957">
        <v>84.166982957252443</v>
      </c>
    </row>
    <row r="1958" spans="1:13" hidden="1" x14ac:dyDescent="0.3">
      <c r="A1958" t="s">
        <v>172</v>
      </c>
      <c r="B1958" t="s">
        <v>91</v>
      </c>
      <c r="C1958" t="s">
        <v>93</v>
      </c>
      <c r="D1958">
        <v>2021</v>
      </c>
      <c r="E1958">
        <v>200000</v>
      </c>
      <c r="F1958" t="s">
        <v>73</v>
      </c>
      <c r="G1958" t="s">
        <v>173</v>
      </c>
      <c r="H1958" t="s">
        <v>27</v>
      </c>
      <c r="I1958" t="s">
        <v>27</v>
      </c>
      <c r="J1958" t="s">
        <v>27</v>
      </c>
      <c r="K1958">
        <v>21951</v>
      </c>
      <c r="L1958">
        <v>237623</v>
      </c>
      <c r="M1958">
        <v>84.166982957252443</v>
      </c>
    </row>
    <row r="1959" spans="1:13" hidden="1" x14ac:dyDescent="0.3">
      <c r="A1959" t="s">
        <v>177</v>
      </c>
      <c r="B1959" t="s">
        <v>51</v>
      </c>
      <c r="C1959" t="s">
        <v>52</v>
      </c>
      <c r="D1959">
        <v>2021</v>
      </c>
      <c r="E1959" t="s">
        <v>31</v>
      </c>
      <c r="F1959" t="s">
        <v>53</v>
      </c>
      <c r="G1959" t="s">
        <v>31</v>
      </c>
      <c r="H1959" t="s">
        <v>27</v>
      </c>
      <c r="I1959" t="s">
        <v>27</v>
      </c>
      <c r="J1959" t="s">
        <v>33</v>
      </c>
      <c r="K1959">
        <v>2984</v>
      </c>
      <c r="L1959" t="s">
        <v>31</v>
      </c>
      <c r="M1959">
        <v>84.166982957252443</v>
      </c>
    </row>
    <row r="1960" spans="1:13" hidden="1" x14ac:dyDescent="0.3">
      <c r="A1960" t="s">
        <v>183</v>
      </c>
      <c r="B1960" t="s">
        <v>51</v>
      </c>
      <c r="C1960" t="s">
        <v>56</v>
      </c>
      <c r="D1960">
        <v>2021</v>
      </c>
      <c r="E1960">
        <v>325000</v>
      </c>
      <c r="F1960" t="s">
        <v>34</v>
      </c>
      <c r="G1960" t="s">
        <v>31</v>
      </c>
      <c r="H1960" t="s">
        <v>27</v>
      </c>
      <c r="I1960" t="s">
        <v>27</v>
      </c>
      <c r="J1960" t="s">
        <v>33</v>
      </c>
      <c r="K1960" t="s">
        <v>31</v>
      </c>
      <c r="L1960">
        <v>386137</v>
      </c>
      <c r="M1960">
        <v>84.166982957252443</v>
      </c>
    </row>
    <row r="1961" spans="1:13" hidden="1" x14ac:dyDescent="0.3">
      <c r="A1961" t="s">
        <v>184</v>
      </c>
      <c r="B1961" t="s">
        <v>51</v>
      </c>
      <c r="C1961" t="s">
        <v>52</v>
      </c>
      <c r="D1961">
        <v>2021</v>
      </c>
      <c r="E1961" t="s">
        <v>31</v>
      </c>
      <c r="F1961" t="s">
        <v>111</v>
      </c>
      <c r="G1961" t="s">
        <v>31</v>
      </c>
      <c r="H1961" t="s">
        <v>27</v>
      </c>
      <c r="I1961" t="s">
        <v>27</v>
      </c>
      <c r="J1961" t="s">
        <v>27</v>
      </c>
      <c r="K1961">
        <v>125</v>
      </c>
      <c r="L1961" t="s">
        <v>31</v>
      </c>
      <c r="M1961">
        <v>84.166982957252443</v>
      </c>
    </row>
    <row r="1962" spans="1:13" hidden="1" x14ac:dyDescent="0.3">
      <c r="A1962" t="s">
        <v>185</v>
      </c>
      <c r="B1962" t="s">
        <v>51</v>
      </c>
      <c r="C1962" t="s">
        <v>56</v>
      </c>
      <c r="D1962">
        <v>2021</v>
      </c>
      <c r="E1962" t="s">
        <v>31</v>
      </c>
      <c r="F1962" t="s">
        <v>47</v>
      </c>
      <c r="G1962" t="s">
        <v>31</v>
      </c>
      <c r="H1962" t="s">
        <v>27</v>
      </c>
      <c r="I1962" t="s">
        <v>27</v>
      </c>
      <c r="J1962" t="s">
        <v>27</v>
      </c>
      <c r="K1962">
        <v>301</v>
      </c>
      <c r="L1962" t="s">
        <v>31</v>
      </c>
      <c r="M1962">
        <v>84.166982957252443</v>
      </c>
    </row>
    <row r="1963" spans="1:13" x14ac:dyDescent="0.3">
      <c r="D1963" s="2" t="s">
        <v>2573</v>
      </c>
      <c r="E1963" s="2">
        <f>SUM(E1882,E1884,E1885,E1908)</f>
        <v>500000</v>
      </c>
    </row>
    <row r="1964" spans="1:13" x14ac:dyDescent="0.3">
      <c r="A1964" t="s">
        <v>186</v>
      </c>
      <c r="B1964" t="s">
        <v>51</v>
      </c>
      <c r="C1964" t="s">
        <v>52</v>
      </c>
      <c r="D1964">
        <v>2021</v>
      </c>
      <c r="E1964">
        <v>417000</v>
      </c>
      <c r="F1964" t="s">
        <v>119</v>
      </c>
      <c r="G1964" t="s">
        <v>31</v>
      </c>
      <c r="H1964" t="s">
        <v>27</v>
      </c>
      <c r="I1964" t="s">
        <v>27</v>
      </c>
      <c r="J1964" t="s">
        <v>33</v>
      </c>
      <c r="K1964">
        <v>1036166</v>
      </c>
      <c r="L1964">
        <v>495444</v>
      </c>
      <c r="M1964">
        <v>84.166982957252443</v>
      </c>
    </row>
    <row r="1965" spans="1:13" hidden="1" x14ac:dyDescent="0.3">
      <c r="A1965" t="s">
        <v>188</v>
      </c>
      <c r="B1965" t="s">
        <v>39</v>
      </c>
      <c r="C1965" t="s">
        <v>142</v>
      </c>
      <c r="D1965">
        <v>2021</v>
      </c>
      <c r="E1965">
        <v>3300000</v>
      </c>
      <c r="F1965" t="s">
        <v>34</v>
      </c>
      <c r="G1965" t="s">
        <v>31</v>
      </c>
      <c r="H1965" t="s">
        <v>27</v>
      </c>
      <c r="I1965" t="s">
        <v>27</v>
      </c>
      <c r="J1965" t="s">
        <v>33</v>
      </c>
      <c r="K1965">
        <v>3654</v>
      </c>
      <c r="L1965">
        <v>3920777</v>
      </c>
      <c r="M1965">
        <v>84.166982957252443</v>
      </c>
    </row>
    <row r="1966" spans="1:13" hidden="1" x14ac:dyDescent="0.3">
      <c r="A1966" t="s">
        <v>190</v>
      </c>
      <c r="B1966" t="s">
        <v>39</v>
      </c>
      <c r="C1966" t="s">
        <v>157</v>
      </c>
      <c r="D1966">
        <v>2021</v>
      </c>
      <c r="E1966">
        <v>9000000</v>
      </c>
      <c r="F1966" t="s">
        <v>34</v>
      </c>
      <c r="G1966" t="s">
        <v>31</v>
      </c>
      <c r="H1966" t="s">
        <v>27</v>
      </c>
      <c r="I1966" t="s">
        <v>27</v>
      </c>
      <c r="J1966" t="s">
        <v>27</v>
      </c>
      <c r="K1966" t="s">
        <v>31</v>
      </c>
      <c r="L1966">
        <v>10693029</v>
      </c>
      <c r="M1966">
        <v>84.166982957252443</v>
      </c>
    </row>
    <row r="1967" spans="1:13" hidden="1" x14ac:dyDescent="0.3">
      <c r="A1967" t="s">
        <v>1252</v>
      </c>
      <c r="B1967" t="s">
        <v>28</v>
      </c>
      <c r="C1967" t="s">
        <v>30</v>
      </c>
      <c r="D1967">
        <v>2021</v>
      </c>
      <c r="E1967" t="s">
        <v>31</v>
      </c>
      <c r="F1967" t="s">
        <v>45</v>
      </c>
      <c r="G1967" t="s">
        <v>31</v>
      </c>
      <c r="H1967" t="s">
        <v>27</v>
      </c>
      <c r="I1967" t="s">
        <v>27</v>
      </c>
      <c r="J1967" t="s">
        <v>27</v>
      </c>
      <c r="K1967" t="s">
        <v>31</v>
      </c>
      <c r="L1967" t="s">
        <v>31</v>
      </c>
      <c r="M1967">
        <v>84.166982957252443</v>
      </c>
    </row>
    <row r="1968" spans="1:13" hidden="1" x14ac:dyDescent="0.3">
      <c r="A1968" t="s">
        <v>1289</v>
      </c>
      <c r="B1968" t="s">
        <v>51</v>
      </c>
      <c r="C1968" t="s">
        <v>56</v>
      </c>
      <c r="D1968">
        <v>2021</v>
      </c>
      <c r="E1968" t="s">
        <v>31</v>
      </c>
      <c r="F1968" t="s">
        <v>111</v>
      </c>
      <c r="G1968" t="s">
        <v>65</v>
      </c>
      <c r="H1968" t="s">
        <v>27</v>
      </c>
      <c r="I1968" t="s">
        <v>27</v>
      </c>
      <c r="J1968" t="s">
        <v>27</v>
      </c>
      <c r="K1968">
        <v>7</v>
      </c>
      <c r="L1968" t="s">
        <v>31</v>
      </c>
      <c r="M1968">
        <v>84.166982957252443</v>
      </c>
    </row>
    <row r="1969" spans="1:13" hidden="1" x14ac:dyDescent="0.3">
      <c r="A1969" t="s">
        <v>1290</v>
      </c>
      <c r="B1969" t="s">
        <v>28</v>
      </c>
      <c r="C1969" t="s">
        <v>97</v>
      </c>
      <c r="D1969">
        <v>2021</v>
      </c>
      <c r="E1969">
        <v>120000</v>
      </c>
      <c r="F1969" t="s">
        <v>34</v>
      </c>
      <c r="G1969" t="s">
        <v>287</v>
      </c>
      <c r="H1969" t="s">
        <v>27</v>
      </c>
      <c r="I1969" t="s">
        <v>27</v>
      </c>
      <c r="J1969" t="s">
        <v>27</v>
      </c>
      <c r="K1969">
        <v>30</v>
      </c>
      <c r="L1969">
        <v>142574</v>
      </c>
      <c r="M1969">
        <v>84.166982957252443</v>
      </c>
    </row>
    <row r="1970" spans="1:13" hidden="1" x14ac:dyDescent="0.3">
      <c r="A1970" t="s">
        <v>1291</v>
      </c>
      <c r="B1970" t="s">
        <v>28</v>
      </c>
      <c r="C1970" t="s">
        <v>67</v>
      </c>
      <c r="D1970">
        <v>2021</v>
      </c>
      <c r="E1970">
        <v>100000</v>
      </c>
      <c r="F1970" t="s">
        <v>34</v>
      </c>
      <c r="G1970" t="s">
        <v>31</v>
      </c>
      <c r="H1970" t="s">
        <v>27</v>
      </c>
      <c r="I1970" t="s">
        <v>27</v>
      </c>
      <c r="J1970" t="s">
        <v>33</v>
      </c>
      <c r="K1970" t="s">
        <v>31</v>
      </c>
      <c r="L1970">
        <v>118811</v>
      </c>
      <c r="M1970">
        <v>84.166982957252443</v>
      </c>
    </row>
    <row r="1971" spans="1:13" hidden="1" x14ac:dyDescent="0.3">
      <c r="A1971" t="s">
        <v>1292</v>
      </c>
      <c r="B1971" t="s">
        <v>28</v>
      </c>
      <c r="C1971" t="s">
        <v>64</v>
      </c>
      <c r="D1971">
        <v>2021</v>
      </c>
      <c r="E1971">
        <v>175000</v>
      </c>
      <c r="F1971" t="s">
        <v>60</v>
      </c>
      <c r="G1971" t="s">
        <v>82</v>
      </c>
      <c r="H1971" t="s">
        <v>27</v>
      </c>
      <c r="I1971" t="s">
        <v>27</v>
      </c>
      <c r="J1971" t="s">
        <v>27</v>
      </c>
      <c r="K1971">
        <v>521</v>
      </c>
      <c r="L1971">
        <v>207920</v>
      </c>
      <c r="M1971">
        <v>84.166982957252443</v>
      </c>
    </row>
    <row r="1972" spans="1:13" hidden="1" x14ac:dyDescent="0.3">
      <c r="A1972" t="s">
        <v>1293</v>
      </c>
      <c r="B1972" t="s">
        <v>51</v>
      </c>
      <c r="C1972" t="s">
        <v>52</v>
      </c>
      <c r="D1972">
        <v>2021</v>
      </c>
      <c r="E1972" t="s">
        <v>31</v>
      </c>
      <c r="F1972" t="s">
        <v>111</v>
      </c>
      <c r="G1972" t="s">
        <v>31</v>
      </c>
      <c r="H1972" t="s">
        <v>27</v>
      </c>
      <c r="I1972" t="s">
        <v>27</v>
      </c>
      <c r="J1972" t="s">
        <v>27</v>
      </c>
      <c r="K1972">
        <v>145000</v>
      </c>
      <c r="L1972" t="s">
        <v>31</v>
      </c>
      <c r="M1972">
        <v>84.166982957252443</v>
      </c>
    </row>
    <row r="1973" spans="1:13" hidden="1" x14ac:dyDescent="0.3">
      <c r="A1973" t="s">
        <v>1294</v>
      </c>
      <c r="B1973" t="s">
        <v>28</v>
      </c>
      <c r="C1973" t="s">
        <v>67</v>
      </c>
      <c r="D1973">
        <v>2021</v>
      </c>
      <c r="E1973">
        <v>100000</v>
      </c>
      <c r="F1973" t="s">
        <v>73</v>
      </c>
      <c r="G1973" t="s">
        <v>31</v>
      </c>
      <c r="H1973" t="s">
        <v>27</v>
      </c>
      <c r="I1973" t="s">
        <v>27</v>
      </c>
      <c r="J1973" t="s">
        <v>27</v>
      </c>
      <c r="K1973" t="s">
        <v>31</v>
      </c>
      <c r="L1973">
        <v>118811</v>
      </c>
      <c r="M1973">
        <v>84.166982957252443</v>
      </c>
    </row>
    <row r="1974" spans="1:13" hidden="1" x14ac:dyDescent="0.3">
      <c r="A1974" t="s">
        <v>1295</v>
      </c>
      <c r="B1974" t="s">
        <v>39</v>
      </c>
      <c r="C1974" t="s">
        <v>41</v>
      </c>
      <c r="D1974">
        <v>2021</v>
      </c>
      <c r="E1974" t="s">
        <v>31</v>
      </c>
      <c r="F1974" t="s">
        <v>130</v>
      </c>
      <c r="G1974" t="s">
        <v>31</v>
      </c>
      <c r="H1974" t="s">
        <v>27</v>
      </c>
      <c r="I1974" t="s">
        <v>27</v>
      </c>
      <c r="J1974" t="s">
        <v>27</v>
      </c>
      <c r="K1974">
        <v>1207</v>
      </c>
      <c r="L1974" t="s">
        <v>31</v>
      </c>
      <c r="M1974">
        <v>84.166982957252443</v>
      </c>
    </row>
    <row r="1975" spans="1:13" hidden="1" x14ac:dyDescent="0.3">
      <c r="A1975" t="s">
        <v>1296</v>
      </c>
      <c r="B1975" t="s">
        <v>51</v>
      </c>
      <c r="C1975" t="s">
        <v>52</v>
      </c>
      <c r="D1975">
        <v>2021</v>
      </c>
      <c r="E1975" t="s">
        <v>31</v>
      </c>
      <c r="F1975" t="s">
        <v>119</v>
      </c>
      <c r="G1975" t="s">
        <v>31</v>
      </c>
      <c r="H1975" t="s">
        <v>27</v>
      </c>
      <c r="I1975" t="s">
        <v>27</v>
      </c>
      <c r="J1975" t="s">
        <v>33</v>
      </c>
      <c r="K1975">
        <v>129</v>
      </c>
      <c r="L1975" t="s">
        <v>31</v>
      </c>
      <c r="M1975">
        <v>84.166982957252443</v>
      </c>
    </row>
    <row r="1976" spans="1:13" hidden="1" x14ac:dyDescent="0.3">
      <c r="A1976" t="s">
        <v>1297</v>
      </c>
      <c r="B1976" t="s">
        <v>51</v>
      </c>
      <c r="C1976" t="s">
        <v>56</v>
      </c>
      <c r="D1976">
        <v>2021</v>
      </c>
      <c r="E1976" t="s">
        <v>31</v>
      </c>
      <c r="F1976" t="s">
        <v>45</v>
      </c>
      <c r="G1976" t="s">
        <v>31</v>
      </c>
      <c r="H1976" t="s">
        <v>27</v>
      </c>
      <c r="I1976" t="s">
        <v>27</v>
      </c>
      <c r="J1976" t="s">
        <v>27</v>
      </c>
      <c r="K1976">
        <v>13380</v>
      </c>
      <c r="L1976" t="s">
        <v>31</v>
      </c>
      <c r="M1976">
        <v>84.166982957252443</v>
      </c>
    </row>
    <row r="1977" spans="1:13" hidden="1" x14ac:dyDescent="0.3">
      <c r="A1977" t="s">
        <v>1298</v>
      </c>
      <c r="B1977" t="s">
        <v>91</v>
      </c>
      <c r="C1977" t="s">
        <v>180</v>
      </c>
      <c r="D1977">
        <v>2021</v>
      </c>
      <c r="E1977">
        <v>325000</v>
      </c>
      <c r="F1977" t="s">
        <v>148</v>
      </c>
      <c r="G1977" t="s">
        <v>31</v>
      </c>
      <c r="H1977" t="s">
        <v>33</v>
      </c>
      <c r="I1977" t="s">
        <v>33</v>
      </c>
      <c r="J1977" t="s">
        <v>27</v>
      </c>
      <c r="K1977">
        <v>13300</v>
      </c>
      <c r="L1977">
        <v>386137</v>
      </c>
      <c r="M1977">
        <v>84.166982957252443</v>
      </c>
    </row>
    <row r="1978" spans="1:13" hidden="1" x14ac:dyDescent="0.3">
      <c r="A1978" t="s">
        <v>1299</v>
      </c>
      <c r="B1978" t="s">
        <v>51</v>
      </c>
      <c r="C1978" t="s">
        <v>56</v>
      </c>
      <c r="D1978">
        <v>2021</v>
      </c>
      <c r="E1978" t="s">
        <v>31</v>
      </c>
      <c r="F1978" t="s">
        <v>119</v>
      </c>
      <c r="G1978" t="s">
        <v>29</v>
      </c>
      <c r="H1978" t="s">
        <v>27</v>
      </c>
      <c r="I1978" t="s">
        <v>27</v>
      </c>
      <c r="J1978" t="s">
        <v>33</v>
      </c>
      <c r="K1978">
        <v>243</v>
      </c>
      <c r="L1978" t="s">
        <v>31</v>
      </c>
      <c r="M1978">
        <v>84.166982957252443</v>
      </c>
    </row>
    <row r="1979" spans="1:13" hidden="1" x14ac:dyDescent="0.3">
      <c r="A1979" t="s">
        <v>1300</v>
      </c>
      <c r="B1979" t="s">
        <v>51</v>
      </c>
      <c r="C1979" t="s">
        <v>52</v>
      </c>
      <c r="D1979">
        <v>2021</v>
      </c>
      <c r="E1979" t="s">
        <v>31</v>
      </c>
      <c r="F1979" t="s">
        <v>47</v>
      </c>
      <c r="G1979" t="s">
        <v>54</v>
      </c>
      <c r="H1979" t="s">
        <v>27</v>
      </c>
      <c r="I1979" t="s">
        <v>27</v>
      </c>
      <c r="J1979" t="s">
        <v>33</v>
      </c>
      <c r="K1979">
        <v>1000</v>
      </c>
      <c r="L1979" t="s">
        <v>31</v>
      </c>
      <c r="M1979">
        <v>84.166982957252443</v>
      </c>
    </row>
    <row r="1980" spans="1:13" hidden="1" x14ac:dyDescent="0.3">
      <c r="A1980" t="s">
        <v>1301</v>
      </c>
      <c r="B1980" t="s">
        <v>51</v>
      </c>
      <c r="C1980" t="s">
        <v>56</v>
      </c>
      <c r="D1980">
        <v>2021</v>
      </c>
      <c r="E1980" t="s">
        <v>31</v>
      </c>
      <c r="F1980" t="s">
        <v>47</v>
      </c>
      <c r="G1980" t="s">
        <v>31</v>
      </c>
      <c r="H1980" t="s">
        <v>27</v>
      </c>
      <c r="I1980" t="s">
        <v>27</v>
      </c>
      <c r="J1980" t="s">
        <v>33</v>
      </c>
      <c r="K1980">
        <v>3274</v>
      </c>
      <c r="L1980" t="s">
        <v>31</v>
      </c>
      <c r="M1980">
        <v>84.166982957252443</v>
      </c>
    </row>
    <row r="1981" spans="1:13" hidden="1" x14ac:dyDescent="0.3">
      <c r="A1981" t="s">
        <v>1302</v>
      </c>
      <c r="B1981" t="s">
        <v>51</v>
      </c>
      <c r="C1981" t="s">
        <v>121</v>
      </c>
      <c r="D1981">
        <v>2021</v>
      </c>
      <c r="E1981" t="s">
        <v>31</v>
      </c>
      <c r="F1981" t="s">
        <v>47</v>
      </c>
      <c r="G1981" t="s">
        <v>31</v>
      </c>
      <c r="H1981" t="s">
        <v>27</v>
      </c>
      <c r="I1981" t="s">
        <v>27</v>
      </c>
      <c r="J1981" t="s">
        <v>27</v>
      </c>
      <c r="K1981">
        <v>4800</v>
      </c>
      <c r="L1981" t="s">
        <v>31</v>
      </c>
      <c r="M1981">
        <v>84.166982957252443</v>
      </c>
    </row>
    <row r="1982" spans="1:13" hidden="1" x14ac:dyDescent="0.3">
      <c r="A1982" t="s">
        <v>1303</v>
      </c>
      <c r="B1982" t="s">
        <v>28</v>
      </c>
      <c r="C1982" t="s">
        <v>189</v>
      </c>
      <c r="D1982">
        <v>2021</v>
      </c>
      <c r="E1982">
        <v>375000</v>
      </c>
      <c r="F1982" t="s">
        <v>34</v>
      </c>
      <c r="G1982" t="s">
        <v>666</v>
      </c>
      <c r="H1982" t="s">
        <v>27</v>
      </c>
      <c r="I1982" t="s">
        <v>27</v>
      </c>
      <c r="J1982" t="s">
        <v>27</v>
      </c>
      <c r="K1982">
        <v>344</v>
      </c>
      <c r="L1982">
        <v>445543</v>
      </c>
      <c r="M1982">
        <v>84.166982957252443</v>
      </c>
    </row>
    <row r="1983" spans="1:13" hidden="1" x14ac:dyDescent="0.3">
      <c r="A1983" t="s">
        <v>1304</v>
      </c>
      <c r="B1983" t="s">
        <v>51</v>
      </c>
      <c r="C1983" t="s">
        <v>52</v>
      </c>
      <c r="D1983">
        <v>2021</v>
      </c>
      <c r="E1983" t="s">
        <v>31</v>
      </c>
      <c r="F1983" t="s">
        <v>166</v>
      </c>
      <c r="G1983" t="s">
        <v>54</v>
      </c>
      <c r="H1983" t="s">
        <v>27</v>
      </c>
      <c r="I1983" t="s">
        <v>27</v>
      </c>
      <c r="J1983" t="s">
        <v>27</v>
      </c>
      <c r="K1983">
        <v>3001</v>
      </c>
      <c r="L1983" t="s">
        <v>31</v>
      </c>
      <c r="M1983">
        <v>84.166982957252443</v>
      </c>
    </row>
    <row r="1984" spans="1:13" x14ac:dyDescent="0.3">
      <c r="A1984" t="s">
        <v>1305</v>
      </c>
      <c r="B1984" t="s">
        <v>51</v>
      </c>
      <c r="C1984" t="s">
        <v>56</v>
      </c>
      <c r="D1984">
        <v>2021</v>
      </c>
      <c r="E1984">
        <v>13000</v>
      </c>
      <c r="F1984" t="s">
        <v>119</v>
      </c>
      <c r="G1984" t="s">
        <v>54</v>
      </c>
      <c r="H1984" t="s">
        <v>27</v>
      </c>
      <c r="I1984" t="s">
        <v>27</v>
      </c>
      <c r="J1984" t="s">
        <v>33</v>
      </c>
      <c r="K1984">
        <v>2400</v>
      </c>
      <c r="L1984">
        <v>15445</v>
      </c>
      <c r="M1984">
        <v>84.166982957252443</v>
      </c>
    </row>
    <row r="1985" spans="1:13" hidden="1" x14ac:dyDescent="0.3">
      <c r="A1985" t="s">
        <v>1306</v>
      </c>
      <c r="B1985" t="s">
        <v>28</v>
      </c>
      <c r="C1985" t="s">
        <v>30</v>
      </c>
      <c r="D1985">
        <v>2021</v>
      </c>
      <c r="E1985">
        <v>50000</v>
      </c>
      <c r="F1985" t="s">
        <v>73</v>
      </c>
      <c r="G1985" t="s">
        <v>82</v>
      </c>
      <c r="H1985" t="s">
        <v>27</v>
      </c>
      <c r="I1985" t="s">
        <v>27</v>
      </c>
      <c r="J1985" t="s">
        <v>27</v>
      </c>
      <c r="K1985">
        <v>621</v>
      </c>
      <c r="L1985">
        <v>59406</v>
      </c>
      <c r="M1985">
        <v>84.166982957252443</v>
      </c>
    </row>
    <row r="1986" spans="1:13" hidden="1" x14ac:dyDescent="0.3">
      <c r="A1986" t="s">
        <v>1307</v>
      </c>
      <c r="B1986" t="s">
        <v>28</v>
      </c>
      <c r="C1986" t="s">
        <v>30</v>
      </c>
      <c r="D1986">
        <v>2021</v>
      </c>
      <c r="E1986" t="s">
        <v>31</v>
      </c>
      <c r="F1986" t="s">
        <v>242</v>
      </c>
      <c r="G1986" t="s">
        <v>54</v>
      </c>
      <c r="H1986" t="s">
        <v>27</v>
      </c>
      <c r="I1986" t="s">
        <v>27</v>
      </c>
      <c r="J1986" t="s">
        <v>27</v>
      </c>
      <c r="K1986" t="s">
        <v>31</v>
      </c>
      <c r="L1986" t="s">
        <v>31</v>
      </c>
      <c r="M1986">
        <v>84.166982957252443</v>
      </c>
    </row>
    <row r="1987" spans="1:13" hidden="1" x14ac:dyDescent="0.3">
      <c r="A1987" t="s">
        <v>1308</v>
      </c>
      <c r="B1987" t="s">
        <v>28</v>
      </c>
      <c r="C1987" t="s">
        <v>30</v>
      </c>
      <c r="D1987">
        <v>2021</v>
      </c>
      <c r="E1987">
        <v>1200000</v>
      </c>
      <c r="F1987" t="s">
        <v>34</v>
      </c>
      <c r="G1987" t="s">
        <v>37</v>
      </c>
      <c r="H1987" t="s">
        <v>27</v>
      </c>
      <c r="I1987" t="s">
        <v>27</v>
      </c>
      <c r="J1987" t="s">
        <v>33</v>
      </c>
      <c r="K1987">
        <v>9</v>
      </c>
      <c r="L1987">
        <v>1425737</v>
      </c>
      <c r="M1987">
        <v>84.166982957252443</v>
      </c>
    </row>
    <row r="1988" spans="1:13" hidden="1" x14ac:dyDescent="0.3">
      <c r="A1988" t="s">
        <v>1309</v>
      </c>
      <c r="B1988" t="s">
        <v>39</v>
      </c>
      <c r="C1988" t="s">
        <v>41</v>
      </c>
      <c r="D1988">
        <v>2021</v>
      </c>
      <c r="E1988">
        <v>3000000</v>
      </c>
      <c r="F1988" t="s">
        <v>34</v>
      </c>
      <c r="G1988" t="s">
        <v>31</v>
      </c>
      <c r="H1988" t="s">
        <v>27</v>
      </c>
      <c r="I1988" t="s">
        <v>27</v>
      </c>
      <c r="J1988" t="s">
        <v>27</v>
      </c>
      <c r="K1988">
        <v>1261</v>
      </c>
      <c r="L1988">
        <v>3564343</v>
      </c>
      <c r="M1988">
        <v>84.166982957252443</v>
      </c>
    </row>
    <row r="1989" spans="1:13" hidden="1" x14ac:dyDescent="0.3">
      <c r="A1989" t="s">
        <v>1310</v>
      </c>
      <c r="B1989" t="s">
        <v>91</v>
      </c>
      <c r="C1989" t="s">
        <v>93</v>
      </c>
      <c r="D1989">
        <v>2021</v>
      </c>
      <c r="E1989">
        <v>1620071</v>
      </c>
      <c r="F1989" t="s">
        <v>45</v>
      </c>
      <c r="G1989" t="s">
        <v>31</v>
      </c>
      <c r="H1989" t="s">
        <v>33</v>
      </c>
      <c r="I1989" t="s">
        <v>27</v>
      </c>
      <c r="J1989" t="s">
        <v>33</v>
      </c>
      <c r="K1989">
        <v>702763</v>
      </c>
      <c r="L1989">
        <v>1924830</v>
      </c>
      <c r="M1989">
        <v>84.166982957252443</v>
      </c>
    </row>
    <row r="1990" spans="1:13" hidden="1" x14ac:dyDescent="0.3">
      <c r="A1990" t="s">
        <v>1311</v>
      </c>
      <c r="B1990" t="s">
        <v>28</v>
      </c>
      <c r="C1990" t="s">
        <v>64</v>
      </c>
      <c r="D1990">
        <v>2021</v>
      </c>
      <c r="E1990">
        <v>1200000</v>
      </c>
      <c r="F1990" t="s">
        <v>34</v>
      </c>
      <c r="G1990" t="s">
        <v>100</v>
      </c>
      <c r="H1990" t="s">
        <v>27</v>
      </c>
      <c r="I1990" t="s">
        <v>27</v>
      </c>
      <c r="J1990" t="s">
        <v>27</v>
      </c>
      <c r="K1990" t="s">
        <v>31</v>
      </c>
      <c r="L1990">
        <v>1425737</v>
      </c>
      <c r="M1990">
        <v>84.166982957252443</v>
      </c>
    </row>
    <row r="1991" spans="1:13" hidden="1" x14ac:dyDescent="0.3">
      <c r="A1991" t="s">
        <v>1312</v>
      </c>
      <c r="B1991" t="s">
        <v>51</v>
      </c>
      <c r="C1991" t="s">
        <v>56</v>
      </c>
      <c r="D1991">
        <v>2021</v>
      </c>
      <c r="E1991">
        <v>300000</v>
      </c>
      <c r="F1991" t="s">
        <v>34</v>
      </c>
      <c r="G1991" t="s">
        <v>29</v>
      </c>
      <c r="H1991" t="s">
        <v>27</v>
      </c>
      <c r="I1991" t="s">
        <v>27</v>
      </c>
      <c r="J1991" t="s">
        <v>33</v>
      </c>
      <c r="K1991" t="s">
        <v>31</v>
      </c>
      <c r="L1991">
        <v>356434</v>
      </c>
      <c r="M1991">
        <v>84.166982957252443</v>
      </c>
    </row>
    <row r="1992" spans="1:13" hidden="1" x14ac:dyDescent="0.3">
      <c r="A1992" t="s">
        <v>1313</v>
      </c>
      <c r="B1992" t="s">
        <v>28</v>
      </c>
      <c r="C1992" t="s">
        <v>30</v>
      </c>
      <c r="D1992">
        <v>2021</v>
      </c>
      <c r="E1992">
        <v>500000</v>
      </c>
      <c r="F1992" t="s">
        <v>73</v>
      </c>
      <c r="G1992" t="s">
        <v>82</v>
      </c>
      <c r="H1992" t="s">
        <v>27</v>
      </c>
      <c r="I1992" t="s">
        <v>27</v>
      </c>
      <c r="J1992" t="s">
        <v>27</v>
      </c>
      <c r="K1992" t="s">
        <v>31</v>
      </c>
      <c r="L1992">
        <v>594057</v>
      </c>
      <c r="M1992">
        <v>84.166982957252443</v>
      </c>
    </row>
    <row r="1993" spans="1:13" hidden="1" x14ac:dyDescent="0.3">
      <c r="A1993" t="s">
        <v>1314</v>
      </c>
      <c r="B1993" t="s">
        <v>28</v>
      </c>
      <c r="C1993" t="s">
        <v>30</v>
      </c>
      <c r="D1993">
        <v>2021</v>
      </c>
      <c r="E1993">
        <v>65000000</v>
      </c>
      <c r="F1993" t="s">
        <v>34</v>
      </c>
      <c r="G1993" t="s">
        <v>37</v>
      </c>
      <c r="H1993" t="s">
        <v>27</v>
      </c>
      <c r="I1993" t="s">
        <v>27</v>
      </c>
      <c r="J1993" t="s">
        <v>33</v>
      </c>
      <c r="K1993">
        <v>14000</v>
      </c>
      <c r="L1993">
        <v>77227433</v>
      </c>
      <c r="M1993">
        <v>84.166982957252443</v>
      </c>
    </row>
    <row r="1994" spans="1:13" hidden="1" x14ac:dyDescent="0.3">
      <c r="A1994" t="s">
        <v>1315</v>
      </c>
      <c r="B1994" t="s">
        <v>51</v>
      </c>
      <c r="C1994" t="s">
        <v>56</v>
      </c>
      <c r="D1994">
        <v>2021</v>
      </c>
      <c r="E1994">
        <v>25000</v>
      </c>
      <c r="F1994" t="s">
        <v>34</v>
      </c>
      <c r="G1994" t="s">
        <v>31</v>
      </c>
      <c r="H1994" t="s">
        <v>27</v>
      </c>
      <c r="I1994" t="s">
        <v>27</v>
      </c>
      <c r="J1994" t="s">
        <v>27</v>
      </c>
      <c r="K1994">
        <v>600</v>
      </c>
      <c r="L1994">
        <v>29703</v>
      </c>
      <c r="M1994">
        <v>84.166982957252443</v>
      </c>
    </row>
    <row r="1995" spans="1:13" hidden="1" x14ac:dyDescent="0.3">
      <c r="A1995" t="s">
        <v>1316</v>
      </c>
      <c r="B1995" t="s">
        <v>51</v>
      </c>
      <c r="C1995" t="s">
        <v>56</v>
      </c>
      <c r="D1995">
        <v>2021</v>
      </c>
      <c r="E1995">
        <v>50000</v>
      </c>
      <c r="F1995" t="s">
        <v>73</v>
      </c>
      <c r="G1995" t="s">
        <v>31</v>
      </c>
      <c r="H1995" t="s">
        <v>27</v>
      </c>
      <c r="I1995" t="s">
        <v>27</v>
      </c>
      <c r="J1995" t="s">
        <v>27</v>
      </c>
      <c r="K1995">
        <v>1000</v>
      </c>
      <c r="L1995">
        <v>59406</v>
      </c>
      <c r="M1995">
        <v>84.166982957252443</v>
      </c>
    </row>
    <row r="1996" spans="1:13" hidden="1" x14ac:dyDescent="0.3">
      <c r="A1996" t="s">
        <v>1317</v>
      </c>
      <c r="B1996" t="s">
        <v>51</v>
      </c>
      <c r="C1996" t="s">
        <v>121</v>
      </c>
      <c r="D1996">
        <v>2021</v>
      </c>
      <c r="E1996" t="s">
        <v>31</v>
      </c>
      <c r="F1996" t="s">
        <v>47</v>
      </c>
      <c r="G1996" t="s">
        <v>31</v>
      </c>
      <c r="H1996" t="s">
        <v>27</v>
      </c>
      <c r="I1996" t="s">
        <v>27</v>
      </c>
      <c r="J1996" t="s">
        <v>27</v>
      </c>
      <c r="K1996">
        <v>2000</v>
      </c>
      <c r="L1996" t="s">
        <v>31</v>
      </c>
      <c r="M1996">
        <v>84.166982957252443</v>
      </c>
    </row>
    <row r="1997" spans="1:13" hidden="1" x14ac:dyDescent="0.3">
      <c r="A1997" t="s">
        <v>1318</v>
      </c>
      <c r="B1997" t="s">
        <v>39</v>
      </c>
      <c r="C1997" t="s">
        <v>142</v>
      </c>
      <c r="D1997">
        <v>2021</v>
      </c>
      <c r="E1997" t="s">
        <v>31</v>
      </c>
      <c r="F1997" t="s">
        <v>49</v>
      </c>
      <c r="G1997" t="s">
        <v>31</v>
      </c>
      <c r="H1997" t="s">
        <v>27</v>
      </c>
      <c r="I1997" t="s">
        <v>27</v>
      </c>
      <c r="J1997" t="s">
        <v>33</v>
      </c>
      <c r="K1997">
        <v>2503</v>
      </c>
      <c r="L1997" t="s">
        <v>31</v>
      </c>
      <c r="M1997">
        <v>84.166982957252443</v>
      </c>
    </row>
    <row r="1998" spans="1:13" hidden="1" x14ac:dyDescent="0.3">
      <c r="A1998" t="s">
        <v>1319</v>
      </c>
      <c r="B1998" t="s">
        <v>28</v>
      </c>
      <c r="C1998" t="s">
        <v>30</v>
      </c>
      <c r="D1998">
        <v>2021</v>
      </c>
      <c r="E1998">
        <v>10000</v>
      </c>
      <c r="F1998" t="s">
        <v>73</v>
      </c>
      <c r="G1998" t="s">
        <v>37</v>
      </c>
      <c r="H1998" t="s">
        <v>27</v>
      </c>
      <c r="I1998" t="s">
        <v>27</v>
      </c>
      <c r="J1998" t="s">
        <v>27</v>
      </c>
      <c r="K1998">
        <v>150</v>
      </c>
      <c r="L1998">
        <v>11881</v>
      </c>
      <c r="M1998">
        <v>84.166982957252443</v>
      </c>
    </row>
    <row r="1999" spans="1:13" hidden="1" x14ac:dyDescent="0.3">
      <c r="A1999" t="s">
        <v>1320</v>
      </c>
      <c r="B1999" t="s">
        <v>91</v>
      </c>
      <c r="C1999" t="s">
        <v>93</v>
      </c>
      <c r="D1999">
        <v>2021</v>
      </c>
      <c r="E1999" t="s">
        <v>31</v>
      </c>
      <c r="F1999" t="s">
        <v>109</v>
      </c>
      <c r="G1999" t="s">
        <v>31</v>
      </c>
      <c r="H1999" t="s">
        <v>27</v>
      </c>
      <c r="I1999" t="s">
        <v>27</v>
      </c>
      <c r="J1999" t="s">
        <v>27</v>
      </c>
      <c r="K1999">
        <v>39</v>
      </c>
      <c r="L1999" t="s">
        <v>31</v>
      </c>
      <c r="M1999">
        <v>84.166982957252443</v>
      </c>
    </row>
    <row r="2000" spans="1:13" hidden="1" x14ac:dyDescent="0.3">
      <c r="A2000" t="s">
        <v>1878</v>
      </c>
      <c r="B2000" t="s">
        <v>28</v>
      </c>
      <c r="C2000" t="s">
        <v>99</v>
      </c>
      <c r="D2000">
        <v>2021</v>
      </c>
      <c r="E2000">
        <v>1300000</v>
      </c>
      <c r="F2000" t="s">
        <v>34</v>
      </c>
      <c r="G2000" t="s">
        <v>31</v>
      </c>
      <c r="H2000" t="s">
        <v>27</v>
      </c>
      <c r="I2000" t="s">
        <v>27</v>
      </c>
      <c r="J2000" t="s">
        <v>27</v>
      </c>
      <c r="K2000" t="s">
        <v>31</v>
      </c>
      <c r="L2000">
        <v>1544549</v>
      </c>
      <c r="M2000">
        <v>84.166982957252443</v>
      </c>
    </row>
    <row r="2001" spans="1:13" hidden="1" x14ac:dyDescent="0.3">
      <c r="A2001" t="s">
        <v>1910</v>
      </c>
      <c r="B2001" t="s">
        <v>91</v>
      </c>
      <c r="C2001" t="s">
        <v>93</v>
      </c>
      <c r="D2001">
        <v>2021</v>
      </c>
      <c r="E2001" t="s">
        <v>31</v>
      </c>
      <c r="F2001" t="s">
        <v>130</v>
      </c>
      <c r="G2001" t="s">
        <v>31</v>
      </c>
      <c r="H2001" t="s">
        <v>27</v>
      </c>
      <c r="I2001" t="s">
        <v>27</v>
      </c>
      <c r="J2001" t="s">
        <v>27</v>
      </c>
      <c r="K2001">
        <v>1814</v>
      </c>
      <c r="L2001" t="s">
        <v>31</v>
      </c>
      <c r="M2001">
        <v>84.166982957252443</v>
      </c>
    </row>
    <row r="2002" spans="1:13" hidden="1" x14ac:dyDescent="0.3">
      <c r="A2002" t="s">
        <v>1911</v>
      </c>
      <c r="B2002" t="s">
        <v>28</v>
      </c>
      <c r="C2002" t="s">
        <v>64</v>
      </c>
      <c r="D2002">
        <v>2021</v>
      </c>
      <c r="E2002">
        <v>675000</v>
      </c>
      <c r="F2002" t="s">
        <v>34</v>
      </c>
      <c r="G2002" t="s">
        <v>82</v>
      </c>
      <c r="H2002" t="s">
        <v>27</v>
      </c>
      <c r="I2002" t="s">
        <v>27</v>
      </c>
      <c r="J2002" t="s">
        <v>27</v>
      </c>
      <c r="K2002" t="s">
        <v>31</v>
      </c>
      <c r="L2002">
        <v>801977</v>
      </c>
      <c r="M2002">
        <v>84.166982957252443</v>
      </c>
    </row>
    <row r="2003" spans="1:13" hidden="1" x14ac:dyDescent="0.3">
      <c r="A2003" t="s">
        <v>1912</v>
      </c>
      <c r="B2003" t="s">
        <v>51</v>
      </c>
      <c r="C2003" t="s">
        <v>52</v>
      </c>
      <c r="D2003">
        <v>2021</v>
      </c>
      <c r="E2003" t="s">
        <v>31</v>
      </c>
      <c r="F2003" t="s">
        <v>117</v>
      </c>
      <c r="G2003" t="s">
        <v>54</v>
      </c>
      <c r="H2003" t="s">
        <v>27</v>
      </c>
      <c r="I2003" t="s">
        <v>27</v>
      </c>
      <c r="J2003" t="s">
        <v>27</v>
      </c>
      <c r="K2003">
        <v>2000</v>
      </c>
      <c r="L2003" t="s">
        <v>31</v>
      </c>
      <c r="M2003">
        <v>84.166982957252443</v>
      </c>
    </row>
    <row r="2004" spans="1:13" hidden="1" x14ac:dyDescent="0.3">
      <c r="A2004" t="s">
        <v>1913</v>
      </c>
      <c r="B2004" t="s">
        <v>51</v>
      </c>
      <c r="C2004" t="s">
        <v>52</v>
      </c>
      <c r="D2004">
        <v>2021</v>
      </c>
      <c r="E2004" t="s">
        <v>31</v>
      </c>
      <c r="F2004" t="s">
        <v>53</v>
      </c>
      <c r="G2004" t="s">
        <v>31</v>
      </c>
      <c r="H2004" t="s">
        <v>27</v>
      </c>
      <c r="I2004" t="s">
        <v>27</v>
      </c>
      <c r="J2004" t="s">
        <v>27</v>
      </c>
      <c r="K2004">
        <v>84</v>
      </c>
      <c r="L2004" t="s">
        <v>31</v>
      </c>
      <c r="M2004">
        <v>84.166982957252443</v>
      </c>
    </row>
    <row r="2005" spans="1:13" hidden="1" x14ac:dyDescent="0.3">
      <c r="A2005" t="s">
        <v>1914</v>
      </c>
      <c r="B2005" t="s">
        <v>51</v>
      </c>
      <c r="C2005" t="s">
        <v>56</v>
      </c>
      <c r="D2005">
        <v>2021</v>
      </c>
      <c r="E2005" t="s">
        <v>31</v>
      </c>
      <c r="F2005" t="s">
        <v>53</v>
      </c>
      <c r="G2005" t="s">
        <v>54</v>
      </c>
      <c r="H2005" t="s">
        <v>27</v>
      </c>
      <c r="I2005" t="s">
        <v>27</v>
      </c>
      <c r="J2005" t="s">
        <v>27</v>
      </c>
      <c r="K2005">
        <v>1875</v>
      </c>
      <c r="L2005" t="s">
        <v>31</v>
      </c>
      <c r="M2005">
        <v>84.166982957252443</v>
      </c>
    </row>
    <row r="2006" spans="1:13" hidden="1" x14ac:dyDescent="0.3">
      <c r="A2006" t="s">
        <v>1915</v>
      </c>
      <c r="B2006" t="s">
        <v>51</v>
      </c>
      <c r="C2006" t="s">
        <v>52</v>
      </c>
      <c r="D2006">
        <v>2021</v>
      </c>
      <c r="E2006">
        <v>50000</v>
      </c>
      <c r="F2006" t="s">
        <v>34</v>
      </c>
      <c r="G2006" t="s">
        <v>31</v>
      </c>
      <c r="H2006" t="s">
        <v>27</v>
      </c>
      <c r="I2006" t="s">
        <v>27</v>
      </c>
      <c r="J2006" t="s">
        <v>33</v>
      </c>
      <c r="K2006" t="s">
        <v>31</v>
      </c>
      <c r="L2006">
        <v>59406</v>
      </c>
      <c r="M2006">
        <v>84.166982957252443</v>
      </c>
    </row>
    <row r="2007" spans="1:13" hidden="1" x14ac:dyDescent="0.3">
      <c r="A2007" t="s">
        <v>1916</v>
      </c>
      <c r="B2007" t="s">
        <v>28</v>
      </c>
      <c r="C2007" t="s">
        <v>97</v>
      </c>
      <c r="D2007">
        <v>2021</v>
      </c>
      <c r="E2007">
        <v>500000</v>
      </c>
      <c r="F2007" t="s">
        <v>34</v>
      </c>
      <c r="G2007" t="s">
        <v>31</v>
      </c>
      <c r="H2007" t="s">
        <v>27</v>
      </c>
      <c r="I2007" t="s">
        <v>27</v>
      </c>
      <c r="J2007" t="s">
        <v>33</v>
      </c>
      <c r="K2007">
        <v>92</v>
      </c>
      <c r="L2007">
        <v>594057</v>
      </c>
      <c r="M2007">
        <v>84.166982957252443</v>
      </c>
    </row>
    <row r="2008" spans="1:13" hidden="1" x14ac:dyDescent="0.3">
      <c r="A2008" t="s">
        <v>1917</v>
      </c>
      <c r="B2008" t="s">
        <v>51</v>
      </c>
      <c r="C2008" t="s">
        <v>52</v>
      </c>
      <c r="D2008">
        <v>2021</v>
      </c>
      <c r="E2008" t="s">
        <v>31</v>
      </c>
      <c r="F2008" t="s">
        <v>47</v>
      </c>
      <c r="G2008" t="s">
        <v>54</v>
      </c>
      <c r="H2008" t="s">
        <v>27</v>
      </c>
      <c r="I2008" t="s">
        <v>27</v>
      </c>
      <c r="J2008" t="s">
        <v>27</v>
      </c>
      <c r="K2008">
        <v>365</v>
      </c>
      <c r="L2008" t="s">
        <v>31</v>
      </c>
      <c r="M2008">
        <v>84.166982957252443</v>
      </c>
    </row>
    <row r="2009" spans="1:13" hidden="1" x14ac:dyDescent="0.3">
      <c r="A2009" t="s">
        <v>1918</v>
      </c>
      <c r="B2009" t="s">
        <v>28</v>
      </c>
      <c r="C2009" t="s">
        <v>64</v>
      </c>
      <c r="D2009">
        <v>2021</v>
      </c>
      <c r="E2009">
        <v>215000</v>
      </c>
      <c r="F2009" t="s">
        <v>34</v>
      </c>
      <c r="G2009" t="s">
        <v>290</v>
      </c>
      <c r="H2009" t="s">
        <v>27</v>
      </c>
      <c r="I2009" t="s">
        <v>27</v>
      </c>
      <c r="J2009" t="s">
        <v>27</v>
      </c>
      <c r="K2009" t="s">
        <v>31</v>
      </c>
      <c r="L2009">
        <v>255445</v>
      </c>
      <c r="M2009">
        <v>84.166982957252443</v>
      </c>
    </row>
    <row r="2010" spans="1:13" x14ac:dyDescent="0.3">
      <c r="A2010" t="s">
        <v>1919</v>
      </c>
      <c r="B2010" t="s">
        <v>51</v>
      </c>
      <c r="C2010" t="s">
        <v>52</v>
      </c>
      <c r="D2010">
        <v>2021</v>
      </c>
      <c r="E2010">
        <v>40000</v>
      </c>
      <c r="F2010" t="s">
        <v>119</v>
      </c>
      <c r="G2010" t="s">
        <v>31</v>
      </c>
      <c r="H2010" t="s">
        <v>27</v>
      </c>
      <c r="I2010" t="s">
        <v>27</v>
      </c>
      <c r="J2010" t="s">
        <v>33</v>
      </c>
      <c r="K2010">
        <v>14000</v>
      </c>
      <c r="L2010">
        <v>47525</v>
      </c>
      <c r="M2010">
        <v>84.166982957252443</v>
      </c>
    </row>
    <row r="2011" spans="1:13" hidden="1" x14ac:dyDescent="0.3">
      <c r="A2011" t="s">
        <v>1920</v>
      </c>
      <c r="B2011" t="s">
        <v>28</v>
      </c>
      <c r="C2011" t="s">
        <v>97</v>
      </c>
      <c r="D2011">
        <v>2021</v>
      </c>
      <c r="E2011">
        <v>1300000</v>
      </c>
      <c r="F2011" t="s">
        <v>34</v>
      </c>
      <c r="G2011" t="s">
        <v>100</v>
      </c>
      <c r="H2011" t="s">
        <v>27</v>
      </c>
      <c r="I2011" t="s">
        <v>27</v>
      </c>
      <c r="J2011" t="s">
        <v>27</v>
      </c>
      <c r="K2011">
        <v>8</v>
      </c>
      <c r="L2011">
        <v>1544549</v>
      </c>
      <c r="M2011">
        <v>84.166982957252443</v>
      </c>
    </row>
    <row r="2012" spans="1:13" hidden="1" x14ac:dyDescent="0.3">
      <c r="A2012" t="s">
        <v>1921</v>
      </c>
      <c r="B2012" t="s">
        <v>39</v>
      </c>
      <c r="C2012" t="s">
        <v>142</v>
      </c>
      <c r="D2012">
        <v>2021</v>
      </c>
      <c r="E2012">
        <v>80912</v>
      </c>
      <c r="F2012" t="s">
        <v>77</v>
      </c>
      <c r="G2012" t="s">
        <v>95</v>
      </c>
      <c r="H2012" t="s">
        <v>27</v>
      </c>
      <c r="I2012" t="s">
        <v>27</v>
      </c>
      <c r="J2012" t="s">
        <v>27</v>
      </c>
      <c r="K2012">
        <v>250</v>
      </c>
      <c r="L2012">
        <v>96133</v>
      </c>
      <c r="M2012">
        <v>84.166982957252443</v>
      </c>
    </row>
    <row r="2013" spans="1:13" hidden="1" x14ac:dyDescent="0.3">
      <c r="A2013" t="s">
        <v>1922</v>
      </c>
      <c r="B2013" t="s">
        <v>28</v>
      </c>
      <c r="C2013" t="s">
        <v>30</v>
      </c>
      <c r="D2013">
        <v>2021</v>
      </c>
      <c r="E2013">
        <v>34000</v>
      </c>
      <c r="F2013" t="s">
        <v>246</v>
      </c>
      <c r="G2013" t="s">
        <v>31</v>
      </c>
      <c r="H2013" t="s">
        <v>27</v>
      </c>
      <c r="I2013" t="s">
        <v>27</v>
      </c>
      <c r="J2013" t="s">
        <v>27</v>
      </c>
      <c r="K2013" t="s">
        <v>31</v>
      </c>
      <c r="L2013">
        <v>40396</v>
      </c>
      <c r="M2013">
        <v>84.166982957252443</v>
      </c>
    </row>
    <row r="2014" spans="1:13" hidden="1" x14ac:dyDescent="0.3">
      <c r="A2014" t="s">
        <v>1923</v>
      </c>
      <c r="B2014" t="s">
        <v>28</v>
      </c>
      <c r="C2014" t="s">
        <v>95</v>
      </c>
      <c r="D2014">
        <v>2021</v>
      </c>
      <c r="E2014" t="s">
        <v>31</v>
      </c>
      <c r="F2014" t="s">
        <v>34</v>
      </c>
      <c r="G2014" t="s">
        <v>31</v>
      </c>
      <c r="H2014" t="s">
        <v>27</v>
      </c>
      <c r="I2014" t="s">
        <v>27</v>
      </c>
      <c r="J2014" t="s">
        <v>27</v>
      </c>
      <c r="K2014" t="s">
        <v>31</v>
      </c>
      <c r="L2014" t="s">
        <v>31</v>
      </c>
      <c r="M2014">
        <v>84.166982957252443</v>
      </c>
    </row>
    <row r="2015" spans="1:13" hidden="1" x14ac:dyDescent="0.3">
      <c r="A2015" t="s">
        <v>1924</v>
      </c>
      <c r="B2015" t="s">
        <v>51</v>
      </c>
      <c r="C2015" t="s">
        <v>52</v>
      </c>
      <c r="D2015">
        <v>2021</v>
      </c>
      <c r="E2015" t="s">
        <v>31</v>
      </c>
      <c r="F2015" t="s">
        <v>1925</v>
      </c>
      <c r="G2015" t="s">
        <v>31</v>
      </c>
      <c r="H2015" t="s">
        <v>27</v>
      </c>
      <c r="I2015" t="s">
        <v>27</v>
      </c>
      <c r="J2015" t="s">
        <v>27</v>
      </c>
      <c r="K2015">
        <v>10100</v>
      </c>
      <c r="L2015" t="s">
        <v>31</v>
      </c>
      <c r="M2015">
        <v>84.166982957252443</v>
      </c>
    </row>
    <row r="2016" spans="1:13" hidden="1" x14ac:dyDescent="0.3">
      <c r="A2016" t="s">
        <v>1926</v>
      </c>
      <c r="B2016" t="s">
        <v>39</v>
      </c>
      <c r="C2016" t="s">
        <v>142</v>
      </c>
      <c r="D2016">
        <v>2021</v>
      </c>
      <c r="E2016">
        <v>325000</v>
      </c>
      <c r="F2016" t="s">
        <v>34</v>
      </c>
      <c r="G2016" t="s">
        <v>31</v>
      </c>
      <c r="H2016" t="s">
        <v>27</v>
      </c>
      <c r="I2016" t="s">
        <v>27</v>
      </c>
      <c r="J2016" t="s">
        <v>27</v>
      </c>
      <c r="K2016">
        <v>483</v>
      </c>
      <c r="L2016">
        <v>386137</v>
      </c>
      <c r="M2016">
        <v>84.166982957252443</v>
      </c>
    </row>
    <row r="2017" spans="1:13" hidden="1" x14ac:dyDescent="0.3">
      <c r="A2017" t="s">
        <v>1927</v>
      </c>
      <c r="B2017" t="s">
        <v>51</v>
      </c>
      <c r="C2017" t="s">
        <v>52</v>
      </c>
      <c r="D2017">
        <v>2021</v>
      </c>
      <c r="E2017" t="s">
        <v>31</v>
      </c>
      <c r="F2017" t="s">
        <v>70</v>
      </c>
      <c r="G2017" t="s">
        <v>54</v>
      </c>
      <c r="H2017" t="s">
        <v>27</v>
      </c>
      <c r="I2017" t="s">
        <v>27</v>
      </c>
      <c r="J2017" t="s">
        <v>33</v>
      </c>
      <c r="K2017">
        <v>1400100</v>
      </c>
      <c r="L2017" t="s">
        <v>31</v>
      </c>
      <c r="M2017">
        <v>84.166982957252443</v>
      </c>
    </row>
    <row r="2018" spans="1:13" hidden="1" x14ac:dyDescent="0.3">
      <c r="A2018" t="s">
        <v>1928</v>
      </c>
      <c r="B2018" t="s">
        <v>51</v>
      </c>
      <c r="C2018" t="s">
        <v>52</v>
      </c>
      <c r="D2018">
        <v>2021</v>
      </c>
      <c r="E2018" t="s">
        <v>31</v>
      </c>
      <c r="F2018" t="s">
        <v>90</v>
      </c>
      <c r="G2018" t="s">
        <v>54</v>
      </c>
      <c r="H2018" t="s">
        <v>27</v>
      </c>
      <c r="I2018" t="s">
        <v>27</v>
      </c>
      <c r="J2018" t="s">
        <v>27</v>
      </c>
      <c r="K2018">
        <v>11799</v>
      </c>
      <c r="L2018" t="s">
        <v>31</v>
      </c>
      <c r="M2018">
        <v>84.166982957252443</v>
      </c>
    </row>
    <row r="2019" spans="1:13" hidden="1" x14ac:dyDescent="0.3">
      <c r="A2019" t="s">
        <v>1929</v>
      </c>
      <c r="B2019" t="s">
        <v>51</v>
      </c>
      <c r="C2019" t="s">
        <v>52</v>
      </c>
      <c r="D2019">
        <v>2021</v>
      </c>
      <c r="E2019" t="s">
        <v>31</v>
      </c>
      <c r="F2019" t="s">
        <v>115</v>
      </c>
      <c r="G2019" t="s">
        <v>54</v>
      </c>
      <c r="H2019" t="s">
        <v>27</v>
      </c>
      <c r="I2019" t="s">
        <v>27</v>
      </c>
      <c r="J2019" t="s">
        <v>27</v>
      </c>
      <c r="K2019">
        <v>300</v>
      </c>
      <c r="L2019" t="s">
        <v>31</v>
      </c>
      <c r="M2019">
        <v>84.166982957252443</v>
      </c>
    </row>
    <row r="2020" spans="1:13" hidden="1" x14ac:dyDescent="0.3">
      <c r="A2020" t="s">
        <v>1930</v>
      </c>
      <c r="B2020" t="s">
        <v>51</v>
      </c>
      <c r="C2020" t="s">
        <v>56</v>
      </c>
      <c r="D2020">
        <v>2021</v>
      </c>
      <c r="E2020" t="s">
        <v>31</v>
      </c>
      <c r="F2020" t="s">
        <v>73</v>
      </c>
      <c r="G2020" t="s">
        <v>31</v>
      </c>
      <c r="H2020" t="s">
        <v>27</v>
      </c>
      <c r="I2020" t="s">
        <v>27</v>
      </c>
      <c r="J2020" t="s">
        <v>27</v>
      </c>
      <c r="K2020">
        <v>1020</v>
      </c>
      <c r="L2020" t="s">
        <v>31</v>
      </c>
      <c r="M2020">
        <v>84.166982957252443</v>
      </c>
    </row>
    <row r="2021" spans="1:13" hidden="1" x14ac:dyDescent="0.3">
      <c r="A2021" t="s">
        <v>1931</v>
      </c>
      <c r="B2021" t="s">
        <v>39</v>
      </c>
      <c r="C2021" t="s">
        <v>142</v>
      </c>
      <c r="D2021">
        <v>2021</v>
      </c>
      <c r="E2021" t="s">
        <v>31</v>
      </c>
      <c r="F2021" t="s">
        <v>34</v>
      </c>
      <c r="G2021" t="s">
        <v>31</v>
      </c>
      <c r="H2021" t="s">
        <v>27</v>
      </c>
      <c r="I2021" t="s">
        <v>27</v>
      </c>
      <c r="J2021" t="s">
        <v>27</v>
      </c>
      <c r="K2021">
        <v>378</v>
      </c>
      <c r="L2021" t="s">
        <v>31</v>
      </c>
      <c r="M2021">
        <v>84.166982957252443</v>
      </c>
    </row>
    <row r="2022" spans="1:13" hidden="1" x14ac:dyDescent="0.3">
      <c r="A2022" t="s">
        <v>1932</v>
      </c>
      <c r="B2022" t="s">
        <v>51</v>
      </c>
      <c r="C2022" t="s">
        <v>52</v>
      </c>
      <c r="D2022">
        <v>2021</v>
      </c>
      <c r="E2022">
        <v>2000000</v>
      </c>
      <c r="F2022" t="s">
        <v>77</v>
      </c>
      <c r="G2022" t="s">
        <v>54</v>
      </c>
      <c r="H2022" t="s">
        <v>27</v>
      </c>
      <c r="I2022" t="s">
        <v>27</v>
      </c>
      <c r="J2022" t="s">
        <v>33</v>
      </c>
      <c r="K2022">
        <v>15000</v>
      </c>
      <c r="L2022">
        <v>2376229</v>
      </c>
      <c r="M2022">
        <v>84.166982957252443</v>
      </c>
    </row>
    <row r="2023" spans="1:13" hidden="1" x14ac:dyDescent="0.3">
      <c r="A2023" t="s">
        <v>1933</v>
      </c>
      <c r="B2023" t="s">
        <v>51</v>
      </c>
      <c r="C2023" t="s">
        <v>52</v>
      </c>
      <c r="D2023">
        <v>2021</v>
      </c>
      <c r="E2023">
        <v>200000</v>
      </c>
      <c r="F2023" t="s">
        <v>34</v>
      </c>
      <c r="G2023" t="s">
        <v>31</v>
      </c>
      <c r="H2023" t="s">
        <v>27</v>
      </c>
      <c r="I2023" t="s">
        <v>27</v>
      </c>
      <c r="J2023" t="s">
        <v>33</v>
      </c>
      <c r="K2023">
        <v>500</v>
      </c>
      <c r="L2023">
        <v>237623</v>
      </c>
      <c r="M2023">
        <v>84.166982957252443</v>
      </c>
    </row>
    <row r="2024" spans="1:13" hidden="1" x14ac:dyDescent="0.3">
      <c r="A2024" t="s">
        <v>1934</v>
      </c>
      <c r="B2024" t="s">
        <v>51</v>
      </c>
      <c r="C2024" t="s">
        <v>134</v>
      </c>
      <c r="D2024">
        <v>2021</v>
      </c>
      <c r="E2024" t="s">
        <v>31</v>
      </c>
      <c r="F2024" t="s">
        <v>47</v>
      </c>
      <c r="G2024" t="s">
        <v>31</v>
      </c>
      <c r="H2024" t="s">
        <v>27</v>
      </c>
      <c r="I2024" t="s">
        <v>27</v>
      </c>
      <c r="J2024" t="s">
        <v>27</v>
      </c>
      <c r="K2024">
        <v>10</v>
      </c>
      <c r="L2024" t="s">
        <v>31</v>
      </c>
      <c r="M2024">
        <v>84.166982957252443</v>
      </c>
    </row>
    <row r="2025" spans="1:13" hidden="1" x14ac:dyDescent="0.3">
      <c r="A2025" t="s">
        <v>1935</v>
      </c>
      <c r="B2025" t="s">
        <v>28</v>
      </c>
      <c r="C2025" t="s">
        <v>97</v>
      </c>
      <c r="D2025">
        <v>2021</v>
      </c>
      <c r="E2025">
        <v>5200000</v>
      </c>
      <c r="F2025" t="s">
        <v>34</v>
      </c>
      <c r="G2025" t="s">
        <v>31</v>
      </c>
      <c r="H2025" t="s">
        <v>27</v>
      </c>
      <c r="I2025" t="s">
        <v>27</v>
      </c>
      <c r="J2025" t="s">
        <v>33</v>
      </c>
      <c r="K2025">
        <v>100</v>
      </c>
      <c r="L2025">
        <v>6178195</v>
      </c>
      <c r="M2025">
        <v>84.166982957252443</v>
      </c>
    </row>
    <row r="2026" spans="1:13" hidden="1" x14ac:dyDescent="0.3">
      <c r="A2026" t="s">
        <v>1936</v>
      </c>
      <c r="B2026" t="s">
        <v>28</v>
      </c>
      <c r="C2026" t="s">
        <v>64</v>
      </c>
      <c r="D2026">
        <v>2021</v>
      </c>
      <c r="E2026">
        <v>1900000</v>
      </c>
      <c r="F2026" t="s">
        <v>34</v>
      </c>
      <c r="G2026" t="s">
        <v>31</v>
      </c>
      <c r="H2026" t="s">
        <v>27</v>
      </c>
      <c r="I2026" t="s">
        <v>27</v>
      </c>
      <c r="J2026" t="s">
        <v>27</v>
      </c>
      <c r="K2026">
        <v>120</v>
      </c>
      <c r="L2026">
        <v>2257417</v>
      </c>
      <c r="M2026">
        <v>84.166982957252443</v>
      </c>
    </row>
    <row r="2027" spans="1:13" hidden="1" x14ac:dyDescent="0.3">
      <c r="A2027" t="s">
        <v>1937</v>
      </c>
      <c r="B2027" t="s">
        <v>51</v>
      </c>
      <c r="C2027" t="s">
        <v>52</v>
      </c>
      <c r="D2027">
        <v>2021</v>
      </c>
      <c r="E2027" t="s">
        <v>31</v>
      </c>
      <c r="F2027" t="s">
        <v>111</v>
      </c>
      <c r="G2027" t="s">
        <v>31</v>
      </c>
      <c r="H2027" t="s">
        <v>27</v>
      </c>
      <c r="I2027" t="s">
        <v>27</v>
      </c>
      <c r="J2027" t="s">
        <v>27</v>
      </c>
      <c r="K2027">
        <v>60000</v>
      </c>
      <c r="L2027" t="s">
        <v>31</v>
      </c>
      <c r="M2027">
        <v>84.166982957252443</v>
      </c>
    </row>
    <row r="2028" spans="1:13" hidden="1" x14ac:dyDescent="0.3">
      <c r="A2028" t="s">
        <v>1944</v>
      </c>
      <c r="B2028" t="s">
        <v>91</v>
      </c>
      <c r="C2028" t="s">
        <v>93</v>
      </c>
      <c r="D2028">
        <v>2021</v>
      </c>
      <c r="E2028" t="s">
        <v>31</v>
      </c>
      <c r="F2028" t="s">
        <v>53</v>
      </c>
      <c r="G2028" t="s">
        <v>31</v>
      </c>
      <c r="H2028" t="s">
        <v>27</v>
      </c>
      <c r="I2028" t="s">
        <v>27</v>
      </c>
      <c r="J2028" t="s">
        <v>27</v>
      </c>
      <c r="K2028">
        <v>1421</v>
      </c>
      <c r="L2028" t="s">
        <v>31</v>
      </c>
      <c r="M2028">
        <v>84.166982957252443</v>
      </c>
    </row>
    <row r="2029" spans="1:13" hidden="1" x14ac:dyDescent="0.3">
      <c r="A2029" t="s">
        <v>1994</v>
      </c>
      <c r="B2029" t="s">
        <v>51</v>
      </c>
      <c r="C2029" t="s">
        <v>52</v>
      </c>
      <c r="D2029">
        <v>2021</v>
      </c>
      <c r="E2029" t="s">
        <v>31</v>
      </c>
      <c r="F2029" t="s">
        <v>111</v>
      </c>
      <c r="G2029" t="s">
        <v>31</v>
      </c>
      <c r="H2029" t="s">
        <v>27</v>
      </c>
      <c r="I2029" t="s">
        <v>27</v>
      </c>
      <c r="J2029" t="s">
        <v>27</v>
      </c>
      <c r="K2029">
        <v>77965</v>
      </c>
      <c r="L2029" t="s">
        <v>31</v>
      </c>
      <c r="M2029">
        <v>84.166982957252443</v>
      </c>
    </row>
    <row r="2030" spans="1:13" x14ac:dyDescent="0.3">
      <c r="A2030" t="s">
        <v>1995</v>
      </c>
      <c r="B2030" t="s">
        <v>51</v>
      </c>
      <c r="C2030" t="s">
        <v>52</v>
      </c>
      <c r="D2030">
        <v>2021</v>
      </c>
      <c r="E2030">
        <v>37000</v>
      </c>
      <c r="F2030" t="s">
        <v>119</v>
      </c>
      <c r="G2030" t="s">
        <v>54</v>
      </c>
      <c r="H2030" t="s">
        <v>27</v>
      </c>
      <c r="I2030" t="s">
        <v>27</v>
      </c>
      <c r="J2030" t="s">
        <v>27</v>
      </c>
      <c r="K2030">
        <v>107</v>
      </c>
      <c r="L2030">
        <v>43960</v>
      </c>
      <c r="M2030">
        <v>84.166982957252443</v>
      </c>
    </row>
    <row r="2031" spans="1:13" x14ac:dyDescent="0.3">
      <c r="A2031" t="s">
        <v>1996</v>
      </c>
      <c r="B2031" t="s">
        <v>51</v>
      </c>
      <c r="C2031" t="s">
        <v>52</v>
      </c>
      <c r="D2031">
        <v>2021</v>
      </c>
      <c r="E2031">
        <v>36000</v>
      </c>
      <c r="F2031" t="s">
        <v>119</v>
      </c>
      <c r="G2031" t="s">
        <v>54</v>
      </c>
      <c r="H2031" t="s">
        <v>27</v>
      </c>
      <c r="I2031" t="s">
        <v>27</v>
      </c>
      <c r="J2031" t="s">
        <v>33</v>
      </c>
      <c r="K2031">
        <v>100000</v>
      </c>
      <c r="L2031">
        <v>42772</v>
      </c>
      <c r="M2031">
        <v>84.166982957252443</v>
      </c>
    </row>
    <row r="2032" spans="1:13" hidden="1" x14ac:dyDescent="0.3">
      <c r="A2032" t="s">
        <v>1997</v>
      </c>
      <c r="B2032" t="s">
        <v>51</v>
      </c>
      <c r="C2032" t="s">
        <v>52</v>
      </c>
      <c r="D2032">
        <v>2021</v>
      </c>
      <c r="E2032" t="s">
        <v>31</v>
      </c>
      <c r="F2032" t="s">
        <v>109</v>
      </c>
      <c r="G2032" t="s">
        <v>54</v>
      </c>
      <c r="H2032" t="s">
        <v>27</v>
      </c>
      <c r="I2032" t="s">
        <v>27</v>
      </c>
      <c r="J2032" t="s">
        <v>27</v>
      </c>
      <c r="K2032">
        <v>18003</v>
      </c>
      <c r="L2032" t="s">
        <v>31</v>
      </c>
      <c r="M2032">
        <v>84.166982957252443</v>
      </c>
    </row>
    <row r="2033" spans="1:13" hidden="1" x14ac:dyDescent="0.3">
      <c r="A2033" t="s">
        <v>1998</v>
      </c>
      <c r="B2033" t="s">
        <v>51</v>
      </c>
      <c r="C2033" t="s">
        <v>121</v>
      </c>
      <c r="D2033">
        <v>2021</v>
      </c>
      <c r="E2033">
        <v>25000</v>
      </c>
      <c r="F2033" t="s">
        <v>53</v>
      </c>
      <c r="G2033" t="s">
        <v>54</v>
      </c>
      <c r="H2033" t="s">
        <v>27</v>
      </c>
      <c r="I2033" t="s">
        <v>27</v>
      </c>
      <c r="J2033" t="s">
        <v>33</v>
      </c>
      <c r="K2033">
        <v>12000</v>
      </c>
      <c r="L2033">
        <v>29703</v>
      </c>
      <c r="M2033">
        <v>84.166982957252443</v>
      </c>
    </row>
    <row r="2034" spans="1:13" hidden="1" x14ac:dyDescent="0.3">
      <c r="A2034" t="s">
        <v>1999</v>
      </c>
      <c r="B2034" t="s">
        <v>28</v>
      </c>
      <c r="C2034" t="s">
        <v>64</v>
      </c>
      <c r="D2034">
        <v>2021</v>
      </c>
      <c r="E2034">
        <v>945000</v>
      </c>
      <c r="F2034" t="s">
        <v>34</v>
      </c>
      <c r="G2034" t="s">
        <v>65</v>
      </c>
      <c r="H2034" t="s">
        <v>27</v>
      </c>
      <c r="I2034" t="s">
        <v>27</v>
      </c>
      <c r="J2034" t="s">
        <v>27</v>
      </c>
      <c r="K2034">
        <v>7</v>
      </c>
      <c r="L2034">
        <v>1122768</v>
      </c>
      <c r="M2034">
        <v>84.166982957252443</v>
      </c>
    </row>
    <row r="2035" spans="1:13" hidden="1" x14ac:dyDescent="0.3">
      <c r="A2035" t="s">
        <v>2000</v>
      </c>
      <c r="B2035" t="s">
        <v>51</v>
      </c>
      <c r="C2035" t="s">
        <v>121</v>
      </c>
      <c r="D2035">
        <v>2021</v>
      </c>
      <c r="E2035">
        <v>150000</v>
      </c>
      <c r="F2035" t="s">
        <v>34</v>
      </c>
      <c r="G2035" t="s">
        <v>54</v>
      </c>
      <c r="H2035" t="s">
        <v>27</v>
      </c>
      <c r="I2035" t="s">
        <v>27</v>
      </c>
      <c r="J2035" t="s">
        <v>33</v>
      </c>
      <c r="K2035">
        <v>51</v>
      </c>
      <c r="L2035">
        <v>178217</v>
      </c>
      <c r="M2035">
        <v>84.166982957252443</v>
      </c>
    </row>
    <row r="2036" spans="1:13" hidden="1" x14ac:dyDescent="0.3">
      <c r="A2036" t="s">
        <v>2001</v>
      </c>
      <c r="B2036" t="s">
        <v>51</v>
      </c>
      <c r="C2036" t="s">
        <v>56</v>
      </c>
      <c r="D2036">
        <v>2021</v>
      </c>
      <c r="E2036" t="s">
        <v>31</v>
      </c>
      <c r="F2036" t="s">
        <v>130</v>
      </c>
      <c r="G2036" t="s">
        <v>31</v>
      </c>
      <c r="H2036" t="s">
        <v>27</v>
      </c>
      <c r="I2036" t="s">
        <v>27</v>
      </c>
      <c r="J2036" t="s">
        <v>27</v>
      </c>
      <c r="K2036">
        <v>90</v>
      </c>
      <c r="L2036" t="s">
        <v>31</v>
      </c>
      <c r="M2036">
        <v>84.166982957252443</v>
      </c>
    </row>
    <row r="2037" spans="1:13" hidden="1" x14ac:dyDescent="0.3">
      <c r="A2037" t="s">
        <v>2002</v>
      </c>
      <c r="B2037" t="s">
        <v>51</v>
      </c>
      <c r="C2037" t="s">
        <v>52</v>
      </c>
      <c r="D2037">
        <v>2021</v>
      </c>
      <c r="E2037" t="s">
        <v>31</v>
      </c>
      <c r="F2037" t="s">
        <v>53</v>
      </c>
      <c r="G2037" t="s">
        <v>31</v>
      </c>
      <c r="H2037" t="s">
        <v>27</v>
      </c>
      <c r="I2037" t="s">
        <v>27</v>
      </c>
      <c r="J2037" t="s">
        <v>27</v>
      </c>
      <c r="K2037">
        <v>9000</v>
      </c>
      <c r="L2037" t="s">
        <v>31</v>
      </c>
      <c r="M2037">
        <v>84.166982957252443</v>
      </c>
    </row>
    <row r="2038" spans="1:13" hidden="1" x14ac:dyDescent="0.3">
      <c r="A2038" t="s">
        <v>2003</v>
      </c>
      <c r="B2038" t="s">
        <v>51</v>
      </c>
      <c r="C2038" t="s">
        <v>52</v>
      </c>
      <c r="D2038">
        <v>2021</v>
      </c>
      <c r="E2038" t="s">
        <v>31</v>
      </c>
      <c r="F2038" t="s">
        <v>53</v>
      </c>
      <c r="G2038" t="s">
        <v>54</v>
      </c>
      <c r="H2038" t="s">
        <v>27</v>
      </c>
      <c r="I2038" t="s">
        <v>27</v>
      </c>
      <c r="J2038" t="s">
        <v>27</v>
      </c>
      <c r="K2038">
        <v>2595</v>
      </c>
      <c r="L2038" t="s">
        <v>31</v>
      </c>
      <c r="M2038">
        <v>84.166982957252443</v>
      </c>
    </row>
    <row r="2039" spans="1:13" hidden="1" x14ac:dyDescent="0.3">
      <c r="A2039" t="s">
        <v>2004</v>
      </c>
      <c r="B2039" t="s">
        <v>51</v>
      </c>
      <c r="C2039" t="s">
        <v>52</v>
      </c>
      <c r="D2039">
        <v>2021</v>
      </c>
      <c r="E2039" t="s">
        <v>31</v>
      </c>
      <c r="F2039" t="s">
        <v>111</v>
      </c>
      <c r="G2039" t="s">
        <v>31</v>
      </c>
      <c r="H2039" t="s">
        <v>27</v>
      </c>
      <c r="I2039" t="s">
        <v>27</v>
      </c>
      <c r="J2039" t="s">
        <v>27</v>
      </c>
      <c r="K2039">
        <v>7500</v>
      </c>
      <c r="L2039" t="s">
        <v>31</v>
      </c>
      <c r="M2039">
        <v>84.166982957252443</v>
      </c>
    </row>
    <row r="2040" spans="1:13" hidden="1" x14ac:dyDescent="0.3">
      <c r="A2040" t="s">
        <v>2005</v>
      </c>
      <c r="B2040" t="s">
        <v>51</v>
      </c>
      <c r="C2040" t="s">
        <v>52</v>
      </c>
      <c r="D2040">
        <v>2021</v>
      </c>
      <c r="E2040" t="s">
        <v>31</v>
      </c>
      <c r="F2040" t="s">
        <v>53</v>
      </c>
      <c r="G2040" t="s">
        <v>54</v>
      </c>
      <c r="H2040" t="s">
        <v>27</v>
      </c>
      <c r="I2040" t="s">
        <v>27</v>
      </c>
      <c r="J2040" t="s">
        <v>27</v>
      </c>
      <c r="K2040">
        <v>105</v>
      </c>
      <c r="L2040" t="s">
        <v>31</v>
      </c>
      <c r="M2040">
        <v>84.166982957252443</v>
      </c>
    </row>
    <row r="2041" spans="1:13" hidden="1" x14ac:dyDescent="0.3">
      <c r="A2041" t="s">
        <v>2007</v>
      </c>
      <c r="B2041" t="s">
        <v>28</v>
      </c>
      <c r="C2041" t="s">
        <v>64</v>
      </c>
      <c r="D2041">
        <v>2021</v>
      </c>
      <c r="E2041">
        <v>1500000</v>
      </c>
      <c r="F2041" t="s">
        <v>34</v>
      </c>
      <c r="G2041" t="s">
        <v>65</v>
      </c>
      <c r="H2041" t="s">
        <v>27</v>
      </c>
      <c r="I2041" t="s">
        <v>27</v>
      </c>
      <c r="J2041" t="s">
        <v>27</v>
      </c>
      <c r="K2041" t="s">
        <v>31</v>
      </c>
      <c r="L2041">
        <v>1782172</v>
      </c>
      <c r="M2041">
        <v>84.166982957252443</v>
      </c>
    </row>
    <row r="2042" spans="1:13" hidden="1" x14ac:dyDescent="0.3">
      <c r="A2042" t="s">
        <v>2008</v>
      </c>
      <c r="B2042" t="s">
        <v>28</v>
      </c>
      <c r="C2042" t="s">
        <v>64</v>
      </c>
      <c r="D2042">
        <v>2021</v>
      </c>
      <c r="E2042">
        <v>3100000</v>
      </c>
      <c r="F2042" t="s">
        <v>34</v>
      </c>
      <c r="G2042" t="s">
        <v>100</v>
      </c>
      <c r="H2042" t="s">
        <v>27</v>
      </c>
      <c r="I2042" t="s">
        <v>27</v>
      </c>
      <c r="J2042" t="s">
        <v>27</v>
      </c>
      <c r="K2042" t="s">
        <v>31</v>
      </c>
      <c r="L2042">
        <v>3683154</v>
      </c>
      <c r="M2042">
        <v>84.166982957252443</v>
      </c>
    </row>
    <row r="2043" spans="1:13" hidden="1" x14ac:dyDescent="0.3">
      <c r="A2043" t="s">
        <v>2009</v>
      </c>
      <c r="B2043" t="s">
        <v>51</v>
      </c>
      <c r="C2043" t="s">
        <v>52</v>
      </c>
      <c r="D2043">
        <v>2021</v>
      </c>
      <c r="E2043" t="s">
        <v>31</v>
      </c>
      <c r="F2043" t="s">
        <v>70</v>
      </c>
      <c r="G2043" t="s">
        <v>31</v>
      </c>
      <c r="H2043" t="s">
        <v>27</v>
      </c>
      <c r="I2043" t="s">
        <v>27</v>
      </c>
      <c r="J2043" t="s">
        <v>27</v>
      </c>
      <c r="K2043">
        <v>1200</v>
      </c>
      <c r="L2043" t="s">
        <v>31</v>
      </c>
      <c r="M2043">
        <v>84.166982957252443</v>
      </c>
    </row>
    <row r="2044" spans="1:13" hidden="1" x14ac:dyDescent="0.3">
      <c r="A2044" t="s">
        <v>2010</v>
      </c>
      <c r="B2044" t="s">
        <v>51</v>
      </c>
      <c r="C2044" t="s">
        <v>121</v>
      </c>
      <c r="D2044">
        <v>2021</v>
      </c>
      <c r="E2044" t="s">
        <v>31</v>
      </c>
      <c r="F2044" t="s">
        <v>109</v>
      </c>
      <c r="G2044" t="s">
        <v>31</v>
      </c>
      <c r="H2044" t="s">
        <v>27</v>
      </c>
      <c r="I2044" t="s">
        <v>27</v>
      </c>
      <c r="J2044" t="s">
        <v>27</v>
      </c>
      <c r="K2044">
        <v>461</v>
      </c>
      <c r="L2044" t="s">
        <v>31</v>
      </c>
      <c r="M2044">
        <v>84.166982957252443</v>
      </c>
    </row>
    <row r="2045" spans="1:13" hidden="1" x14ac:dyDescent="0.3">
      <c r="A2045" t="s">
        <v>2011</v>
      </c>
      <c r="B2045" t="s">
        <v>51</v>
      </c>
      <c r="C2045" t="s">
        <v>52</v>
      </c>
      <c r="D2045">
        <v>2021</v>
      </c>
      <c r="E2045" t="s">
        <v>31</v>
      </c>
      <c r="F2045" t="s">
        <v>90</v>
      </c>
      <c r="G2045" t="s">
        <v>31</v>
      </c>
      <c r="H2045" t="s">
        <v>27</v>
      </c>
      <c r="I2045" t="s">
        <v>27</v>
      </c>
      <c r="J2045" t="s">
        <v>27</v>
      </c>
      <c r="K2045">
        <v>10572</v>
      </c>
      <c r="L2045" t="s">
        <v>31</v>
      </c>
      <c r="M2045">
        <v>84.166982957252443</v>
      </c>
    </row>
    <row r="2046" spans="1:13" hidden="1" x14ac:dyDescent="0.3">
      <c r="A2046" t="s">
        <v>2012</v>
      </c>
      <c r="B2046" t="s">
        <v>51</v>
      </c>
      <c r="C2046" t="s">
        <v>52</v>
      </c>
      <c r="D2046">
        <v>2021</v>
      </c>
      <c r="E2046" t="s">
        <v>31</v>
      </c>
      <c r="F2046" t="s">
        <v>604</v>
      </c>
      <c r="G2046" t="s">
        <v>31</v>
      </c>
      <c r="H2046" t="s">
        <v>27</v>
      </c>
      <c r="I2046" t="s">
        <v>27</v>
      </c>
      <c r="J2046" t="s">
        <v>33</v>
      </c>
      <c r="K2046">
        <v>34500</v>
      </c>
      <c r="L2046" t="s">
        <v>31</v>
      </c>
      <c r="M2046">
        <v>84.166982957252443</v>
      </c>
    </row>
    <row r="2047" spans="1:13" hidden="1" x14ac:dyDescent="0.3">
      <c r="A2047" t="s">
        <v>2013</v>
      </c>
      <c r="B2047" t="s">
        <v>51</v>
      </c>
      <c r="C2047" t="s">
        <v>52</v>
      </c>
      <c r="D2047">
        <v>2021</v>
      </c>
      <c r="E2047" t="s">
        <v>31</v>
      </c>
      <c r="F2047" t="s">
        <v>47</v>
      </c>
      <c r="G2047" t="s">
        <v>54</v>
      </c>
      <c r="H2047" t="s">
        <v>27</v>
      </c>
      <c r="I2047" t="s">
        <v>27</v>
      </c>
      <c r="J2047" t="s">
        <v>27</v>
      </c>
      <c r="K2047">
        <v>150</v>
      </c>
      <c r="L2047" t="s">
        <v>31</v>
      </c>
      <c r="M2047">
        <v>84.166982957252443</v>
      </c>
    </row>
    <row r="2048" spans="1:13" hidden="1" x14ac:dyDescent="0.3">
      <c r="A2048" t="s">
        <v>2014</v>
      </c>
      <c r="B2048" t="s">
        <v>51</v>
      </c>
      <c r="C2048" t="s">
        <v>52</v>
      </c>
      <c r="D2048">
        <v>2021</v>
      </c>
      <c r="E2048" t="s">
        <v>31</v>
      </c>
      <c r="F2048" t="s">
        <v>161</v>
      </c>
      <c r="G2048" t="s">
        <v>31</v>
      </c>
      <c r="H2048" t="s">
        <v>27</v>
      </c>
      <c r="I2048" t="s">
        <v>27</v>
      </c>
      <c r="J2048" t="s">
        <v>27</v>
      </c>
      <c r="K2048">
        <v>200000</v>
      </c>
      <c r="L2048" t="s">
        <v>31</v>
      </c>
      <c r="M2048">
        <v>84.166982957252443</v>
      </c>
    </row>
    <row r="2049" spans="1:13" hidden="1" x14ac:dyDescent="0.3">
      <c r="A2049" t="s">
        <v>2015</v>
      </c>
      <c r="B2049" t="s">
        <v>39</v>
      </c>
      <c r="C2049" t="s">
        <v>41</v>
      </c>
      <c r="D2049">
        <v>2021</v>
      </c>
      <c r="E2049">
        <v>1500000</v>
      </c>
      <c r="F2049" t="s">
        <v>34</v>
      </c>
      <c r="G2049" t="s">
        <v>31</v>
      </c>
      <c r="H2049" t="s">
        <v>27</v>
      </c>
      <c r="I2049" t="s">
        <v>27</v>
      </c>
      <c r="J2049" t="s">
        <v>27</v>
      </c>
      <c r="K2049">
        <v>55903</v>
      </c>
      <c r="L2049">
        <v>1782172</v>
      </c>
      <c r="M2049">
        <v>84.166982957252443</v>
      </c>
    </row>
    <row r="2050" spans="1:13" hidden="1" x14ac:dyDescent="0.3">
      <c r="A2050" t="s">
        <v>2016</v>
      </c>
      <c r="B2050" t="s">
        <v>51</v>
      </c>
      <c r="C2050" t="s">
        <v>56</v>
      </c>
      <c r="D2050">
        <v>2021</v>
      </c>
      <c r="E2050">
        <v>150000</v>
      </c>
      <c r="F2050" t="s">
        <v>34</v>
      </c>
      <c r="G2050" t="s">
        <v>31</v>
      </c>
      <c r="H2050" t="s">
        <v>27</v>
      </c>
      <c r="I2050" t="s">
        <v>27</v>
      </c>
      <c r="J2050" t="s">
        <v>27</v>
      </c>
      <c r="K2050">
        <v>89</v>
      </c>
      <c r="L2050">
        <v>178217</v>
      </c>
      <c r="M2050">
        <v>84.166982957252443</v>
      </c>
    </row>
    <row r="2051" spans="1:13" hidden="1" x14ac:dyDescent="0.3">
      <c r="A2051" t="s">
        <v>2017</v>
      </c>
      <c r="B2051" t="s">
        <v>28</v>
      </c>
      <c r="C2051" t="s">
        <v>30</v>
      </c>
      <c r="D2051">
        <v>2021</v>
      </c>
      <c r="E2051">
        <v>100000</v>
      </c>
      <c r="F2051" t="s">
        <v>242</v>
      </c>
      <c r="G2051" t="s">
        <v>31</v>
      </c>
      <c r="H2051" t="s">
        <v>27</v>
      </c>
      <c r="I2051" t="s">
        <v>27</v>
      </c>
      <c r="J2051" t="s">
        <v>27</v>
      </c>
      <c r="K2051" t="s">
        <v>31</v>
      </c>
      <c r="L2051">
        <v>118811</v>
      </c>
      <c r="M2051">
        <v>84.166982957252443</v>
      </c>
    </row>
    <row r="2052" spans="1:13" hidden="1" x14ac:dyDescent="0.3">
      <c r="A2052" t="s">
        <v>2018</v>
      </c>
      <c r="B2052" t="s">
        <v>51</v>
      </c>
      <c r="C2052" t="s">
        <v>52</v>
      </c>
      <c r="D2052">
        <v>2021</v>
      </c>
      <c r="E2052">
        <v>225000</v>
      </c>
      <c r="F2052" t="s">
        <v>34</v>
      </c>
      <c r="G2052" t="s">
        <v>302</v>
      </c>
      <c r="H2052" t="s">
        <v>27</v>
      </c>
      <c r="I2052" t="s">
        <v>27</v>
      </c>
      <c r="J2052" t="s">
        <v>33</v>
      </c>
      <c r="K2052" t="s">
        <v>31</v>
      </c>
      <c r="L2052">
        <v>267326</v>
      </c>
      <c r="M2052">
        <v>84.166982957252443</v>
      </c>
    </row>
    <row r="2053" spans="1:13" hidden="1" x14ac:dyDescent="0.3">
      <c r="A2053" t="s">
        <v>2019</v>
      </c>
      <c r="B2053" t="s">
        <v>28</v>
      </c>
      <c r="C2053" t="s">
        <v>30</v>
      </c>
      <c r="D2053">
        <v>2021</v>
      </c>
      <c r="E2053">
        <v>1000000</v>
      </c>
      <c r="F2053" t="s">
        <v>34</v>
      </c>
      <c r="G2053" t="s">
        <v>37</v>
      </c>
      <c r="H2053" t="s">
        <v>27</v>
      </c>
      <c r="I2053" t="s">
        <v>27</v>
      </c>
      <c r="J2053" t="s">
        <v>27</v>
      </c>
      <c r="K2053" t="s">
        <v>31</v>
      </c>
      <c r="L2053">
        <v>1188114</v>
      </c>
      <c r="M2053">
        <v>84.166982957252443</v>
      </c>
    </row>
    <row r="2054" spans="1:13" hidden="1" x14ac:dyDescent="0.3">
      <c r="A2054" t="s">
        <v>2020</v>
      </c>
      <c r="B2054" t="s">
        <v>51</v>
      </c>
      <c r="C2054" t="s">
        <v>52</v>
      </c>
      <c r="D2054">
        <v>2021</v>
      </c>
      <c r="E2054" t="s">
        <v>31</v>
      </c>
      <c r="F2054" t="s">
        <v>47</v>
      </c>
      <c r="G2054" t="s">
        <v>54</v>
      </c>
      <c r="H2054" t="s">
        <v>27</v>
      </c>
      <c r="I2054" t="s">
        <v>27</v>
      </c>
      <c r="J2054" t="s">
        <v>27</v>
      </c>
      <c r="K2054">
        <v>23717</v>
      </c>
      <c r="L2054" t="s">
        <v>31</v>
      </c>
      <c r="M2054">
        <v>84.166982957252443</v>
      </c>
    </row>
    <row r="2055" spans="1:13" hidden="1" x14ac:dyDescent="0.3">
      <c r="A2055" t="s">
        <v>2021</v>
      </c>
      <c r="B2055" t="s">
        <v>51</v>
      </c>
      <c r="C2055" t="s">
        <v>52</v>
      </c>
      <c r="D2055">
        <v>2021</v>
      </c>
      <c r="E2055">
        <v>10000</v>
      </c>
      <c r="F2055" t="s">
        <v>73</v>
      </c>
      <c r="G2055" t="s">
        <v>31</v>
      </c>
      <c r="H2055" t="s">
        <v>27</v>
      </c>
      <c r="I2055" t="s">
        <v>27</v>
      </c>
      <c r="J2055" t="s">
        <v>27</v>
      </c>
      <c r="K2055">
        <v>10500</v>
      </c>
      <c r="L2055">
        <v>11881</v>
      </c>
      <c r="M2055">
        <v>84.166982957252443</v>
      </c>
    </row>
    <row r="2056" spans="1:13" hidden="1" x14ac:dyDescent="0.3">
      <c r="A2056" t="s">
        <v>2023</v>
      </c>
      <c r="B2056" t="s">
        <v>51</v>
      </c>
      <c r="C2056" t="s">
        <v>52</v>
      </c>
      <c r="D2056">
        <v>2021</v>
      </c>
      <c r="E2056" t="s">
        <v>31</v>
      </c>
      <c r="F2056" t="s">
        <v>47</v>
      </c>
      <c r="G2056" t="s">
        <v>54</v>
      </c>
      <c r="H2056" t="s">
        <v>27</v>
      </c>
      <c r="I2056" t="s">
        <v>27</v>
      </c>
      <c r="J2056" t="s">
        <v>27</v>
      </c>
      <c r="K2056">
        <v>850</v>
      </c>
      <c r="L2056" t="s">
        <v>31</v>
      </c>
      <c r="M2056">
        <v>84.166982957252443</v>
      </c>
    </row>
    <row r="2057" spans="1:13" hidden="1" x14ac:dyDescent="0.3">
      <c r="A2057" t="s">
        <v>2024</v>
      </c>
      <c r="B2057" t="s">
        <v>91</v>
      </c>
      <c r="C2057" t="s">
        <v>93</v>
      </c>
      <c r="D2057">
        <v>2021</v>
      </c>
      <c r="E2057" t="s">
        <v>31</v>
      </c>
      <c r="F2057" t="s">
        <v>53</v>
      </c>
      <c r="G2057" t="s">
        <v>31</v>
      </c>
      <c r="H2057" t="s">
        <v>27</v>
      </c>
      <c r="I2057" t="s">
        <v>27</v>
      </c>
      <c r="J2057" t="s">
        <v>33</v>
      </c>
      <c r="K2057">
        <v>17912</v>
      </c>
      <c r="L2057" t="s">
        <v>31</v>
      </c>
      <c r="M2057">
        <v>84.166982957252443</v>
      </c>
    </row>
    <row r="2058" spans="1:13" hidden="1" x14ac:dyDescent="0.3">
      <c r="A2058" t="s">
        <v>2025</v>
      </c>
      <c r="B2058" t="s">
        <v>51</v>
      </c>
      <c r="C2058" t="s">
        <v>52</v>
      </c>
      <c r="D2058">
        <v>2021</v>
      </c>
      <c r="E2058" t="s">
        <v>31</v>
      </c>
      <c r="F2058" t="s">
        <v>47</v>
      </c>
      <c r="G2058" t="s">
        <v>31</v>
      </c>
      <c r="H2058" t="s">
        <v>27</v>
      </c>
      <c r="I2058" t="s">
        <v>27</v>
      </c>
      <c r="J2058" t="s">
        <v>33</v>
      </c>
      <c r="K2058">
        <v>14000</v>
      </c>
      <c r="L2058" t="s">
        <v>31</v>
      </c>
      <c r="M2058">
        <v>84.166982957252443</v>
      </c>
    </row>
    <row r="2059" spans="1:13" hidden="1" x14ac:dyDescent="0.3">
      <c r="A2059" t="s">
        <v>2026</v>
      </c>
      <c r="B2059" t="s">
        <v>51</v>
      </c>
      <c r="C2059" t="s">
        <v>52</v>
      </c>
      <c r="D2059">
        <v>2021</v>
      </c>
      <c r="E2059">
        <v>75000</v>
      </c>
      <c r="F2059" t="s">
        <v>34</v>
      </c>
      <c r="G2059" t="s">
        <v>29</v>
      </c>
      <c r="H2059" t="s">
        <v>27</v>
      </c>
      <c r="I2059" t="s">
        <v>27</v>
      </c>
      <c r="J2059" t="s">
        <v>33</v>
      </c>
      <c r="K2059" t="s">
        <v>31</v>
      </c>
      <c r="L2059">
        <v>89109</v>
      </c>
      <c r="M2059">
        <v>84.166982957252443</v>
      </c>
    </row>
    <row r="2060" spans="1:13" hidden="1" x14ac:dyDescent="0.3">
      <c r="A2060" t="s">
        <v>2027</v>
      </c>
      <c r="B2060" t="s">
        <v>39</v>
      </c>
      <c r="C2060" t="s">
        <v>157</v>
      </c>
      <c r="D2060">
        <v>2021</v>
      </c>
      <c r="E2060">
        <v>3000000</v>
      </c>
      <c r="F2060" t="s">
        <v>119</v>
      </c>
      <c r="G2060" t="s">
        <v>31</v>
      </c>
      <c r="H2060" t="s">
        <v>27</v>
      </c>
      <c r="I2060" t="s">
        <v>27</v>
      </c>
      <c r="J2060" t="s">
        <v>33</v>
      </c>
      <c r="K2060" t="s">
        <v>31</v>
      </c>
      <c r="L2060">
        <v>3564343</v>
      </c>
      <c r="M2060">
        <v>84.166982957252443</v>
      </c>
    </row>
    <row r="2061" spans="1:13" hidden="1" x14ac:dyDescent="0.3">
      <c r="A2061" t="s">
        <v>42</v>
      </c>
      <c r="B2061" t="s">
        <v>43</v>
      </c>
      <c r="C2061" t="s">
        <v>44</v>
      </c>
      <c r="D2061">
        <v>2022</v>
      </c>
      <c r="E2061" t="s">
        <v>31</v>
      </c>
      <c r="F2061" t="s">
        <v>45</v>
      </c>
      <c r="G2061" t="s">
        <v>31</v>
      </c>
      <c r="H2061" t="s">
        <v>27</v>
      </c>
      <c r="I2061" t="s">
        <v>27</v>
      </c>
      <c r="J2061" t="s">
        <v>33</v>
      </c>
      <c r="K2061">
        <v>2898</v>
      </c>
      <c r="L2061" t="s">
        <v>31</v>
      </c>
      <c r="M2061">
        <v>90.902697459526607</v>
      </c>
    </row>
    <row r="2062" spans="1:13" hidden="1" x14ac:dyDescent="0.3">
      <c r="A2062" t="s">
        <v>46</v>
      </c>
      <c r="B2062" t="s">
        <v>28</v>
      </c>
      <c r="C2062" t="s">
        <v>30</v>
      </c>
      <c r="D2062">
        <v>2022</v>
      </c>
      <c r="E2062" t="s">
        <v>31</v>
      </c>
      <c r="F2062" t="s">
        <v>47</v>
      </c>
      <c r="G2062" t="s">
        <v>31</v>
      </c>
      <c r="H2062" t="s">
        <v>27</v>
      </c>
      <c r="I2062" t="s">
        <v>27</v>
      </c>
      <c r="J2062" t="s">
        <v>27</v>
      </c>
      <c r="K2062">
        <v>5002</v>
      </c>
      <c r="L2062" t="s">
        <v>31</v>
      </c>
      <c r="M2062">
        <v>90.902697459526607</v>
      </c>
    </row>
    <row r="2063" spans="1:13" hidden="1" x14ac:dyDescent="0.3">
      <c r="A2063" t="s">
        <v>48</v>
      </c>
      <c r="B2063" t="s">
        <v>28</v>
      </c>
      <c r="C2063" t="s">
        <v>30</v>
      </c>
      <c r="D2063">
        <v>2022</v>
      </c>
      <c r="E2063" t="s">
        <v>31</v>
      </c>
      <c r="F2063" t="s">
        <v>49</v>
      </c>
      <c r="G2063" t="s">
        <v>31</v>
      </c>
      <c r="H2063" t="s">
        <v>27</v>
      </c>
      <c r="I2063" t="s">
        <v>27</v>
      </c>
      <c r="J2063" t="s">
        <v>27</v>
      </c>
      <c r="K2063">
        <v>144000</v>
      </c>
      <c r="L2063" t="s">
        <v>31</v>
      </c>
      <c r="M2063">
        <v>90.902697459526607</v>
      </c>
    </row>
    <row r="2064" spans="1:13" hidden="1" x14ac:dyDescent="0.3">
      <c r="A2064" t="s">
        <v>193</v>
      </c>
      <c r="B2064" t="s">
        <v>51</v>
      </c>
      <c r="C2064" t="s">
        <v>52</v>
      </c>
      <c r="D2064">
        <v>2022</v>
      </c>
      <c r="E2064" t="s">
        <v>31</v>
      </c>
      <c r="F2064" t="s">
        <v>57</v>
      </c>
      <c r="G2064" t="s">
        <v>31</v>
      </c>
      <c r="H2064" t="s">
        <v>27</v>
      </c>
      <c r="I2064" t="s">
        <v>27</v>
      </c>
      <c r="J2064" t="s">
        <v>27</v>
      </c>
      <c r="K2064">
        <v>160</v>
      </c>
      <c r="L2064" t="s">
        <v>31</v>
      </c>
      <c r="M2064">
        <v>90.902697459526607</v>
      </c>
    </row>
    <row r="2065" spans="1:13" hidden="1" x14ac:dyDescent="0.3">
      <c r="A2065" t="s">
        <v>197</v>
      </c>
      <c r="B2065" t="s">
        <v>51</v>
      </c>
      <c r="C2065" t="s">
        <v>134</v>
      </c>
      <c r="D2065">
        <v>2022</v>
      </c>
      <c r="E2065" t="s">
        <v>31</v>
      </c>
      <c r="F2065" t="s">
        <v>47</v>
      </c>
      <c r="G2065" t="s">
        <v>31</v>
      </c>
      <c r="H2065" t="s">
        <v>27</v>
      </c>
      <c r="I2065" t="s">
        <v>27</v>
      </c>
      <c r="J2065" t="s">
        <v>27</v>
      </c>
      <c r="K2065">
        <v>9151</v>
      </c>
      <c r="L2065" t="s">
        <v>31</v>
      </c>
      <c r="M2065">
        <v>90.902697459526607</v>
      </c>
    </row>
    <row r="2066" spans="1:13" hidden="1" x14ac:dyDescent="0.3">
      <c r="A2066" t="s">
        <v>199</v>
      </c>
      <c r="B2066" t="s">
        <v>91</v>
      </c>
      <c r="C2066" t="s">
        <v>93</v>
      </c>
      <c r="D2066">
        <v>2022</v>
      </c>
      <c r="E2066" t="s">
        <v>31</v>
      </c>
      <c r="F2066" t="s">
        <v>53</v>
      </c>
      <c r="G2066" t="s">
        <v>31</v>
      </c>
      <c r="H2066" t="s">
        <v>27</v>
      </c>
      <c r="I2066" t="s">
        <v>27</v>
      </c>
      <c r="J2066" t="s">
        <v>27</v>
      </c>
      <c r="K2066">
        <v>300</v>
      </c>
      <c r="L2066" t="s">
        <v>31</v>
      </c>
      <c r="M2066">
        <v>90.902697459526607</v>
      </c>
    </row>
    <row r="2067" spans="1:13" hidden="1" x14ac:dyDescent="0.3">
      <c r="A2067" t="s">
        <v>200</v>
      </c>
      <c r="B2067" t="s">
        <v>91</v>
      </c>
      <c r="C2067" t="s">
        <v>93</v>
      </c>
      <c r="D2067">
        <v>2022</v>
      </c>
      <c r="E2067" t="s">
        <v>31</v>
      </c>
      <c r="F2067" t="s">
        <v>90</v>
      </c>
      <c r="G2067" t="s">
        <v>31</v>
      </c>
      <c r="H2067" t="s">
        <v>27</v>
      </c>
      <c r="I2067" t="s">
        <v>27</v>
      </c>
      <c r="J2067" t="s">
        <v>27</v>
      </c>
      <c r="K2067">
        <v>31302</v>
      </c>
      <c r="L2067" t="s">
        <v>31</v>
      </c>
      <c r="M2067">
        <v>90.902697459526607</v>
      </c>
    </row>
    <row r="2068" spans="1:13" hidden="1" x14ac:dyDescent="0.3">
      <c r="A2068" t="s">
        <v>201</v>
      </c>
      <c r="B2068" t="s">
        <v>39</v>
      </c>
      <c r="C2068" t="s">
        <v>142</v>
      </c>
      <c r="D2068">
        <v>2022</v>
      </c>
      <c r="E2068">
        <v>770000</v>
      </c>
      <c r="F2068" t="s">
        <v>130</v>
      </c>
      <c r="G2068" t="s">
        <v>31</v>
      </c>
      <c r="H2068" t="s">
        <v>27</v>
      </c>
      <c r="I2068" t="s">
        <v>27</v>
      </c>
      <c r="J2068" t="s">
        <v>33</v>
      </c>
      <c r="K2068">
        <v>124085</v>
      </c>
      <c r="L2068">
        <v>847060</v>
      </c>
      <c r="M2068">
        <v>90.902697459526607</v>
      </c>
    </row>
    <row r="2069" spans="1:13" hidden="1" x14ac:dyDescent="0.3">
      <c r="A2069" t="s">
        <v>202</v>
      </c>
      <c r="B2069" t="s">
        <v>51</v>
      </c>
      <c r="C2069" t="s">
        <v>52</v>
      </c>
      <c r="D2069">
        <v>2022</v>
      </c>
      <c r="E2069" t="s">
        <v>31</v>
      </c>
      <c r="F2069" t="s">
        <v>119</v>
      </c>
      <c r="G2069" t="s">
        <v>54</v>
      </c>
      <c r="H2069" t="s">
        <v>27</v>
      </c>
      <c r="I2069" t="s">
        <v>27</v>
      </c>
      <c r="J2069" t="s">
        <v>27</v>
      </c>
      <c r="K2069">
        <v>800</v>
      </c>
      <c r="L2069" t="s">
        <v>31</v>
      </c>
      <c r="M2069">
        <v>90.902697459526607</v>
      </c>
    </row>
    <row r="2070" spans="1:13" hidden="1" x14ac:dyDescent="0.3">
      <c r="A2070" t="s">
        <v>203</v>
      </c>
      <c r="B2070" t="s">
        <v>91</v>
      </c>
      <c r="C2070" t="s">
        <v>93</v>
      </c>
      <c r="D2070">
        <v>2022</v>
      </c>
      <c r="E2070" t="s">
        <v>31</v>
      </c>
      <c r="F2070" t="s">
        <v>109</v>
      </c>
      <c r="G2070" t="s">
        <v>31</v>
      </c>
      <c r="H2070" t="s">
        <v>27</v>
      </c>
      <c r="I2070" t="s">
        <v>27</v>
      </c>
      <c r="J2070" t="s">
        <v>27</v>
      </c>
      <c r="K2070">
        <v>7804</v>
      </c>
      <c r="L2070" t="s">
        <v>31</v>
      </c>
      <c r="M2070">
        <v>90.902697459526607</v>
      </c>
    </row>
    <row r="2071" spans="1:13" hidden="1" x14ac:dyDescent="0.3">
      <c r="A2071" t="s">
        <v>212</v>
      </c>
      <c r="B2071" t="s">
        <v>51</v>
      </c>
      <c r="C2071" t="s">
        <v>52</v>
      </c>
      <c r="D2071">
        <v>2022</v>
      </c>
      <c r="E2071" t="s">
        <v>31</v>
      </c>
      <c r="F2071" t="s">
        <v>34</v>
      </c>
      <c r="G2071" t="s">
        <v>31</v>
      </c>
      <c r="H2071" t="s">
        <v>27</v>
      </c>
      <c r="I2071" t="s">
        <v>27</v>
      </c>
      <c r="J2071" t="s">
        <v>33</v>
      </c>
      <c r="K2071" t="s">
        <v>31</v>
      </c>
      <c r="L2071" t="s">
        <v>31</v>
      </c>
      <c r="M2071">
        <v>90.902697459526607</v>
      </c>
    </row>
    <row r="2072" spans="1:13" hidden="1" x14ac:dyDescent="0.3">
      <c r="A2072" t="s">
        <v>221</v>
      </c>
      <c r="B2072" t="s">
        <v>28</v>
      </c>
      <c r="C2072" t="s">
        <v>222</v>
      </c>
      <c r="D2072">
        <v>2022</v>
      </c>
      <c r="E2072">
        <v>2500000</v>
      </c>
      <c r="F2072" t="s">
        <v>34</v>
      </c>
      <c r="G2072" t="s">
        <v>65</v>
      </c>
      <c r="H2072" t="s">
        <v>27</v>
      </c>
      <c r="I2072" t="s">
        <v>27</v>
      </c>
      <c r="J2072" t="s">
        <v>27</v>
      </c>
      <c r="K2072">
        <v>12</v>
      </c>
      <c r="L2072">
        <v>2750193</v>
      </c>
      <c r="M2072">
        <v>90.902697459526607</v>
      </c>
    </row>
    <row r="2073" spans="1:13" hidden="1" x14ac:dyDescent="0.3">
      <c r="A2073" t="s">
        <v>223</v>
      </c>
      <c r="B2073" t="s">
        <v>51</v>
      </c>
      <c r="C2073" t="s">
        <v>52</v>
      </c>
      <c r="D2073">
        <v>2022</v>
      </c>
      <c r="E2073" t="s">
        <v>31</v>
      </c>
      <c r="F2073" t="s">
        <v>47</v>
      </c>
      <c r="G2073" t="s">
        <v>54</v>
      </c>
      <c r="H2073" t="s">
        <v>27</v>
      </c>
      <c r="I2073" t="s">
        <v>27</v>
      </c>
      <c r="J2073" t="s">
        <v>27</v>
      </c>
      <c r="K2073">
        <v>5000</v>
      </c>
      <c r="L2073" t="s">
        <v>31</v>
      </c>
      <c r="M2073">
        <v>90.902697459526607</v>
      </c>
    </row>
    <row r="2074" spans="1:13" hidden="1" x14ac:dyDescent="0.3">
      <c r="A2074" t="s">
        <v>238</v>
      </c>
      <c r="B2074" t="s">
        <v>28</v>
      </c>
      <c r="C2074" t="s">
        <v>30</v>
      </c>
      <c r="D2074">
        <v>2022</v>
      </c>
      <c r="E2074">
        <v>2500000</v>
      </c>
      <c r="F2074" t="s">
        <v>62</v>
      </c>
      <c r="G2074" t="s">
        <v>82</v>
      </c>
      <c r="H2074" t="s">
        <v>27</v>
      </c>
      <c r="I2074" t="s">
        <v>27</v>
      </c>
      <c r="J2074" t="s">
        <v>33</v>
      </c>
      <c r="K2074" t="s">
        <v>31</v>
      </c>
      <c r="L2074">
        <v>2750193</v>
      </c>
      <c r="M2074">
        <v>90.902697459526607</v>
      </c>
    </row>
    <row r="2075" spans="1:13" hidden="1" x14ac:dyDescent="0.3">
      <c r="A2075" t="s">
        <v>241</v>
      </c>
      <c r="B2075" t="s">
        <v>28</v>
      </c>
      <c r="C2075" t="s">
        <v>30</v>
      </c>
      <c r="D2075">
        <v>2022</v>
      </c>
      <c r="E2075">
        <v>25000</v>
      </c>
      <c r="F2075" t="s">
        <v>242</v>
      </c>
      <c r="G2075" t="s">
        <v>31</v>
      </c>
      <c r="H2075" t="s">
        <v>27</v>
      </c>
      <c r="I2075" t="s">
        <v>27</v>
      </c>
      <c r="J2075" t="s">
        <v>27</v>
      </c>
      <c r="K2075">
        <v>3200000</v>
      </c>
      <c r="L2075">
        <v>27502</v>
      </c>
      <c r="M2075">
        <v>90.902697459526607</v>
      </c>
    </row>
    <row r="2076" spans="1:13" hidden="1" x14ac:dyDescent="0.3">
      <c r="A2076" t="s">
        <v>243</v>
      </c>
      <c r="B2076" t="s">
        <v>91</v>
      </c>
      <c r="C2076" t="s">
        <v>93</v>
      </c>
      <c r="D2076">
        <v>2022</v>
      </c>
      <c r="E2076" t="s">
        <v>31</v>
      </c>
      <c r="F2076" t="s">
        <v>73</v>
      </c>
      <c r="G2076" t="s">
        <v>31</v>
      </c>
      <c r="H2076" t="s">
        <v>27</v>
      </c>
      <c r="I2076" t="s">
        <v>27</v>
      </c>
      <c r="J2076" t="s">
        <v>27</v>
      </c>
      <c r="K2076">
        <v>18005</v>
      </c>
      <c r="L2076" t="s">
        <v>31</v>
      </c>
      <c r="M2076">
        <v>90.902697459526607</v>
      </c>
    </row>
    <row r="2077" spans="1:13" hidden="1" x14ac:dyDescent="0.3">
      <c r="A2077" t="s">
        <v>249</v>
      </c>
      <c r="B2077" t="s">
        <v>91</v>
      </c>
      <c r="C2077" t="s">
        <v>93</v>
      </c>
      <c r="D2077">
        <v>2022</v>
      </c>
      <c r="E2077">
        <v>25000</v>
      </c>
      <c r="F2077" t="s">
        <v>73</v>
      </c>
      <c r="G2077" t="s">
        <v>173</v>
      </c>
      <c r="H2077" t="s">
        <v>27</v>
      </c>
      <c r="I2077" t="s">
        <v>27</v>
      </c>
      <c r="J2077" t="s">
        <v>27</v>
      </c>
      <c r="K2077">
        <v>17886</v>
      </c>
      <c r="L2077">
        <v>27502</v>
      </c>
      <c r="M2077">
        <v>90.902697459526607</v>
      </c>
    </row>
    <row r="2078" spans="1:13" hidden="1" x14ac:dyDescent="0.3">
      <c r="A2078" t="s">
        <v>251</v>
      </c>
      <c r="B2078" t="s">
        <v>28</v>
      </c>
      <c r="C2078" t="s">
        <v>30</v>
      </c>
      <c r="D2078">
        <v>2022</v>
      </c>
      <c r="E2078">
        <v>180000</v>
      </c>
      <c r="F2078" t="s">
        <v>81</v>
      </c>
      <c r="G2078" t="s">
        <v>37</v>
      </c>
      <c r="H2078" t="s">
        <v>27</v>
      </c>
      <c r="I2078" t="s">
        <v>27</v>
      </c>
      <c r="J2078" t="s">
        <v>27</v>
      </c>
      <c r="K2078">
        <v>47100</v>
      </c>
      <c r="L2078">
        <v>198014</v>
      </c>
      <c r="M2078">
        <v>90.902697459526607</v>
      </c>
    </row>
    <row r="2079" spans="1:13" hidden="1" x14ac:dyDescent="0.3">
      <c r="A2079" t="s">
        <v>252</v>
      </c>
      <c r="B2079" t="s">
        <v>51</v>
      </c>
      <c r="C2079" t="s">
        <v>134</v>
      </c>
      <c r="D2079">
        <v>2022</v>
      </c>
      <c r="E2079" t="s">
        <v>31</v>
      </c>
      <c r="F2079" t="s">
        <v>70</v>
      </c>
      <c r="G2079" t="s">
        <v>37</v>
      </c>
      <c r="H2079" t="s">
        <v>27</v>
      </c>
      <c r="I2079" t="s">
        <v>27</v>
      </c>
      <c r="J2079" t="s">
        <v>27</v>
      </c>
      <c r="K2079">
        <v>64951</v>
      </c>
      <c r="L2079" t="s">
        <v>31</v>
      </c>
      <c r="M2079">
        <v>90.902697459526607</v>
      </c>
    </row>
    <row r="2080" spans="1:13" hidden="1" x14ac:dyDescent="0.3">
      <c r="A2080" t="s">
        <v>253</v>
      </c>
      <c r="B2080" t="s">
        <v>51</v>
      </c>
      <c r="C2080" t="s">
        <v>52</v>
      </c>
      <c r="D2080">
        <v>2022</v>
      </c>
      <c r="E2080" t="s">
        <v>31</v>
      </c>
      <c r="F2080" t="s">
        <v>119</v>
      </c>
      <c r="G2080" t="s">
        <v>31</v>
      </c>
      <c r="H2080" t="s">
        <v>27</v>
      </c>
      <c r="I2080" t="s">
        <v>27</v>
      </c>
      <c r="J2080" t="s">
        <v>27</v>
      </c>
      <c r="K2080">
        <v>3000</v>
      </c>
      <c r="L2080" t="s">
        <v>31</v>
      </c>
      <c r="M2080">
        <v>90.902697459526607</v>
      </c>
    </row>
    <row r="2081" spans="1:13" hidden="1" x14ac:dyDescent="0.3">
      <c r="A2081" t="s">
        <v>257</v>
      </c>
      <c r="B2081" t="s">
        <v>28</v>
      </c>
      <c r="C2081" t="s">
        <v>30</v>
      </c>
      <c r="D2081">
        <v>2022</v>
      </c>
      <c r="E2081">
        <v>1000000</v>
      </c>
      <c r="F2081" t="s">
        <v>34</v>
      </c>
      <c r="G2081" t="s">
        <v>31</v>
      </c>
      <c r="H2081" t="s">
        <v>27</v>
      </c>
      <c r="I2081" t="s">
        <v>27</v>
      </c>
      <c r="J2081" t="s">
        <v>33</v>
      </c>
      <c r="K2081">
        <v>1500</v>
      </c>
      <c r="L2081">
        <v>1100077</v>
      </c>
      <c r="M2081">
        <v>90.902697459526607</v>
      </c>
    </row>
    <row r="2082" spans="1:13" hidden="1" x14ac:dyDescent="0.3">
      <c r="A2082" t="s">
        <v>258</v>
      </c>
      <c r="B2082" t="s">
        <v>28</v>
      </c>
      <c r="C2082" t="s">
        <v>64</v>
      </c>
      <c r="D2082">
        <v>2022</v>
      </c>
      <c r="E2082">
        <v>375000</v>
      </c>
      <c r="F2082" t="s">
        <v>34</v>
      </c>
      <c r="G2082" t="s">
        <v>37</v>
      </c>
      <c r="H2082" t="s">
        <v>27</v>
      </c>
      <c r="I2082" t="s">
        <v>27</v>
      </c>
      <c r="J2082" t="s">
        <v>27</v>
      </c>
      <c r="K2082">
        <v>600</v>
      </c>
      <c r="L2082">
        <v>412529</v>
      </c>
      <c r="M2082">
        <v>90.902697459526607</v>
      </c>
    </row>
    <row r="2083" spans="1:13" hidden="1" x14ac:dyDescent="0.3">
      <c r="A2083" t="s">
        <v>259</v>
      </c>
      <c r="B2083" t="s">
        <v>39</v>
      </c>
      <c r="C2083" t="s">
        <v>142</v>
      </c>
      <c r="D2083">
        <v>2022</v>
      </c>
      <c r="E2083" t="s">
        <v>31</v>
      </c>
      <c r="F2083" t="s">
        <v>60</v>
      </c>
      <c r="G2083" t="s">
        <v>31</v>
      </c>
      <c r="H2083" t="s">
        <v>27</v>
      </c>
      <c r="I2083" t="s">
        <v>27</v>
      </c>
      <c r="J2083" t="s">
        <v>27</v>
      </c>
      <c r="K2083">
        <v>184</v>
      </c>
      <c r="L2083" t="s">
        <v>31</v>
      </c>
      <c r="M2083">
        <v>90.902697459526607</v>
      </c>
    </row>
    <row r="2084" spans="1:13" hidden="1" x14ac:dyDescent="0.3">
      <c r="A2084" t="s">
        <v>263</v>
      </c>
      <c r="B2084" t="s">
        <v>91</v>
      </c>
      <c r="C2084" t="s">
        <v>93</v>
      </c>
      <c r="D2084">
        <v>2022</v>
      </c>
      <c r="E2084">
        <v>250000</v>
      </c>
      <c r="F2084" t="s">
        <v>34</v>
      </c>
      <c r="G2084" t="s">
        <v>31</v>
      </c>
      <c r="H2084" t="s">
        <v>27</v>
      </c>
      <c r="I2084" t="s">
        <v>27</v>
      </c>
      <c r="J2084" t="s">
        <v>33</v>
      </c>
      <c r="K2084">
        <v>12</v>
      </c>
      <c r="L2084">
        <v>275019</v>
      </c>
      <c r="M2084">
        <v>90.902697459526607</v>
      </c>
    </row>
    <row r="2085" spans="1:13" hidden="1" x14ac:dyDescent="0.3">
      <c r="A2085" t="s">
        <v>264</v>
      </c>
      <c r="B2085" t="s">
        <v>28</v>
      </c>
      <c r="C2085" t="s">
        <v>189</v>
      </c>
      <c r="D2085">
        <v>2022</v>
      </c>
      <c r="E2085">
        <v>345000</v>
      </c>
      <c r="F2085" t="s">
        <v>34</v>
      </c>
      <c r="G2085" t="s">
        <v>31</v>
      </c>
      <c r="H2085" t="s">
        <v>27</v>
      </c>
      <c r="I2085" t="s">
        <v>27</v>
      </c>
      <c r="J2085" t="s">
        <v>27</v>
      </c>
      <c r="K2085">
        <v>37</v>
      </c>
      <c r="L2085">
        <v>379527</v>
      </c>
      <c r="M2085">
        <v>90.902697459526607</v>
      </c>
    </row>
    <row r="2086" spans="1:13" hidden="1" x14ac:dyDescent="0.3">
      <c r="A2086" t="s">
        <v>265</v>
      </c>
      <c r="B2086" t="s">
        <v>28</v>
      </c>
      <c r="C2086" t="s">
        <v>67</v>
      </c>
      <c r="D2086">
        <v>2022</v>
      </c>
      <c r="E2086">
        <v>2700000</v>
      </c>
      <c r="F2086" t="s">
        <v>34</v>
      </c>
      <c r="G2086" t="s">
        <v>266</v>
      </c>
      <c r="H2086" t="s">
        <v>27</v>
      </c>
      <c r="I2086" t="s">
        <v>27</v>
      </c>
      <c r="J2086" t="s">
        <v>33</v>
      </c>
      <c r="K2086" t="s">
        <v>31</v>
      </c>
      <c r="L2086">
        <v>2970209</v>
      </c>
      <c r="M2086">
        <v>90.902697459526607</v>
      </c>
    </row>
    <row r="2087" spans="1:13" hidden="1" x14ac:dyDescent="0.3">
      <c r="A2087" t="s">
        <v>267</v>
      </c>
      <c r="B2087" t="s">
        <v>39</v>
      </c>
      <c r="C2087" t="s">
        <v>41</v>
      </c>
      <c r="D2087">
        <v>2022</v>
      </c>
      <c r="E2087" t="s">
        <v>31</v>
      </c>
      <c r="F2087" t="s">
        <v>60</v>
      </c>
      <c r="G2087" t="s">
        <v>31</v>
      </c>
      <c r="H2087" t="s">
        <v>27</v>
      </c>
      <c r="I2087" t="s">
        <v>27</v>
      </c>
      <c r="J2087" t="s">
        <v>33</v>
      </c>
      <c r="K2087">
        <v>12867</v>
      </c>
      <c r="L2087" t="s">
        <v>31</v>
      </c>
      <c r="M2087">
        <v>90.902697459526607</v>
      </c>
    </row>
    <row r="2088" spans="1:13" hidden="1" x14ac:dyDescent="0.3">
      <c r="A2088" t="s">
        <v>269</v>
      </c>
      <c r="B2088" t="s">
        <v>39</v>
      </c>
      <c r="C2088" t="s">
        <v>157</v>
      </c>
      <c r="D2088">
        <v>2022</v>
      </c>
      <c r="E2088">
        <v>22000000</v>
      </c>
      <c r="F2088" t="s">
        <v>34</v>
      </c>
      <c r="G2088" t="s">
        <v>95</v>
      </c>
      <c r="H2088" t="s">
        <v>27</v>
      </c>
      <c r="I2088" t="s">
        <v>27</v>
      </c>
      <c r="J2088" t="s">
        <v>27</v>
      </c>
      <c r="K2088" t="s">
        <v>31</v>
      </c>
      <c r="L2088">
        <v>24201702</v>
      </c>
      <c r="M2088">
        <v>90.902697459526607</v>
      </c>
    </row>
    <row r="2089" spans="1:13" hidden="1" x14ac:dyDescent="0.3">
      <c r="A2089" t="s">
        <v>1321</v>
      </c>
      <c r="B2089" t="s">
        <v>28</v>
      </c>
      <c r="C2089" t="s">
        <v>67</v>
      </c>
      <c r="D2089">
        <v>2022</v>
      </c>
      <c r="E2089">
        <v>525000</v>
      </c>
      <c r="F2089" t="s">
        <v>34</v>
      </c>
      <c r="G2089" t="s">
        <v>68</v>
      </c>
      <c r="H2089" t="s">
        <v>27</v>
      </c>
      <c r="I2089" t="s">
        <v>27</v>
      </c>
      <c r="J2089" t="s">
        <v>33</v>
      </c>
      <c r="K2089" t="s">
        <v>31</v>
      </c>
      <c r="L2089">
        <v>577541</v>
      </c>
      <c r="M2089">
        <v>90.902697459526607</v>
      </c>
    </row>
    <row r="2090" spans="1:13" x14ac:dyDescent="0.3">
      <c r="D2090" s="2" t="s">
        <v>2571</v>
      </c>
      <c r="E2090" s="2">
        <f>SUM(E1964,E1984,E2010,E2030,E2031)</f>
        <v>543000</v>
      </c>
    </row>
    <row r="2091" spans="1:13" x14ac:dyDescent="0.3">
      <c r="A2091" t="s">
        <v>1322</v>
      </c>
      <c r="B2091" t="s">
        <v>51</v>
      </c>
      <c r="C2091" t="s">
        <v>52</v>
      </c>
      <c r="D2091">
        <v>2022</v>
      </c>
      <c r="E2091">
        <v>90000</v>
      </c>
      <c r="F2091" t="s">
        <v>119</v>
      </c>
      <c r="G2091" t="s">
        <v>54</v>
      </c>
      <c r="H2091" t="s">
        <v>27</v>
      </c>
      <c r="I2091" t="s">
        <v>27</v>
      </c>
      <c r="J2091" t="s">
        <v>27</v>
      </c>
      <c r="K2091">
        <v>32</v>
      </c>
      <c r="L2091">
        <v>99007</v>
      </c>
      <c r="M2091">
        <v>90.902697459526607</v>
      </c>
    </row>
    <row r="2092" spans="1:13" hidden="1" x14ac:dyDescent="0.3">
      <c r="A2092" t="s">
        <v>1323</v>
      </c>
      <c r="B2092" t="s">
        <v>28</v>
      </c>
      <c r="C2092" t="s">
        <v>97</v>
      </c>
      <c r="D2092">
        <v>2022</v>
      </c>
      <c r="E2092">
        <v>526000</v>
      </c>
      <c r="F2092" t="s">
        <v>34</v>
      </c>
      <c r="G2092" t="s">
        <v>31</v>
      </c>
      <c r="H2092" t="s">
        <v>27</v>
      </c>
      <c r="I2092" t="s">
        <v>27</v>
      </c>
      <c r="J2092" t="s">
        <v>27</v>
      </c>
      <c r="K2092" t="s">
        <v>31</v>
      </c>
      <c r="L2092">
        <v>578641</v>
      </c>
      <c r="M2092">
        <v>90.902697459526607</v>
      </c>
    </row>
    <row r="2093" spans="1:13" hidden="1" x14ac:dyDescent="0.3">
      <c r="A2093" t="s">
        <v>1324</v>
      </c>
      <c r="B2093" t="s">
        <v>51</v>
      </c>
      <c r="C2093" t="s">
        <v>56</v>
      </c>
      <c r="D2093">
        <v>2022</v>
      </c>
      <c r="E2093" t="s">
        <v>31</v>
      </c>
      <c r="F2093" t="s">
        <v>53</v>
      </c>
      <c r="G2093" t="s">
        <v>54</v>
      </c>
      <c r="H2093" t="s">
        <v>27</v>
      </c>
      <c r="I2093" t="s">
        <v>27</v>
      </c>
      <c r="J2093" t="s">
        <v>27</v>
      </c>
      <c r="K2093">
        <v>500</v>
      </c>
      <c r="L2093" t="s">
        <v>31</v>
      </c>
      <c r="M2093">
        <v>90.902697459526607</v>
      </c>
    </row>
    <row r="2094" spans="1:13" hidden="1" x14ac:dyDescent="0.3">
      <c r="A2094" t="s">
        <v>1325</v>
      </c>
      <c r="B2094" t="s">
        <v>51</v>
      </c>
      <c r="C2094" t="s">
        <v>52</v>
      </c>
      <c r="D2094">
        <v>2022</v>
      </c>
      <c r="E2094" t="s">
        <v>31</v>
      </c>
      <c r="F2094" t="s">
        <v>45</v>
      </c>
      <c r="G2094" t="s">
        <v>31</v>
      </c>
      <c r="H2094" t="s">
        <v>27</v>
      </c>
      <c r="I2094" t="s">
        <v>27</v>
      </c>
      <c r="J2094" t="s">
        <v>27</v>
      </c>
      <c r="K2094">
        <v>12500</v>
      </c>
      <c r="L2094" t="s">
        <v>31</v>
      </c>
      <c r="M2094">
        <v>90.902697459526607</v>
      </c>
    </row>
    <row r="2095" spans="1:13" hidden="1" x14ac:dyDescent="0.3">
      <c r="A2095" t="s">
        <v>1326</v>
      </c>
      <c r="B2095" t="s">
        <v>51</v>
      </c>
      <c r="C2095" t="s">
        <v>52</v>
      </c>
      <c r="D2095">
        <v>2022</v>
      </c>
      <c r="E2095">
        <v>17000</v>
      </c>
      <c r="F2095" t="s">
        <v>62</v>
      </c>
      <c r="G2095" t="s">
        <v>54</v>
      </c>
      <c r="H2095" t="s">
        <v>27</v>
      </c>
      <c r="I2095" t="s">
        <v>27</v>
      </c>
      <c r="J2095" t="s">
        <v>27</v>
      </c>
      <c r="K2095" t="s">
        <v>31</v>
      </c>
      <c r="L2095">
        <v>18701</v>
      </c>
      <c r="M2095">
        <v>90.902697459526607</v>
      </c>
    </row>
    <row r="2096" spans="1:13" hidden="1" x14ac:dyDescent="0.3">
      <c r="A2096" t="s">
        <v>1327</v>
      </c>
      <c r="B2096" t="s">
        <v>51</v>
      </c>
      <c r="C2096" t="s">
        <v>134</v>
      </c>
      <c r="D2096">
        <v>2022</v>
      </c>
      <c r="E2096" t="s">
        <v>31</v>
      </c>
      <c r="F2096" t="s">
        <v>47</v>
      </c>
      <c r="G2096" t="s">
        <v>31</v>
      </c>
      <c r="H2096" t="s">
        <v>27</v>
      </c>
      <c r="I2096" t="s">
        <v>27</v>
      </c>
      <c r="J2096" t="s">
        <v>33</v>
      </c>
      <c r="K2096">
        <v>21521</v>
      </c>
      <c r="L2096" t="s">
        <v>31</v>
      </c>
      <c r="M2096">
        <v>90.902697459526607</v>
      </c>
    </row>
    <row r="2097" spans="1:13" hidden="1" x14ac:dyDescent="0.3">
      <c r="A2097" t="s">
        <v>1328</v>
      </c>
      <c r="B2097" t="s">
        <v>28</v>
      </c>
      <c r="C2097" t="s">
        <v>97</v>
      </c>
      <c r="D2097">
        <v>2022</v>
      </c>
      <c r="E2097">
        <v>820000</v>
      </c>
      <c r="F2097" t="s">
        <v>34</v>
      </c>
      <c r="G2097" t="s">
        <v>65</v>
      </c>
      <c r="H2097" t="s">
        <v>27</v>
      </c>
      <c r="I2097" t="s">
        <v>27</v>
      </c>
      <c r="J2097" t="s">
        <v>33</v>
      </c>
      <c r="K2097">
        <v>90</v>
      </c>
      <c r="L2097">
        <v>902063</v>
      </c>
      <c r="M2097">
        <v>90.902697459526607</v>
      </c>
    </row>
    <row r="2098" spans="1:13" hidden="1" x14ac:dyDescent="0.3">
      <c r="A2098" t="s">
        <v>1329</v>
      </c>
      <c r="B2098" t="s">
        <v>51</v>
      </c>
      <c r="C2098" t="s">
        <v>56</v>
      </c>
      <c r="D2098">
        <v>2022</v>
      </c>
      <c r="E2098" t="s">
        <v>31</v>
      </c>
      <c r="F2098" t="s">
        <v>75</v>
      </c>
      <c r="G2098" t="s">
        <v>31</v>
      </c>
      <c r="H2098" t="s">
        <v>27</v>
      </c>
      <c r="I2098" t="s">
        <v>27</v>
      </c>
      <c r="J2098" t="s">
        <v>27</v>
      </c>
      <c r="K2098">
        <v>210</v>
      </c>
      <c r="L2098" t="s">
        <v>31</v>
      </c>
      <c r="M2098">
        <v>90.902697459526607</v>
      </c>
    </row>
    <row r="2099" spans="1:13" hidden="1" x14ac:dyDescent="0.3">
      <c r="A2099" t="s">
        <v>1330</v>
      </c>
      <c r="B2099" t="s">
        <v>51</v>
      </c>
      <c r="C2099" t="s">
        <v>56</v>
      </c>
      <c r="D2099">
        <v>2022</v>
      </c>
      <c r="E2099" t="s">
        <v>31</v>
      </c>
      <c r="F2099" t="s">
        <v>45</v>
      </c>
      <c r="G2099" t="s">
        <v>31</v>
      </c>
      <c r="H2099" t="s">
        <v>27</v>
      </c>
      <c r="I2099" t="s">
        <v>27</v>
      </c>
      <c r="J2099" t="s">
        <v>27</v>
      </c>
      <c r="K2099">
        <v>500</v>
      </c>
      <c r="L2099" t="s">
        <v>31</v>
      </c>
      <c r="M2099">
        <v>90.902697459526607</v>
      </c>
    </row>
    <row r="2100" spans="1:13" hidden="1" x14ac:dyDescent="0.3">
      <c r="A2100" t="s">
        <v>1331</v>
      </c>
      <c r="B2100" t="s">
        <v>39</v>
      </c>
      <c r="C2100" t="s">
        <v>142</v>
      </c>
      <c r="D2100">
        <v>2022</v>
      </c>
      <c r="E2100" t="s">
        <v>31</v>
      </c>
      <c r="F2100" t="s">
        <v>34</v>
      </c>
      <c r="G2100" t="s">
        <v>31</v>
      </c>
      <c r="H2100" t="s">
        <v>27</v>
      </c>
      <c r="I2100" t="s">
        <v>27</v>
      </c>
      <c r="J2100" t="s">
        <v>27</v>
      </c>
      <c r="K2100">
        <v>264</v>
      </c>
      <c r="L2100" t="s">
        <v>31</v>
      </c>
      <c r="M2100">
        <v>90.902697459526607</v>
      </c>
    </row>
    <row r="2101" spans="1:13" hidden="1" x14ac:dyDescent="0.3">
      <c r="A2101" t="s">
        <v>1332</v>
      </c>
      <c r="B2101" t="s">
        <v>51</v>
      </c>
      <c r="C2101" t="s">
        <v>52</v>
      </c>
      <c r="D2101">
        <v>2022</v>
      </c>
      <c r="E2101" t="s">
        <v>31</v>
      </c>
      <c r="F2101" t="s">
        <v>109</v>
      </c>
      <c r="G2101" t="s">
        <v>54</v>
      </c>
      <c r="H2101" t="s">
        <v>27</v>
      </c>
      <c r="I2101" t="s">
        <v>27</v>
      </c>
      <c r="J2101" t="s">
        <v>27</v>
      </c>
      <c r="K2101">
        <v>600</v>
      </c>
      <c r="L2101" t="s">
        <v>31</v>
      </c>
      <c r="M2101">
        <v>90.902697459526607</v>
      </c>
    </row>
    <row r="2102" spans="1:13" hidden="1" x14ac:dyDescent="0.3">
      <c r="A2102" t="s">
        <v>1333</v>
      </c>
      <c r="B2102" t="s">
        <v>39</v>
      </c>
      <c r="C2102" t="s">
        <v>142</v>
      </c>
      <c r="D2102">
        <v>2022</v>
      </c>
      <c r="E2102">
        <v>155000</v>
      </c>
      <c r="F2102" t="s">
        <v>34</v>
      </c>
      <c r="G2102" t="s">
        <v>31</v>
      </c>
      <c r="H2102" t="s">
        <v>27</v>
      </c>
      <c r="I2102" t="s">
        <v>27</v>
      </c>
      <c r="J2102" t="s">
        <v>27</v>
      </c>
      <c r="K2102">
        <v>649</v>
      </c>
      <c r="L2102">
        <v>170512</v>
      </c>
      <c r="M2102">
        <v>90.902697459526607</v>
      </c>
    </row>
    <row r="2103" spans="1:13" hidden="1" x14ac:dyDescent="0.3">
      <c r="A2103" t="s">
        <v>1334</v>
      </c>
      <c r="B2103" t="s">
        <v>28</v>
      </c>
      <c r="C2103" t="s">
        <v>189</v>
      </c>
      <c r="D2103">
        <v>2022</v>
      </c>
      <c r="E2103">
        <v>882000</v>
      </c>
      <c r="F2103" t="s">
        <v>34</v>
      </c>
      <c r="G2103" t="s">
        <v>65</v>
      </c>
      <c r="H2103" t="s">
        <v>27</v>
      </c>
      <c r="I2103" t="s">
        <v>27</v>
      </c>
      <c r="J2103" t="s">
        <v>27</v>
      </c>
      <c r="K2103" t="s">
        <v>31</v>
      </c>
      <c r="L2103">
        <v>970268</v>
      </c>
      <c r="M2103">
        <v>90.902697459526607</v>
      </c>
    </row>
    <row r="2104" spans="1:13" hidden="1" x14ac:dyDescent="0.3">
      <c r="A2104" t="s">
        <v>1335</v>
      </c>
      <c r="B2104" t="s">
        <v>28</v>
      </c>
      <c r="C2104" t="s">
        <v>189</v>
      </c>
      <c r="D2104">
        <v>2022</v>
      </c>
      <c r="E2104">
        <v>624000</v>
      </c>
      <c r="F2104" t="s">
        <v>34</v>
      </c>
      <c r="G2104" t="s">
        <v>65</v>
      </c>
      <c r="H2104" t="s">
        <v>27</v>
      </c>
      <c r="I2104" t="s">
        <v>27</v>
      </c>
      <c r="J2104" t="s">
        <v>27</v>
      </c>
      <c r="K2104" t="s">
        <v>31</v>
      </c>
      <c r="L2104">
        <v>686448</v>
      </c>
      <c r="M2104">
        <v>90.902697459526607</v>
      </c>
    </row>
    <row r="2105" spans="1:13" hidden="1" x14ac:dyDescent="0.3">
      <c r="A2105" t="s">
        <v>1336</v>
      </c>
      <c r="B2105" t="s">
        <v>28</v>
      </c>
      <c r="C2105" t="s">
        <v>97</v>
      </c>
      <c r="D2105">
        <v>2022</v>
      </c>
      <c r="E2105">
        <v>583000</v>
      </c>
      <c r="F2105" t="s">
        <v>34</v>
      </c>
      <c r="G2105" t="s">
        <v>65</v>
      </c>
      <c r="H2105" t="s">
        <v>27</v>
      </c>
      <c r="I2105" t="s">
        <v>27</v>
      </c>
      <c r="J2105" t="s">
        <v>27</v>
      </c>
      <c r="K2105">
        <v>306</v>
      </c>
      <c r="L2105">
        <v>641345</v>
      </c>
      <c r="M2105">
        <v>90.902697459526607</v>
      </c>
    </row>
    <row r="2106" spans="1:13" x14ac:dyDescent="0.3">
      <c r="A2106" t="s">
        <v>1337</v>
      </c>
      <c r="B2106" t="s">
        <v>51</v>
      </c>
      <c r="C2106" t="s">
        <v>52</v>
      </c>
      <c r="D2106">
        <v>2022</v>
      </c>
      <c r="E2106">
        <v>93000</v>
      </c>
      <c r="F2106" t="s">
        <v>119</v>
      </c>
      <c r="G2106" t="s">
        <v>31</v>
      </c>
      <c r="H2106" t="s">
        <v>27</v>
      </c>
      <c r="I2106" t="s">
        <v>27</v>
      </c>
      <c r="J2106" t="s">
        <v>33</v>
      </c>
      <c r="K2106">
        <v>44000</v>
      </c>
      <c r="L2106">
        <v>102307</v>
      </c>
      <c r="M2106">
        <v>90.902697459526607</v>
      </c>
    </row>
    <row r="2107" spans="1:13" hidden="1" x14ac:dyDescent="0.3">
      <c r="A2107" t="s">
        <v>1338</v>
      </c>
      <c r="B2107" t="s">
        <v>51</v>
      </c>
      <c r="C2107" t="s">
        <v>52</v>
      </c>
      <c r="D2107">
        <v>2022</v>
      </c>
      <c r="E2107" t="s">
        <v>31</v>
      </c>
      <c r="F2107" t="s">
        <v>77</v>
      </c>
      <c r="G2107" t="s">
        <v>31</v>
      </c>
      <c r="H2107" t="s">
        <v>27</v>
      </c>
      <c r="I2107" t="s">
        <v>27</v>
      </c>
      <c r="J2107" t="s">
        <v>33</v>
      </c>
      <c r="K2107">
        <v>1000</v>
      </c>
      <c r="L2107" t="s">
        <v>31</v>
      </c>
      <c r="M2107">
        <v>90.902697459526607</v>
      </c>
    </row>
    <row r="2108" spans="1:13" hidden="1" x14ac:dyDescent="0.3">
      <c r="A2108" t="s">
        <v>1339</v>
      </c>
      <c r="B2108" t="s">
        <v>51</v>
      </c>
      <c r="C2108" t="s">
        <v>52</v>
      </c>
      <c r="D2108">
        <v>2022</v>
      </c>
      <c r="E2108">
        <v>204000</v>
      </c>
      <c r="F2108" t="s">
        <v>90</v>
      </c>
      <c r="G2108" t="s">
        <v>54</v>
      </c>
      <c r="H2108" t="s">
        <v>27</v>
      </c>
      <c r="I2108" t="s">
        <v>27</v>
      </c>
      <c r="J2108" t="s">
        <v>27</v>
      </c>
      <c r="K2108">
        <v>2890023</v>
      </c>
      <c r="L2108">
        <v>224416</v>
      </c>
      <c r="M2108">
        <v>90.902697459526607</v>
      </c>
    </row>
    <row r="2109" spans="1:13" hidden="1" x14ac:dyDescent="0.3">
      <c r="A2109" t="s">
        <v>1340</v>
      </c>
      <c r="B2109" t="s">
        <v>51</v>
      </c>
      <c r="C2109" t="s">
        <v>52</v>
      </c>
      <c r="D2109">
        <v>2022</v>
      </c>
      <c r="E2109">
        <v>25000</v>
      </c>
      <c r="F2109" t="s">
        <v>242</v>
      </c>
      <c r="G2109" t="s">
        <v>31</v>
      </c>
      <c r="H2109" t="s">
        <v>27</v>
      </c>
      <c r="I2109" t="s">
        <v>27</v>
      </c>
      <c r="J2109" t="s">
        <v>27</v>
      </c>
      <c r="K2109">
        <v>2300</v>
      </c>
      <c r="L2109">
        <v>27502</v>
      </c>
      <c r="M2109">
        <v>90.902697459526607</v>
      </c>
    </row>
    <row r="2110" spans="1:13" hidden="1" x14ac:dyDescent="0.3">
      <c r="A2110" t="s">
        <v>1341</v>
      </c>
      <c r="B2110" t="s">
        <v>28</v>
      </c>
      <c r="C2110" t="s">
        <v>30</v>
      </c>
      <c r="D2110">
        <v>2022</v>
      </c>
      <c r="E2110" t="s">
        <v>31</v>
      </c>
      <c r="F2110" t="s">
        <v>115</v>
      </c>
      <c r="G2110" t="s">
        <v>37</v>
      </c>
      <c r="H2110" t="s">
        <v>27</v>
      </c>
      <c r="I2110" t="s">
        <v>27</v>
      </c>
      <c r="J2110" t="s">
        <v>27</v>
      </c>
      <c r="K2110">
        <v>100</v>
      </c>
      <c r="L2110" t="s">
        <v>31</v>
      </c>
      <c r="M2110">
        <v>90.902697459526607</v>
      </c>
    </row>
    <row r="2111" spans="1:13" hidden="1" x14ac:dyDescent="0.3">
      <c r="A2111" t="s">
        <v>1342</v>
      </c>
      <c r="B2111" t="s">
        <v>51</v>
      </c>
      <c r="C2111" t="s">
        <v>121</v>
      </c>
      <c r="D2111">
        <v>2022</v>
      </c>
      <c r="E2111" t="s">
        <v>31</v>
      </c>
      <c r="F2111" t="s">
        <v>109</v>
      </c>
      <c r="G2111" t="s">
        <v>54</v>
      </c>
      <c r="H2111" t="s">
        <v>27</v>
      </c>
      <c r="I2111" t="s">
        <v>27</v>
      </c>
      <c r="J2111" t="s">
        <v>27</v>
      </c>
      <c r="K2111">
        <v>600</v>
      </c>
      <c r="L2111" t="s">
        <v>31</v>
      </c>
      <c r="M2111">
        <v>90.902697459526607</v>
      </c>
    </row>
    <row r="2112" spans="1:13" hidden="1" x14ac:dyDescent="0.3">
      <c r="A2112" t="s">
        <v>1343</v>
      </c>
      <c r="B2112" t="s">
        <v>51</v>
      </c>
      <c r="C2112" t="s">
        <v>52</v>
      </c>
      <c r="D2112">
        <v>2022</v>
      </c>
      <c r="E2112">
        <v>1500000</v>
      </c>
      <c r="F2112" t="s">
        <v>34</v>
      </c>
      <c r="G2112" t="s">
        <v>31</v>
      </c>
      <c r="H2112" t="s">
        <v>27</v>
      </c>
      <c r="I2112" t="s">
        <v>27</v>
      </c>
      <c r="J2112" t="s">
        <v>33</v>
      </c>
      <c r="K2112">
        <v>475</v>
      </c>
      <c r="L2112">
        <v>1650116</v>
      </c>
      <c r="M2112">
        <v>90.902697459526607</v>
      </c>
    </row>
    <row r="2113" spans="1:13" hidden="1" x14ac:dyDescent="0.3">
      <c r="A2113" t="s">
        <v>1344</v>
      </c>
      <c r="B2113" t="s">
        <v>51</v>
      </c>
      <c r="C2113" t="s">
        <v>52</v>
      </c>
      <c r="D2113">
        <v>2022</v>
      </c>
      <c r="E2113" t="s">
        <v>31</v>
      </c>
      <c r="F2113" t="s">
        <v>70</v>
      </c>
      <c r="G2113" t="s">
        <v>31</v>
      </c>
      <c r="H2113" t="s">
        <v>27</v>
      </c>
      <c r="I2113" t="s">
        <v>27</v>
      </c>
      <c r="J2113" t="s">
        <v>27</v>
      </c>
      <c r="K2113">
        <v>2000</v>
      </c>
      <c r="L2113" t="s">
        <v>31</v>
      </c>
      <c r="M2113">
        <v>90.902697459526607</v>
      </c>
    </row>
    <row r="2114" spans="1:13" hidden="1" x14ac:dyDescent="0.3">
      <c r="A2114" t="s">
        <v>1345</v>
      </c>
      <c r="B2114" t="s">
        <v>51</v>
      </c>
      <c r="C2114" t="s">
        <v>56</v>
      </c>
      <c r="D2114">
        <v>2022</v>
      </c>
      <c r="E2114" t="s">
        <v>31</v>
      </c>
      <c r="F2114" t="s">
        <v>73</v>
      </c>
      <c r="G2114" t="s">
        <v>31</v>
      </c>
      <c r="H2114" t="s">
        <v>27</v>
      </c>
      <c r="I2114" t="s">
        <v>27</v>
      </c>
      <c r="J2114" t="s">
        <v>27</v>
      </c>
      <c r="K2114">
        <v>1050</v>
      </c>
      <c r="L2114" t="s">
        <v>31</v>
      </c>
      <c r="M2114">
        <v>90.902697459526607</v>
      </c>
    </row>
    <row r="2115" spans="1:13" hidden="1" x14ac:dyDescent="0.3">
      <c r="A2115" t="s">
        <v>1346</v>
      </c>
      <c r="B2115" t="s">
        <v>51</v>
      </c>
      <c r="C2115" t="s">
        <v>134</v>
      </c>
      <c r="D2115">
        <v>2022</v>
      </c>
      <c r="E2115" t="s">
        <v>31</v>
      </c>
      <c r="F2115" t="s">
        <v>70</v>
      </c>
      <c r="G2115" t="s">
        <v>37</v>
      </c>
      <c r="H2115" t="s">
        <v>27</v>
      </c>
      <c r="I2115" t="s">
        <v>27</v>
      </c>
      <c r="J2115" t="s">
        <v>27</v>
      </c>
      <c r="K2115">
        <v>150</v>
      </c>
      <c r="L2115" t="s">
        <v>31</v>
      </c>
      <c r="M2115">
        <v>90.902697459526607</v>
      </c>
    </row>
    <row r="2116" spans="1:13" hidden="1" x14ac:dyDescent="0.3">
      <c r="A2116" t="s">
        <v>1347</v>
      </c>
      <c r="B2116" t="s">
        <v>51</v>
      </c>
      <c r="C2116" t="s">
        <v>134</v>
      </c>
      <c r="D2116">
        <v>2022</v>
      </c>
      <c r="E2116" t="s">
        <v>31</v>
      </c>
      <c r="F2116" t="s">
        <v>47</v>
      </c>
      <c r="G2116" t="s">
        <v>31</v>
      </c>
      <c r="H2116" t="s">
        <v>27</v>
      </c>
      <c r="I2116" t="s">
        <v>27</v>
      </c>
      <c r="J2116" t="s">
        <v>27</v>
      </c>
      <c r="K2116">
        <v>2018</v>
      </c>
      <c r="L2116" t="s">
        <v>31</v>
      </c>
      <c r="M2116">
        <v>90.902697459526607</v>
      </c>
    </row>
    <row r="2117" spans="1:13" hidden="1" x14ac:dyDescent="0.3">
      <c r="A2117" t="s">
        <v>1348</v>
      </c>
      <c r="B2117" t="s">
        <v>51</v>
      </c>
      <c r="C2117" t="s">
        <v>52</v>
      </c>
      <c r="D2117">
        <v>2022</v>
      </c>
      <c r="E2117" t="s">
        <v>31</v>
      </c>
      <c r="F2117" t="s">
        <v>47</v>
      </c>
      <c r="G2117" t="s">
        <v>54</v>
      </c>
      <c r="H2117" t="s">
        <v>27</v>
      </c>
      <c r="I2117" t="s">
        <v>27</v>
      </c>
      <c r="J2117" t="s">
        <v>27</v>
      </c>
      <c r="K2117">
        <v>270</v>
      </c>
      <c r="L2117" t="s">
        <v>31</v>
      </c>
      <c r="M2117">
        <v>90.902697459526607</v>
      </c>
    </row>
    <row r="2118" spans="1:13" hidden="1" x14ac:dyDescent="0.3">
      <c r="A2118" t="s">
        <v>1349</v>
      </c>
      <c r="B2118" t="s">
        <v>28</v>
      </c>
      <c r="C2118" t="s">
        <v>189</v>
      </c>
      <c r="D2118">
        <v>2022</v>
      </c>
      <c r="E2118">
        <v>1000000</v>
      </c>
      <c r="F2118" t="s">
        <v>34</v>
      </c>
      <c r="G2118" t="s">
        <v>82</v>
      </c>
      <c r="H2118" t="s">
        <v>27</v>
      </c>
      <c r="I2118" t="s">
        <v>27</v>
      </c>
      <c r="J2118" t="s">
        <v>33</v>
      </c>
      <c r="K2118">
        <v>717</v>
      </c>
      <c r="L2118">
        <v>1100077</v>
      </c>
      <c r="M2118">
        <v>90.902697459526607</v>
      </c>
    </row>
    <row r="2119" spans="1:13" x14ac:dyDescent="0.3">
      <c r="A2119" t="s">
        <v>1938</v>
      </c>
      <c r="B2119" t="s">
        <v>51</v>
      </c>
      <c r="C2119" t="s">
        <v>52</v>
      </c>
      <c r="D2119">
        <v>2022</v>
      </c>
      <c r="E2119">
        <v>72000</v>
      </c>
      <c r="F2119" t="s">
        <v>119</v>
      </c>
      <c r="G2119" t="s">
        <v>54</v>
      </c>
      <c r="H2119" t="s">
        <v>27</v>
      </c>
      <c r="I2119" t="s">
        <v>27</v>
      </c>
      <c r="J2119" t="s">
        <v>27</v>
      </c>
      <c r="K2119">
        <v>3012</v>
      </c>
      <c r="L2119">
        <v>79206</v>
      </c>
      <c r="M2119">
        <v>90.902697459526607</v>
      </c>
    </row>
    <row r="2120" spans="1:13" hidden="1" x14ac:dyDescent="0.3">
      <c r="A2120" t="s">
        <v>1939</v>
      </c>
      <c r="B2120" t="s">
        <v>28</v>
      </c>
      <c r="C2120" t="s">
        <v>30</v>
      </c>
      <c r="D2120">
        <v>2022</v>
      </c>
      <c r="E2120" t="s">
        <v>31</v>
      </c>
      <c r="F2120" t="s">
        <v>81</v>
      </c>
      <c r="G2120" t="s">
        <v>37</v>
      </c>
      <c r="H2120" t="s">
        <v>27</v>
      </c>
      <c r="I2120" t="s">
        <v>27</v>
      </c>
      <c r="J2120" t="s">
        <v>27</v>
      </c>
      <c r="K2120">
        <v>3012</v>
      </c>
      <c r="L2120" t="s">
        <v>31</v>
      </c>
      <c r="M2120">
        <v>90.902697459526607</v>
      </c>
    </row>
    <row r="2121" spans="1:13" hidden="1" x14ac:dyDescent="0.3">
      <c r="A2121" t="s">
        <v>1940</v>
      </c>
      <c r="B2121" t="s">
        <v>51</v>
      </c>
      <c r="C2121" t="s">
        <v>52</v>
      </c>
      <c r="D2121">
        <v>2022</v>
      </c>
      <c r="E2121">
        <v>53000</v>
      </c>
      <c r="F2121" t="s">
        <v>109</v>
      </c>
      <c r="G2121" t="s">
        <v>31</v>
      </c>
      <c r="H2121" t="s">
        <v>27</v>
      </c>
      <c r="I2121" t="s">
        <v>27</v>
      </c>
      <c r="J2121" t="s">
        <v>27</v>
      </c>
      <c r="K2121">
        <v>7322</v>
      </c>
      <c r="L2121">
        <v>58304</v>
      </c>
      <c r="M2121">
        <v>90.902697459526607</v>
      </c>
    </row>
    <row r="2122" spans="1:13" hidden="1" x14ac:dyDescent="0.3">
      <c r="A2122" t="s">
        <v>1941</v>
      </c>
      <c r="B2122" t="s">
        <v>51</v>
      </c>
      <c r="C2122" t="s">
        <v>52</v>
      </c>
      <c r="D2122">
        <v>2022</v>
      </c>
      <c r="E2122" t="s">
        <v>31</v>
      </c>
      <c r="F2122" t="s">
        <v>75</v>
      </c>
      <c r="G2122" t="s">
        <v>31</v>
      </c>
      <c r="H2122" t="s">
        <v>27</v>
      </c>
      <c r="I2122" t="s">
        <v>27</v>
      </c>
      <c r="J2122" t="s">
        <v>27</v>
      </c>
      <c r="K2122">
        <v>257</v>
      </c>
      <c r="L2122" t="s">
        <v>31</v>
      </c>
      <c r="M2122">
        <v>90.902697459526607</v>
      </c>
    </row>
    <row r="2123" spans="1:13" hidden="1" x14ac:dyDescent="0.3">
      <c r="A2123" t="s">
        <v>1942</v>
      </c>
      <c r="B2123" t="s">
        <v>28</v>
      </c>
      <c r="C2123" t="s">
        <v>97</v>
      </c>
      <c r="D2123">
        <v>2022</v>
      </c>
      <c r="E2123">
        <v>3000000</v>
      </c>
      <c r="F2123" t="s">
        <v>34</v>
      </c>
      <c r="G2123" t="s">
        <v>65</v>
      </c>
      <c r="H2123" t="s">
        <v>27</v>
      </c>
      <c r="I2123" t="s">
        <v>27</v>
      </c>
      <c r="J2123" t="s">
        <v>33</v>
      </c>
      <c r="K2123">
        <v>50</v>
      </c>
      <c r="L2123">
        <v>3300232</v>
      </c>
      <c r="M2123">
        <v>90.902697459526607</v>
      </c>
    </row>
    <row r="2124" spans="1:13" hidden="1" x14ac:dyDescent="0.3">
      <c r="A2124" t="s">
        <v>1943</v>
      </c>
      <c r="B2124" t="s">
        <v>51</v>
      </c>
      <c r="C2124" t="s">
        <v>134</v>
      </c>
      <c r="D2124">
        <v>2022</v>
      </c>
      <c r="E2124" t="s">
        <v>31</v>
      </c>
      <c r="F2124" t="s">
        <v>53</v>
      </c>
      <c r="G2124" t="s">
        <v>37</v>
      </c>
      <c r="H2124" t="s">
        <v>27</v>
      </c>
      <c r="I2124" t="s">
        <v>27</v>
      </c>
      <c r="J2124" t="s">
        <v>27</v>
      </c>
      <c r="K2124">
        <v>3113</v>
      </c>
      <c r="L2124" t="s">
        <v>31</v>
      </c>
      <c r="M2124">
        <v>90.902697459526607</v>
      </c>
    </row>
    <row r="2125" spans="1:13" hidden="1" x14ac:dyDescent="0.3">
      <c r="A2125" t="s">
        <v>1945</v>
      </c>
      <c r="B2125" t="s">
        <v>28</v>
      </c>
      <c r="C2125" t="s">
        <v>64</v>
      </c>
      <c r="D2125">
        <v>2022</v>
      </c>
      <c r="E2125">
        <v>1300000</v>
      </c>
      <c r="F2125" t="s">
        <v>34</v>
      </c>
      <c r="G2125" t="s">
        <v>100</v>
      </c>
      <c r="H2125" t="s">
        <v>27</v>
      </c>
      <c r="I2125" t="s">
        <v>27</v>
      </c>
      <c r="J2125" t="s">
        <v>27</v>
      </c>
      <c r="K2125">
        <v>90</v>
      </c>
      <c r="L2125">
        <v>1430101</v>
      </c>
      <c r="M2125">
        <v>90.902697459526607</v>
      </c>
    </row>
    <row r="2126" spans="1:13" x14ac:dyDescent="0.3">
      <c r="A2126" t="s">
        <v>1946</v>
      </c>
      <c r="B2126" t="s">
        <v>51</v>
      </c>
      <c r="C2126" t="s">
        <v>52</v>
      </c>
      <c r="D2126">
        <v>2022</v>
      </c>
      <c r="E2126">
        <v>136000</v>
      </c>
      <c r="F2126" t="s">
        <v>119</v>
      </c>
      <c r="G2126" t="s">
        <v>54</v>
      </c>
      <c r="H2126" t="s">
        <v>27</v>
      </c>
      <c r="I2126" t="s">
        <v>27</v>
      </c>
      <c r="J2126" t="s">
        <v>27</v>
      </c>
      <c r="K2126">
        <v>31500</v>
      </c>
      <c r="L2126">
        <v>149611</v>
      </c>
      <c r="M2126">
        <v>90.902697459526607</v>
      </c>
    </row>
    <row r="2127" spans="1:13" hidden="1" x14ac:dyDescent="0.3">
      <c r="A2127" t="s">
        <v>1947</v>
      </c>
      <c r="B2127" t="s">
        <v>51</v>
      </c>
      <c r="C2127" t="s">
        <v>52</v>
      </c>
      <c r="D2127">
        <v>2022</v>
      </c>
      <c r="E2127" t="s">
        <v>31</v>
      </c>
      <c r="F2127" t="s">
        <v>47</v>
      </c>
      <c r="G2127" t="s">
        <v>54</v>
      </c>
      <c r="H2127" t="s">
        <v>27</v>
      </c>
      <c r="I2127" t="s">
        <v>27</v>
      </c>
      <c r="J2127" t="s">
        <v>27</v>
      </c>
      <c r="K2127">
        <v>5514</v>
      </c>
      <c r="L2127" t="s">
        <v>31</v>
      </c>
      <c r="M2127">
        <v>90.902697459526607</v>
      </c>
    </row>
    <row r="2128" spans="1:13" hidden="1" x14ac:dyDescent="0.3">
      <c r="A2128" t="s">
        <v>1948</v>
      </c>
      <c r="B2128" t="s">
        <v>28</v>
      </c>
      <c r="C2128" t="s">
        <v>97</v>
      </c>
      <c r="D2128">
        <v>2022</v>
      </c>
      <c r="E2128">
        <v>3200000</v>
      </c>
      <c r="F2128" t="s">
        <v>34</v>
      </c>
      <c r="G2128" t="s">
        <v>31</v>
      </c>
      <c r="H2128" t="s">
        <v>27</v>
      </c>
      <c r="I2128" t="s">
        <v>27</v>
      </c>
      <c r="J2128" t="s">
        <v>27</v>
      </c>
      <c r="K2128" t="s">
        <v>31</v>
      </c>
      <c r="L2128">
        <v>3520248</v>
      </c>
      <c r="M2128">
        <v>90.902697459526607</v>
      </c>
    </row>
    <row r="2129" spans="1:13" hidden="1" x14ac:dyDescent="0.3">
      <c r="A2129" t="s">
        <v>1949</v>
      </c>
      <c r="B2129" t="s">
        <v>28</v>
      </c>
      <c r="C2129" t="s">
        <v>97</v>
      </c>
      <c r="D2129">
        <v>2022</v>
      </c>
      <c r="E2129">
        <v>2800000</v>
      </c>
      <c r="F2129" t="s">
        <v>34</v>
      </c>
      <c r="G2129" t="s">
        <v>100</v>
      </c>
      <c r="H2129" t="s">
        <v>27</v>
      </c>
      <c r="I2129" t="s">
        <v>27</v>
      </c>
      <c r="J2129" t="s">
        <v>27</v>
      </c>
      <c r="K2129">
        <v>43</v>
      </c>
      <c r="L2129">
        <v>3080217</v>
      </c>
      <c r="M2129">
        <v>90.902697459526607</v>
      </c>
    </row>
    <row r="2130" spans="1:13" hidden="1" x14ac:dyDescent="0.3">
      <c r="A2130" t="s">
        <v>1950</v>
      </c>
      <c r="B2130" t="s">
        <v>51</v>
      </c>
      <c r="C2130" t="s">
        <v>52</v>
      </c>
      <c r="D2130">
        <v>2022</v>
      </c>
      <c r="E2130" t="s">
        <v>31</v>
      </c>
      <c r="F2130" t="s">
        <v>47</v>
      </c>
      <c r="G2130" t="s">
        <v>54</v>
      </c>
      <c r="H2130" t="s">
        <v>27</v>
      </c>
      <c r="I2130" t="s">
        <v>27</v>
      </c>
      <c r="J2130" t="s">
        <v>27</v>
      </c>
      <c r="K2130">
        <v>8101</v>
      </c>
      <c r="L2130" t="s">
        <v>31</v>
      </c>
      <c r="M2130">
        <v>90.902697459526607</v>
      </c>
    </row>
    <row r="2131" spans="1:13" hidden="1" x14ac:dyDescent="0.3">
      <c r="A2131" t="s">
        <v>1951</v>
      </c>
      <c r="B2131" t="s">
        <v>28</v>
      </c>
      <c r="C2131" t="s">
        <v>189</v>
      </c>
      <c r="D2131">
        <v>2022</v>
      </c>
      <c r="E2131" t="s">
        <v>31</v>
      </c>
      <c r="F2131" t="s">
        <v>77</v>
      </c>
      <c r="G2131" t="s">
        <v>37</v>
      </c>
      <c r="H2131" t="s">
        <v>27</v>
      </c>
      <c r="I2131" t="s">
        <v>33</v>
      </c>
      <c r="J2131" t="s">
        <v>33</v>
      </c>
      <c r="K2131" t="s">
        <v>31</v>
      </c>
      <c r="L2131" t="s">
        <v>31</v>
      </c>
      <c r="M2131">
        <v>90.902697459526607</v>
      </c>
    </row>
    <row r="2132" spans="1:13" hidden="1" x14ac:dyDescent="0.3">
      <c r="A2132" t="s">
        <v>1952</v>
      </c>
      <c r="B2132" t="s">
        <v>39</v>
      </c>
      <c r="C2132" t="s">
        <v>142</v>
      </c>
      <c r="D2132">
        <v>2022</v>
      </c>
      <c r="E2132" t="s">
        <v>31</v>
      </c>
      <c r="F2132" t="s">
        <v>34</v>
      </c>
      <c r="G2132" t="s">
        <v>31</v>
      </c>
      <c r="H2132" t="s">
        <v>27</v>
      </c>
      <c r="I2132" t="s">
        <v>27</v>
      </c>
      <c r="J2132" t="s">
        <v>33</v>
      </c>
      <c r="K2132">
        <v>894</v>
      </c>
      <c r="L2132" t="s">
        <v>31</v>
      </c>
      <c r="M2132">
        <v>90.902697459526607</v>
      </c>
    </row>
    <row r="2133" spans="1:13" hidden="1" x14ac:dyDescent="0.3">
      <c r="A2133" t="s">
        <v>1953</v>
      </c>
      <c r="B2133" t="s">
        <v>51</v>
      </c>
      <c r="C2133" t="s">
        <v>52</v>
      </c>
      <c r="D2133">
        <v>2022</v>
      </c>
      <c r="E2133" t="s">
        <v>31</v>
      </c>
      <c r="F2133" t="s">
        <v>70</v>
      </c>
      <c r="G2133" t="s">
        <v>31</v>
      </c>
      <c r="H2133" t="s">
        <v>27</v>
      </c>
      <c r="I2133" t="s">
        <v>27</v>
      </c>
      <c r="J2133" t="s">
        <v>33</v>
      </c>
      <c r="K2133">
        <v>86800</v>
      </c>
      <c r="L2133" t="s">
        <v>31</v>
      </c>
      <c r="M2133">
        <v>90.902697459526607</v>
      </c>
    </row>
    <row r="2134" spans="1:13" hidden="1" x14ac:dyDescent="0.3">
      <c r="A2134" t="s">
        <v>1954</v>
      </c>
      <c r="B2134" t="s">
        <v>51</v>
      </c>
      <c r="C2134" t="s">
        <v>52</v>
      </c>
      <c r="D2134">
        <v>2022</v>
      </c>
      <c r="E2134">
        <v>21000</v>
      </c>
      <c r="F2134" t="s">
        <v>1925</v>
      </c>
      <c r="G2134" t="s">
        <v>31</v>
      </c>
      <c r="H2134" t="s">
        <v>27</v>
      </c>
      <c r="I2134" t="s">
        <v>27</v>
      </c>
      <c r="J2134" t="s">
        <v>33</v>
      </c>
      <c r="K2134">
        <v>9000</v>
      </c>
      <c r="L2134">
        <v>23102</v>
      </c>
      <c r="M2134">
        <v>90.902697459526607</v>
      </c>
    </row>
    <row r="2135" spans="1:13" hidden="1" x14ac:dyDescent="0.3">
      <c r="A2135" t="s">
        <v>1955</v>
      </c>
      <c r="B2135" t="s">
        <v>28</v>
      </c>
      <c r="C2135" t="s">
        <v>30</v>
      </c>
      <c r="D2135">
        <v>2022</v>
      </c>
      <c r="E2135">
        <v>51000</v>
      </c>
      <c r="F2135" t="s">
        <v>73</v>
      </c>
      <c r="G2135" t="s">
        <v>82</v>
      </c>
      <c r="H2135" t="s">
        <v>27</v>
      </c>
      <c r="I2135" t="s">
        <v>27</v>
      </c>
      <c r="J2135" t="s">
        <v>27</v>
      </c>
      <c r="K2135" t="s">
        <v>31</v>
      </c>
      <c r="L2135">
        <v>56104</v>
      </c>
      <c r="M2135">
        <v>90.902697459526607</v>
      </c>
    </row>
    <row r="2136" spans="1:13" hidden="1" x14ac:dyDescent="0.3">
      <c r="A2136" t="s">
        <v>1956</v>
      </c>
      <c r="B2136" t="s">
        <v>51</v>
      </c>
      <c r="C2136" t="s">
        <v>52</v>
      </c>
      <c r="D2136">
        <v>2022</v>
      </c>
      <c r="E2136" t="s">
        <v>31</v>
      </c>
      <c r="F2136" t="s">
        <v>73</v>
      </c>
      <c r="G2136" t="s">
        <v>31</v>
      </c>
      <c r="H2136" t="s">
        <v>27</v>
      </c>
      <c r="I2136" t="s">
        <v>27</v>
      </c>
      <c r="J2136" t="s">
        <v>33</v>
      </c>
      <c r="K2136">
        <v>2100</v>
      </c>
      <c r="L2136" t="s">
        <v>31</v>
      </c>
      <c r="M2136">
        <v>90.902697459526607</v>
      </c>
    </row>
    <row r="2137" spans="1:13" hidden="1" x14ac:dyDescent="0.3">
      <c r="A2137" t="s">
        <v>1957</v>
      </c>
      <c r="B2137" t="s">
        <v>28</v>
      </c>
      <c r="C2137" t="s">
        <v>30</v>
      </c>
      <c r="D2137">
        <v>2022</v>
      </c>
      <c r="E2137" t="s">
        <v>31</v>
      </c>
      <c r="F2137" t="s">
        <v>161</v>
      </c>
      <c r="G2137" t="s">
        <v>37</v>
      </c>
      <c r="H2137" t="s">
        <v>27</v>
      </c>
      <c r="I2137" t="s">
        <v>27</v>
      </c>
      <c r="J2137" t="s">
        <v>27</v>
      </c>
      <c r="K2137">
        <v>300000</v>
      </c>
      <c r="L2137" t="s">
        <v>31</v>
      </c>
      <c r="M2137">
        <v>90.902697459526607</v>
      </c>
    </row>
    <row r="2138" spans="1:13" hidden="1" x14ac:dyDescent="0.3">
      <c r="A2138" t="s">
        <v>1958</v>
      </c>
      <c r="B2138" t="s">
        <v>28</v>
      </c>
      <c r="C2138" t="s">
        <v>30</v>
      </c>
      <c r="D2138">
        <v>2022</v>
      </c>
      <c r="E2138">
        <v>17000</v>
      </c>
      <c r="F2138" t="s">
        <v>115</v>
      </c>
      <c r="G2138" t="s">
        <v>37</v>
      </c>
      <c r="H2138" t="s">
        <v>27</v>
      </c>
      <c r="I2138" t="s">
        <v>27</v>
      </c>
      <c r="J2138" t="s">
        <v>27</v>
      </c>
      <c r="K2138">
        <v>9273</v>
      </c>
      <c r="L2138">
        <v>18701</v>
      </c>
      <c r="M2138">
        <v>90.902697459526607</v>
      </c>
    </row>
    <row r="2139" spans="1:13" hidden="1" x14ac:dyDescent="0.3">
      <c r="A2139" t="s">
        <v>1959</v>
      </c>
      <c r="B2139" t="s">
        <v>28</v>
      </c>
      <c r="C2139" t="s">
        <v>30</v>
      </c>
      <c r="D2139">
        <v>2022</v>
      </c>
      <c r="E2139" t="s">
        <v>31</v>
      </c>
      <c r="F2139" t="s">
        <v>73</v>
      </c>
      <c r="G2139" t="s">
        <v>82</v>
      </c>
      <c r="H2139" t="s">
        <v>27</v>
      </c>
      <c r="I2139" t="s">
        <v>27</v>
      </c>
      <c r="J2139" t="s">
        <v>27</v>
      </c>
      <c r="K2139">
        <v>1000</v>
      </c>
      <c r="L2139" t="s">
        <v>31</v>
      </c>
      <c r="M2139">
        <v>90.902697459526607</v>
      </c>
    </row>
    <row r="2140" spans="1:13" hidden="1" x14ac:dyDescent="0.3">
      <c r="A2140" t="s">
        <v>1960</v>
      </c>
      <c r="B2140" t="s">
        <v>51</v>
      </c>
      <c r="C2140" t="s">
        <v>52</v>
      </c>
      <c r="D2140">
        <v>2022</v>
      </c>
      <c r="E2140" t="s">
        <v>31</v>
      </c>
      <c r="F2140" t="s">
        <v>47</v>
      </c>
      <c r="G2140" t="s">
        <v>402</v>
      </c>
      <c r="H2140" t="s">
        <v>27</v>
      </c>
      <c r="I2140" t="s">
        <v>27</v>
      </c>
      <c r="J2140" t="s">
        <v>27</v>
      </c>
      <c r="K2140">
        <v>167250</v>
      </c>
      <c r="L2140" t="s">
        <v>31</v>
      </c>
      <c r="M2140">
        <v>90.902697459526607</v>
      </c>
    </row>
    <row r="2141" spans="1:13" hidden="1" x14ac:dyDescent="0.3">
      <c r="A2141" t="s">
        <v>1961</v>
      </c>
      <c r="B2141" t="s">
        <v>28</v>
      </c>
      <c r="C2141" t="s">
        <v>30</v>
      </c>
      <c r="D2141">
        <v>2022</v>
      </c>
      <c r="E2141" t="s">
        <v>31</v>
      </c>
      <c r="F2141" t="s">
        <v>73</v>
      </c>
      <c r="G2141" t="s">
        <v>82</v>
      </c>
      <c r="H2141" t="s">
        <v>27</v>
      </c>
      <c r="I2141" t="s">
        <v>27</v>
      </c>
      <c r="J2141" t="s">
        <v>27</v>
      </c>
      <c r="K2141">
        <v>15000</v>
      </c>
      <c r="L2141" t="s">
        <v>31</v>
      </c>
      <c r="M2141">
        <v>90.902697459526607</v>
      </c>
    </row>
    <row r="2142" spans="1:13" hidden="1" x14ac:dyDescent="0.3">
      <c r="A2142" t="s">
        <v>1962</v>
      </c>
      <c r="B2142" t="s">
        <v>28</v>
      </c>
      <c r="C2142" t="s">
        <v>64</v>
      </c>
      <c r="D2142">
        <v>2022</v>
      </c>
      <c r="E2142" t="s">
        <v>31</v>
      </c>
      <c r="F2142" t="s">
        <v>70</v>
      </c>
      <c r="G2142" t="s">
        <v>104</v>
      </c>
      <c r="H2142" t="s">
        <v>27</v>
      </c>
      <c r="I2142" t="s">
        <v>27</v>
      </c>
      <c r="J2142" t="s">
        <v>27</v>
      </c>
      <c r="K2142">
        <v>30000</v>
      </c>
      <c r="L2142" t="s">
        <v>31</v>
      </c>
      <c r="M2142">
        <v>90.902697459526607</v>
      </c>
    </row>
    <row r="2143" spans="1:13" hidden="1" x14ac:dyDescent="0.3">
      <c r="A2143" t="s">
        <v>1963</v>
      </c>
      <c r="B2143" t="s">
        <v>51</v>
      </c>
      <c r="C2143" t="s">
        <v>52</v>
      </c>
      <c r="D2143">
        <v>2022</v>
      </c>
      <c r="E2143" t="s">
        <v>31</v>
      </c>
      <c r="F2143" t="s">
        <v>70</v>
      </c>
      <c r="G2143" t="s">
        <v>31</v>
      </c>
      <c r="H2143" t="s">
        <v>27</v>
      </c>
      <c r="I2143" t="s">
        <v>27</v>
      </c>
      <c r="J2143" t="s">
        <v>27</v>
      </c>
      <c r="K2143">
        <v>2000</v>
      </c>
      <c r="L2143" t="s">
        <v>31</v>
      </c>
      <c r="M2143">
        <v>90.902697459526607</v>
      </c>
    </row>
    <row r="2144" spans="1:13" hidden="1" x14ac:dyDescent="0.3">
      <c r="A2144" t="s">
        <v>1964</v>
      </c>
      <c r="B2144" t="s">
        <v>51</v>
      </c>
      <c r="C2144" t="s">
        <v>134</v>
      </c>
      <c r="D2144">
        <v>2022</v>
      </c>
      <c r="E2144" t="s">
        <v>31</v>
      </c>
      <c r="F2144" t="s">
        <v>47</v>
      </c>
      <c r="G2144" t="s">
        <v>31</v>
      </c>
      <c r="H2144" t="s">
        <v>27</v>
      </c>
      <c r="I2144" t="s">
        <v>27</v>
      </c>
      <c r="J2144" t="s">
        <v>27</v>
      </c>
      <c r="K2144">
        <v>6</v>
      </c>
      <c r="L2144" t="s">
        <v>31</v>
      </c>
      <c r="M2144">
        <v>90.902697459526607</v>
      </c>
    </row>
    <row r="2145" spans="1:13" hidden="1" x14ac:dyDescent="0.3">
      <c r="A2145" t="s">
        <v>1965</v>
      </c>
      <c r="B2145" t="s">
        <v>51</v>
      </c>
      <c r="C2145" t="s">
        <v>52</v>
      </c>
      <c r="D2145">
        <v>2022</v>
      </c>
      <c r="E2145" t="s">
        <v>31</v>
      </c>
      <c r="F2145" t="s">
        <v>70</v>
      </c>
      <c r="G2145" t="s">
        <v>54</v>
      </c>
      <c r="H2145" t="s">
        <v>27</v>
      </c>
      <c r="I2145" t="s">
        <v>27</v>
      </c>
      <c r="J2145" t="s">
        <v>27</v>
      </c>
      <c r="K2145">
        <v>900</v>
      </c>
      <c r="L2145" t="s">
        <v>31</v>
      </c>
      <c r="M2145">
        <v>90.902697459526607</v>
      </c>
    </row>
    <row r="2146" spans="1:13" hidden="1" x14ac:dyDescent="0.3">
      <c r="A2146" t="s">
        <v>1966</v>
      </c>
      <c r="B2146" t="s">
        <v>28</v>
      </c>
      <c r="C2146" t="s">
        <v>67</v>
      </c>
      <c r="D2146">
        <v>2022</v>
      </c>
      <c r="E2146">
        <v>179000</v>
      </c>
      <c r="F2146" t="s">
        <v>77</v>
      </c>
      <c r="G2146" t="s">
        <v>31</v>
      </c>
      <c r="H2146" t="s">
        <v>27</v>
      </c>
      <c r="I2146" t="s">
        <v>27</v>
      </c>
      <c r="J2146" t="s">
        <v>27</v>
      </c>
      <c r="K2146" t="s">
        <v>31</v>
      </c>
      <c r="L2146">
        <v>196914</v>
      </c>
      <c r="M2146">
        <v>90.902697459526607</v>
      </c>
    </row>
    <row r="2147" spans="1:13" hidden="1" x14ac:dyDescent="0.3">
      <c r="A2147" t="s">
        <v>1967</v>
      </c>
      <c r="B2147" t="s">
        <v>39</v>
      </c>
      <c r="C2147" t="s">
        <v>157</v>
      </c>
      <c r="D2147">
        <v>2022</v>
      </c>
      <c r="E2147">
        <v>4000000</v>
      </c>
      <c r="F2147" t="s">
        <v>119</v>
      </c>
      <c r="G2147" t="s">
        <v>31</v>
      </c>
      <c r="H2147" t="s">
        <v>27</v>
      </c>
      <c r="I2147" t="s">
        <v>27</v>
      </c>
      <c r="J2147" t="s">
        <v>27</v>
      </c>
      <c r="K2147" t="s">
        <v>31</v>
      </c>
      <c r="L2147">
        <v>4400309</v>
      </c>
      <c r="M2147">
        <v>90.902697459526607</v>
      </c>
    </row>
    <row r="2148" spans="1:13" hidden="1" x14ac:dyDescent="0.3">
      <c r="A2148" t="s">
        <v>2022</v>
      </c>
      <c r="B2148" t="s">
        <v>51</v>
      </c>
      <c r="C2148" t="s">
        <v>56</v>
      </c>
      <c r="D2148">
        <v>2022</v>
      </c>
      <c r="E2148" t="s">
        <v>31</v>
      </c>
      <c r="F2148" t="s">
        <v>246</v>
      </c>
      <c r="G2148" t="s">
        <v>31</v>
      </c>
      <c r="H2148" t="s">
        <v>27</v>
      </c>
      <c r="I2148" t="s">
        <v>27</v>
      </c>
      <c r="J2148" t="s">
        <v>27</v>
      </c>
      <c r="K2148">
        <v>5500</v>
      </c>
      <c r="L2148" t="s">
        <v>31</v>
      </c>
      <c r="M2148">
        <v>90.902697459526607</v>
      </c>
    </row>
    <row r="2149" spans="1:13" hidden="1" x14ac:dyDescent="0.3">
      <c r="A2149" t="s">
        <v>2028</v>
      </c>
      <c r="B2149" t="s">
        <v>91</v>
      </c>
      <c r="C2149" t="s">
        <v>105</v>
      </c>
      <c r="D2149">
        <v>2022</v>
      </c>
      <c r="E2149" t="s">
        <v>31</v>
      </c>
      <c r="F2149" t="s">
        <v>53</v>
      </c>
      <c r="G2149" t="s">
        <v>2029</v>
      </c>
      <c r="H2149" t="s">
        <v>27</v>
      </c>
      <c r="I2149" t="s">
        <v>27</v>
      </c>
      <c r="J2149" t="s">
        <v>33</v>
      </c>
      <c r="K2149" t="s">
        <v>31</v>
      </c>
      <c r="L2149" t="s">
        <v>31</v>
      </c>
      <c r="M2149">
        <v>90.902697459526607</v>
      </c>
    </row>
    <row r="2150" spans="1:13" hidden="1" x14ac:dyDescent="0.3">
      <c r="A2150" t="s">
        <v>2030</v>
      </c>
      <c r="B2150" t="s">
        <v>91</v>
      </c>
      <c r="C2150" t="s">
        <v>93</v>
      </c>
      <c r="D2150">
        <v>2022</v>
      </c>
      <c r="E2150" t="s">
        <v>31</v>
      </c>
      <c r="F2150" t="s">
        <v>45</v>
      </c>
      <c r="G2150" t="s">
        <v>31</v>
      </c>
      <c r="H2150" t="s">
        <v>27</v>
      </c>
      <c r="I2150" t="s">
        <v>27</v>
      </c>
      <c r="J2150" t="s">
        <v>27</v>
      </c>
      <c r="K2150">
        <v>1017</v>
      </c>
      <c r="L2150" t="s">
        <v>31</v>
      </c>
      <c r="M2150">
        <v>90.902697459526607</v>
      </c>
    </row>
    <row r="2151" spans="1:13" hidden="1" x14ac:dyDescent="0.3">
      <c r="A2151" t="s">
        <v>2031</v>
      </c>
      <c r="B2151" t="s">
        <v>51</v>
      </c>
      <c r="C2151" t="s">
        <v>52</v>
      </c>
      <c r="D2151">
        <v>2022</v>
      </c>
      <c r="E2151" t="s">
        <v>31</v>
      </c>
      <c r="F2151" t="s">
        <v>49</v>
      </c>
      <c r="G2151" t="s">
        <v>31</v>
      </c>
      <c r="H2151" t="s">
        <v>27</v>
      </c>
      <c r="I2151" t="s">
        <v>27</v>
      </c>
      <c r="J2151" t="s">
        <v>27</v>
      </c>
      <c r="K2151">
        <v>1800</v>
      </c>
      <c r="L2151" t="s">
        <v>31</v>
      </c>
      <c r="M2151">
        <v>90.902697459526607</v>
      </c>
    </row>
    <row r="2152" spans="1:13" x14ac:dyDescent="0.3">
      <c r="A2152" t="s">
        <v>2032</v>
      </c>
      <c r="B2152" t="s">
        <v>51</v>
      </c>
      <c r="C2152" t="s">
        <v>52</v>
      </c>
      <c r="D2152">
        <v>2022</v>
      </c>
      <c r="E2152">
        <v>27000</v>
      </c>
      <c r="F2152" t="s">
        <v>119</v>
      </c>
      <c r="G2152" t="s">
        <v>54</v>
      </c>
      <c r="H2152" t="s">
        <v>27</v>
      </c>
      <c r="I2152" t="s">
        <v>27</v>
      </c>
      <c r="J2152" t="s">
        <v>33</v>
      </c>
      <c r="K2152">
        <v>16083</v>
      </c>
      <c r="L2152">
        <v>29702</v>
      </c>
      <c r="M2152">
        <v>90.902697459526607</v>
      </c>
    </row>
    <row r="2153" spans="1:13" hidden="1" x14ac:dyDescent="0.3">
      <c r="A2153" t="s">
        <v>2033</v>
      </c>
      <c r="B2153" t="s">
        <v>51</v>
      </c>
      <c r="C2153" t="s">
        <v>52</v>
      </c>
      <c r="D2153">
        <v>2022</v>
      </c>
      <c r="E2153" t="s">
        <v>31</v>
      </c>
      <c r="F2153" t="s">
        <v>111</v>
      </c>
      <c r="G2153" t="s">
        <v>31</v>
      </c>
      <c r="H2153" t="s">
        <v>27</v>
      </c>
      <c r="I2153" t="s">
        <v>27</v>
      </c>
      <c r="J2153" t="s">
        <v>27</v>
      </c>
      <c r="K2153">
        <v>375000</v>
      </c>
      <c r="L2153" t="s">
        <v>31</v>
      </c>
      <c r="M2153">
        <v>90.902697459526607</v>
      </c>
    </row>
    <row r="2154" spans="1:13" hidden="1" x14ac:dyDescent="0.3">
      <c r="A2154" t="s">
        <v>2034</v>
      </c>
      <c r="B2154" t="s">
        <v>51</v>
      </c>
      <c r="C2154" t="s">
        <v>52</v>
      </c>
      <c r="D2154">
        <v>2022</v>
      </c>
      <c r="E2154">
        <v>11000</v>
      </c>
      <c r="F2154" t="s">
        <v>47</v>
      </c>
      <c r="G2154" t="s">
        <v>54</v>
      </c>
      <c r="H2154" t="s">
        <v>27</v>
      </c>
      <c r="I2154" t="s">
        <v>27</v>
      </c>
      <c r="J2154" t="s">
        <v>27</v>
      </c>
      <c r="K2154">
        <v>1650</v>
      </c>
      <c r="L2154">
        <v>12101</v>
      </c>
      <c r="M2154">
        <v>90.902697459526607</v>
      </c>
    </row>
    <row r="2155" spans="1:13" hidden="1" x14ac:dyDescent="0.3">
      <c r="A2155" t="s">
        <v>2035</v>
      </c>
      <c r="B2155" t="s">
        <v>51</v>
      </c>
      <c r="C2155" t="s">
        <v>52</v>
      </c>
      <c r="D2155">
        <v>2022</v>
      </c>
      <c r="E2155" t="s">
        <v>31</v>
      </c>
      <c r="F2155" t="s">
        <v>109</v>
      </c>
      <c r="G2155" t="s">
        <v>54</v>
      </c>
      <c r="H2155" t="s">
        <v>27</v>
      </c>
      <c r="I2155" t="s">
        <v>27</v>
      </c>
      <c r="J2155" t="s">
        <v>27</v>
      </c>
      <c r="K2155">
        <v>108</v>
      </c>
      <c r="L2155" t="s">
        <v>31</v>
      </c>
      <c r="M2155">
        <v>90.902697459526607</v>
      </c>
    </row>
    <row r="2156" spans="1:13" hidden="1" x14ac:dyDescent="0.3">
      <c r="A2156" t="s">
        <v>2036</v>
      </c>
      <c r="B2156" t="s">
        <v>51</v>
      </c>
      <c r="C2156" t="s">
        <v>52</v>
      </c>
      <c r="D2156">
        <v>2022</v>
      </c>
      <c r="E2156" t="s">
        <v>31</v>
      </c>
      <c r="F2156" t="s">
        <v>47</v>
      </c>
      <c r="G2156" t="s">
        <v>54</v>
      </c>
      <c r="H2156" t="s">
        <v>27</v>
      </c>
      <c r="I2156" t="s">
        <v>27</v>
      </c>
      <c r="J2156" t="s">
        <v>27</v>
      </c>
      <c r="K2156">
        <v>25</v>
      </c>
      <c r="L2156" t="s">
        <v>31</v>
      </c>
      <c r="M2156">
        <v>90.902697459526607</v>
      </c>
    </row>
    <row r="2157" spans="1:13" hidden="1" x14ac:dyDescent="0.3">
      <c r="A2157" t="s">
        <v>2037</v>
      </c>
      <c r="B2157" t="s">
        <v>51</v>
      </c>
      <c r="C2157" t="s">
        <v>52</v>
      </c>
      <c r="D2157">
        <v>2022</v>
      </c>
      <c r="E2157" t="s">
        <v>31</v>
      </c>
      <c r="F2157" t="s">
        <v>47</v>
      </c>
      <c r="G2157" t="s">
        <v>54</v>
      </c>
      <c r="H2157" t="s">
        <v>27</v>
      </c>
      <c r="I2157" t="s">
        <v>27</v>
      </c>
      <c r="J2157" t="s">
        <v>27</v>
      </c>
      <c r="K2157" t="s">
        <v>31</v>
      </c>
      <c r="L2157" t="s">
        <v>31</v>
      </c>
      <c r="M2157">
        <v>90.902697459526607</v>
      </c>
    </row>
    <row r="2158" spans="1:13" hidden="1" x14ac:dyDescent="0.3">
      <c r="A2158" t="s">
        <v>2038</v>
      </c>
      <c r="B2158" t="s">
        <v>51</v>
      </c>
      <c r="C2158" t="s">
        <v>52</v>
      </c>
      <c r="D2158">
        <v>2022</v>
      </c>
      <c r="E2158" t="s">
        <v>31</v>
      </c>
      <c r="F2158" t="s">
        <v>109</v>
      </c>
      <c r="G2158" t="s">
        <v>31</v>
      </c>
      <c r="H2158" t="s">
        <v>27</v>
      </c>
      <c r="I2158" t="s">
        <v>27</v>
      </c>
      <c r="J2158" t="s">
        <v>33</v>
      </c>
      <c r="K2158">
        <v>26749</v>
      </c>
      <c r="L2158" t="s">
        <v>31</v>
      </c>
      <c r="M2158">
        <v>90.902697459526607</v>
      </c>
    </row>
    <row r="2159" spans="1:13" hidden="1" x14ac:dyDescent="0.3">
      <c r="A2159" t="s">
        <v>2039</v>
      </c>
      <c r="B2159" t="s">
        <v>28</v>
      </c>
      <c r="C2159" t="s">
        <v>189</v>
      </c>
      <c r="D2159">
        <v>2022</v>
      </c>
      <c r="E2159">
        <v>1200000</v>
      </c>
      <c r="F2159" t="s">
        <v>34</v>
      </c>
      <c r="G2159" t="s">
        <v>100</v>
      </c>
      <c r="H2159" t="s">
        <v>27</v>
      </c>
      <c r="I2159" t="s">
        <v>27</v>
      </c>
      <c r="J2159" t="s">
        <v>33</v>
      </c>
      <c r="K2159" t="s">
        <v>31</v>
      </c>
      <c r="L2159">
        <v>1320093</v>
      </c>
      <c r="M2159">
        <v>90.902697459526607</v>
      </c>
    </row>
    <row r="2160" spans="1:13" hidden="1" x14ac:dyDescent="0.3">
      <c r="A2160" t="s">
        <v>2040</v>
      </c>
      <c r="B2160" t="s">
        <v>51</v>
      </c>
      <c r="C2160" t="s">
        <v>52</v>
      </c>
      <c r="D2160">
        <v>2022</v>
      </c>
      <c r="E2160">
        <v>36000</v>
      </c>
      <c r="F2160" t="s">
        <v>77</v>
      </c>
      <c r="G2160" t="s">
        <v>31</v>
      </c>
      <c r="H2160" t="s">
        <v>27</v>
      </c>
      <c r="I2160" t="s">
        <v>27</v>
      </c>
      <c r="J2160" t="s">
        <v>33</v>
      </c>
      <c r="K2160">
        <v>1000</v>
      </c>
      <c r="L2160">
        <v>39603</v>
      </c>
      <c r="M2160">
        <v>90.902697459526607</v>
      </c>
    </row>
    <row r="2161" spans="1:13" hidden="1" x14ac:dyDescent="0.3">
      <c r="A2161" t="s">
        <v>2041</v>
      </c>
      <c r="B2161" t="s">
        <v>51</v>
      </c>
      <c r="C2161" t="s">
        <v>52</v>
      </c>
      <c r="D2161">
        <v>2022</v>
      </c>
      <c r="E2161" t="s">
        <v>31</v>
      </c>
      <c r="F2161" t="s">
        <v>604</v>
      </c>
      <c r="G2161" t="s">
        <v>31</v>
      </c>
      <c r="H2161" t="s">
        <v>27</v>
      </c>
      <c r="I2161" t="s">
        <v>27</v>
      </c>
      <c r="J2161" t="s">
        <v>27</v>
      </c>
      <c r="K2161">
        <v>500</v>
      </c>
      <c r="L2161" t="s">
        <v>31</v>
      </c>
      <c r="M2161">
        <v>90.902697459526607</v>
      </c>
    </row>
    <row r="2162" spans="1:13" x14ac:dyDescent="0.3">
      <c r="A2162" t="s">
        <v>2042</v>
      </c>
      <c r="B2162" t="s">
        <v>51</v>
      </c>
      <c r="C2162" t="s">
        <v>52</v>
      </c>
      <c r="D2162">
        <v>2022</v>
      </c>
      <c r="E2162">
        <v>459000</v>
      </c>
      <c r="F2162" t="s">
        <v>119</v>
      </c>
      <c r="G2162" t="s">
        <v>54</v>
      </c>
      <c r="H2162" t="s">
        <v>27</v>
      </c>
      <c r="I2162" t="s">
        <v>27</v>
      </c>
      <c r="J2162" t="s">
        <v>33</v>
      </c>
      <c r="K2162">
        <v>24304</v>
      </c>
      <c r="L2162">
        <v>504936</v>
      </c>
      <c r="M2162">
        <v>90.902697459526607</v>
      </c>
    </row>
    <row r="2163" spans="1:13" hidden="1" x14ac:dyDescent="0.3">
      <c r="A2163" t="s">
        <v>2043</v>
      </c>
      <c r="B2163" t="s">
        <v>28</v>
      </c>
      <c r="C2163" t="s">
        <v>222</v>
      </c>
      <c r="D2163">
        <v>2022</v>
      </c>
      <c r="E2163" t="s">
        <v>31</v>
      </c>
      <c r="F2163" t="s">
        <v>77</v>
      </c>
      <c r="G2163" t="s">
        <v>31</v>
      </c>
      <c r="H2163" t="s">
        <v>27</v>
      </c>
      <c r="I2163" t="s">
        <v>27</v>
      </c>
      <c r="J2163" t="s">
        <v>27</v>
      </c>
      <c r="K2163" t="s">
        <v>31</v>
      </c>
      <c r="L2163" t="s">
        <v>31</v>
      </c>
      <c r="M2163">
        <v>90.902697459526607</v>
      </c>
    </row>
    <row r="2164" spans="1:13" hidden="1" x14ac:dyDescent="0.3">
      <c r="A2164" t="s">
        <v>2044</v>
      </c>
      <c r="B2164" t="s">
        <v>51</v>
      </c>
      <c r="C2164" t="s">
        <v>52</v>
      </c>
      <c r="D2164">
        <v>2022</v>
      </c>
      <c r="E2164" t="s">
        <v>31</v>
      </c>
      <c r="F2164" t="s">
        <v>34</v>
      </c>
      <c r="G2164" t="s">
        <v>54</v>
      </c>
      <c r="H2164" t="s">
        <v>27</v>
      </c>
      <c r="I2164" t="s">
        <v>27</v>
      </c>
      <c r="J2164" t="s">
        <v>27</v>
      </c>
      <c r="K2164">
        <v>600</v>
      </c>
      <c r="L2164" t="s">
        <v>31</v>
      </c>
      <c r="M2164">
        <v>90.902697459526607</v>
      </c>
    </row>
    <row r="2165" spans="1:13" hidden="1" x14ac:dyDescent="0.3">
      <c r="A2165" t="s">
        <v>2045</v>
      </c>
      <c r="B2165" t="s">
        <v>28</v>
      </c>
      <c r="C2165" t="s">
        <v>30</v>
      </c>
      <c r="D2165">
        <v>2022</v>
      </c>
      <c r="E2165" t="s">
        <v>31</v>
      </c>
      <c r="F2165" t="s">
        <v>242</v>
      </c>
      <c r="G2165" t="s">
        <v>31</v>
      </c>
      <c r="H2165" t="s">
        <v>27</v>
      </c>
      <c r="I2165" t="s">
        <v>27</v>
      </c>
      <c r="J2165" t="s">
        <v>27</v>
      </c>
      <c r="K2165">
        <v>6780</v>
      </c>
      <c r="L2165" t="s">
        <v>31</v>
      </c>
      <c r="M2165">
        <v>90.902697459526607</v>
      </c>
    </row>
    <row r="2166" spans="1:13" x14ac:dyDescent="0.3">
      <c r="A2166" t="s">
        <v>2046</v>
      </c>
      <c r="B2166" t="s">
        <v>51</v>
      </c>
      <c r="C2166" t="s">
        <v>52</v>
      </c>
      <c r="D2166">
        <v>2022</v>
      </c>
      <c r="E2166">
        <v>264000</v>
      </c>
      <c r="F2166" t="s">
        <v>119</v>
      </c>
      <c r="G2166" t="s">
        <v>31</v>
      </c>
      <c r="H2166" t="s">
        <v>27</v>
      </c>
      <c r="I2166" t="s">
        <v>27</v>
      </c>
      <c r="J2166" t="s">
        <v>33</v>
      </c>
      <c r="K2166">
        <v>67500</v>
      </c>
      <c r="L2166">
        <v>290420</v>
      </c>
      <c r="M2166">
        <v>90.902697459526607</v>
      </c>
    </row>
    <row r="2167" spans="1:13" hidden="1" x14ac:dyDescent="0.3">
      <c r="A2167" t="s">
        <v>2047</v>
      </c>
      <c r="B2167" t="s">
        <v>91</v>
      </c>
      <c r="C2167" t="s">
        <v>93</v>
      </c>
      <c r="D2167">
        <v>2022</v>
      </c>
      <c r="E2167" t="s">
        <v>31</v>
      </c>
      <c r="F2167" t="s">
        <v>53</v>
      </c>
      <c r="G2167" t="s">
        <v>31</v>
      </c>
      <c r="H2167" t="s">
        <v>27</v>
      </c>
      <c r="I2167" t="s">
        <v>27</v>
      </c>
      <c r="J2167" t="s">
        <v>27</v>
      </c>
      <c r="K2167">
        <v>302</v>
      </c>
      <c r="L2167" t="s">
        <v>31</v>
      </c>
      <c r="M2167">
        <v>90.902697459526607</v>
      </c>
    </row>
    <row r="2168" spans="1:13" hidden="1" x14ac:dyDescent="0.3">
      <c r="A2168" t="s">
        <v>2048</v>
      </c>
      <c r="B2168" t="s">
        <v>39</v>
      </c>
      <c r="C2168" t="s">
        <v>142</v>
      </c>
      <c r="D2168">
        <v>2022</v>
      </c>
      <c r="E2168">
        <v>151000</v>
      </c>
      <c r="F2168" t="s">
        <v>34</v>
      </c>
      <c r="G2168" t="s">
        <v>95</v>
      </c>
      <c r="H2168" t="s">
        <v>27</v>
      </c>
      <c r="I2168" t="s">
        <v>27</v>
      </c>
      <c r="J2168" t="s">
        <v>27</v>
      </c>
      <c r="K2168">
        <v>595</v>
      </c>
      <c r="L2168">
        <v>166112</v>
      </c>
      <c r="M2168">
        <v>90.902697459526607</v>
      </c>
    </row>
    <row r="2169" spans="1:13" hidden="1" x14ac:dyDescent="0.3">
      <c r="A2169" t="s">
        <v>2049</v>
      </c>
      <c r="B2169" t="s">
        <v>28</v>
      </c>
      <c r="C2169" t="s">
        <v>30</v>
      </c>
      <c r="D2169">
        <v>2022</v>
      </c>
      <c r="E2169" t="s">
        <v>31</v>
      </c>
      <c r="F2169" t="s">
        <v>77</v>
      </c>
      <c r="G2169" t="s">
        <v>31</v>
      </c>
      <c r="H2169" t="s">
        <v>27</v>
      </c>
      <c r="I2169" t="s">
        <v>27</v>
      </c>
      <c r="J2169" t="s">
        <v>27</v>
      </c>
      <c r="K2169">
        <v>4000</v>
      </c>
      <c r="L2169" t="s">
        <v>31</v>
      </c>
      <c r="M2169">
        <v>90.902697459526607</v>
      </c>
    </row>
    <row r="2170" spans="1:13" hidden="1" x14ac:dyDescent="0.3">
      <c r="A2170" t="s">
        <v>2050</v>
      </c>
      <c r="B2170" t="s">
        <v>28</v>
      </c>
      <c r="C2170" t="s">
        <v>30</v>
      </c>
      <c r="D2170">
        <v>2022</v>
      </c>
      <c r="E2170" t="s">
        <v>31</v>
      </c>
      <c r="F2170" t="s">
        <v>75</v>
      </c>
      <c r="G2170" t="s">
        <v>54</v>
      </c>
      <c r="H2170" t="s">
        <v>27</v>
      </c>
      <c r="I2170" t="s">
        <v>27</v>
      </c>
      <c r="J2170" t="s">
        <v>33</v>
      </c>
      <c r="K2170">
        <v>1434802</v>
      </c>
      <c r="L2170" t="s">
        <v>31</v>
      </c>
      <c r="M2170">
        <v>90.902697459526607</v>
      </c>
    </row>
    <row r="2171" spans="1:13" hidden="1" x14ac:dyDescent="0.3">
      <c r="A2171" t="s">
        <v>2051</v>
      </c>
      <c r="B2171" t="s">
        <v>28</v>
      </c>
      <c r="C2171" t="s">
        <v>30</v>
      </c>
      <c r="D2171">
        <v>2022</v>
      </c>
      <c r="E2171" t="s">
        <v>31</v>
      </c>
      <c r="F2171" t="s">
        <v>211</v>
      </c>
      <c r="G2171" t="s">
        <v>37</v>
      </c>
      <c r="H2171" t="s">
        <v>27</v>
      </c>
      <c r="I2171" t="s">
        <v>27</v>
      </c>
      <c r="J2171" t="s">
        <v>27</v>
      </c>
      <c r="K2171" t="s">
        <v>31</v>
      </c>
      <c r="L2171" t="s">
        <v>31</v>
      </c>
      <c r="M2171">
        <v>90.902697459526607</v>
      </c>
    </row>
    <row r="2172" spans="1:13" hidden="1" x14ac:dyDescent="0.3">
      <c r="A2172" t="s">
        <v>2052</v>
      </c>
      <c r="B2172" t="s">
        <v>28</v>
      </c>
      <c r="C2172" t="s">
        <v>30</v>
      </c>
      <c r="D2172">
        <v>2022</v>
      </c>
      <c r="E2172">
        <v>100000000</v>
      </c>
      <c r="F2172" t="s">
        <v>34</v>
      </c>
      <c r="G2172" t="s">
        <v>37</v>
      </c>
      <c r="H2172" t="s">
        <v>27</v>
      </c>
      <c r="I2172" t="s">
        <v>27</v>
      </c>
      <c r="J2172" t="s">
        <v>33</v>
      </c>
      <c r="K2172" t="s">
        <v>31</v>
      </c>
      <c r="L2172">
        <v>110007737</v>
      </c>
      <c r="M2172">
        <v>90.902697459526607</v>
      </c>
    </row>
    <row r="2173" spans="1:13" hidden="1" x14ac:dyDescent="0.3">
      <c r="A2173" t="s">
        <v>2053</v>
      </c>
      <c r="B2173" t="s">
        <v>51</v>
      </c>
      <c r="C2173" t="s">
        <v>52</v>
      </c>
      <c r="D2173">
        <v>2022</v>
      </c>
      <c r="E2173" t="s">
        <v>31</v>
      </c>
      <c r="F2173" t="s">
        <v>70</v>
      </c>
      <c r="G2173" t="s">
        <v>31</v>
      </c>
      <c r="H2173" t="s">
        <v>27</v>
      </c>
      <c r="I2173" t="s">
        <v>27</v>
      </c>
      <c r="J2173" t="s">
        <v>27</v>
      </c>
      <c r="K2173" t="s">
        <v>31</v>
      </c>
      <c r="L2173" t="s">
        <v>31</v>
      </c>
      <c r="M2173">
        <v>90.902697459526607</v>
      </c>
    </row>
    <row r="2174" spans="1:13" hidden="1" x14ac:dyDescent="0.3">
      <c r="A2174" t="s">
        <v>2054</v>
      </c>
      <c r="B2174" t="s">
        <v>28</v>
      </c>
      <c r="C2174" t="s">
        <v>30</v>
      </c>
      <c r="D2174">
        <v>2022</v>
      </c>
      <c r="E2174" t="s">
        <v>31</v>
      </c>
      <c r="F2174" t="s">
        <v>90</v>
      </c>
      <c r="G2174" t="s">
        <v>82</v>
      </c>
      <c r="H2174" t="s">
        <v>27</v>
      </c>
      <c r="I2174" t="s">
        <v>27</v>
      </c>
      <c r="J2174" t="s">
        <v>33</v>
      </c>
      <c r="K2174">
        <v>457311</v>
      </c>
      <c r="L2174" t="s">
        <v>31</v>
      </c>
      <c r="M2174">
        <v>90.902697459526607</v>
      </c>
    </row>
    <row r="2175" spans="1:13" hidden="1" x14ac:dyDescent="0.3">
      <c r="A2175" t="s">
        <v>2055</v>
      </c>
      <c r="B2175" t="s">
        <v>51</v>
      </c>
      <c r="C2175" t="s">
        <v>52</v>
      </c>
      <c r="D2175">
        <v>2022</v>
      </c>
      <c r="E2175" t="s">
        <v>31</v>
      </c>
      <c r="F2175" t="s">
        <v>49</v>
      </c>
      <c r="G2175" t="s">
        <v>31</v>
      </c>
      <c r="H2175" t="s">
        <v>27</v>
      </c>
      <c r="I2175" t="s">
        <v>27</v>
      </c>
      <c r="J2175" t="s">
        <v>27</v>
      </c>
      <c r="K2175">
        <v>76657</v>
      </c>
      <c r="L2175" t="s">
        <v>31</v>
      </c>
      <c r="M2175">
        <v>90.902697459526607</v>
      </c>
    </row>
    <row r="2176" spans="1:13" hidden="1" x14ac:dyDescent="0.3">
      <c r="A2176" t="s">
        <v>2056</v>
      </c>
      <c r="B2176" t="s">
        <v>51</v>
      </c>
      <c r="C2176" t="s">
        <v>52</v>
      </c>
      <c r="D2176">
        <v>2022</v>
      </c>
      <c r="E2176" t="s">
        <v>31</v>
      </c>
      <c r="F2176" t="s">
        <v>47</v>
      </c>
      <c r="G2176" t="s">
        <v>54</v>
      </c>
      <c r="H2176" t="s">
        <v>27</v>
      </c>
      <c r="I2176" t="s">
        <v>27</v>
      </c>
      <c r="J2176" t="s">
        <v>27</v>
      </c>
      <c r="K2176">
        <v>44000</v>
      </c>
      <c r="L2176" t="s">
        <v>31</v>
      </c>
      <c r="M2176">
        <v>90.902697459526607</v>
      </c>
    </row>
    <row r="2177" spans="1:13" hidden="1" x14ac:dyDescent="0.3">
      <c r="A2177" t="s">
        <v>2057</v>
      </c>
      <c r="B2177" t="s">
        <v>28</v>
      </c>
      <c r="C2177" t="s">
        <v>30</v>
      </c>
      <c r="D2177">
        <v>2022</v>
      </c>
      <c r="E2177">
        <v>100000</v>
      </c>
      <c r="F2177" t="s">
        <v>32</v>
      </c>
      <c r="G2177" t="s">
        <v>31</v>
      </c>
      <c r="H2177" t="s">
        <v>27</v>
      </c>
      <c r="I2177" t="s">
        <v>33</v>
      </c>
      <c r="J2177" t="s">
        <v>27</v>
      </c>
      <c r="K2177">
        <v>172150</v>
      </c>
      <c r="L2177">
        <v>110008</v>
      </c>
      <c r="M2177">
        <v>90.902697459526607</v>
      </c>
    </row>
    <row r="2178" spans="1:13" hidden="1" x14ac:dyDescent="0.3">
      <c r="A2178" t="s">
        <v>2058</v>
      </c>
      <c r="B2178" t="s">
        <v>51</v>
      </c>
      <c r="C2178" t="s">
        <v>52</v>
      </c>
      <c r="D2178">
        <v>2022</v>
      </c>
      <c r="E2178" t="s">
        <v>31</v>
      </c>
      <c r="F2178" t="s">
        <v>119</v>
      </c>
      <c r="G2178" t="s">
        <v>31</v>
      </c>
      <c r="H2178" t="s">
        <v>27</v>
      </c>
      <c r="I2178" t="s">
        <v>27</v>
      </c>
      <c r="J2178" t="s">
        <v>27</v>
      </c>
      <c r="K2178">
        <v>16350</v>
      </c>
      <c r="L2178" t="s">
        <v>31</v>
      </c>
      <c r="M2178">
        <v>90.902697459526607</v>
      </c>
    </row>
    <row r="2179" spans="1:13" hidden="1" x14ac:dyDescent="0.3">
      <c r="A2179" t="s">
        <v>2059</v>
      </c>
      <c r="B2179" t="s">
        <v>51</v>
      </c>
      <c r="C2179" t="s">
        <v>121</v>
      </c>
      <c r="D2179">
        <v>2022</v>
      </c>
      <c r="E2179" t="s">
        <v>31</v>
      </c>
      <c r="F2179" t="s">
        <v>561</v>
      </c>
      <c r="G2179" t="s">
        <v>54</v>
      </c>
      <c r="H2179" t="s">
        <v>27</v>
      </c>
      <c r="I2179" t="s">
        <v>27</v>
      </c>
      <c r="J2179" t="s">
        <v>27</v>
      </c>
      <c r="K2179">
        <v>100000</v>
      </c>
      <c r="L2179" t="s">
        <v>31</v>
      </c>
      <c r="M2179">
        <v>90.902697459526607</v>
      </c>
    </row>
    <row r="2180" spans="1:13" hidden="1" x14ac:dyDescent="0.3">
      <c r="A2180" t="s">
        <v>2060</v>
      </c>
      <c r="B2180" t="s">
        <v>51</v>
      </c>
      <c r="C2180" t="s">
        <v>52</v>
      </c>
      <c r="D2180">
        <v>2022</v>
      </c>
      <c r="E2180" t="s">
        <v>31</v>
      </c>
      <c r="F2180" t="s">
        <v>119</v>
      </c>
      <c r="G2180" t="s">
        <v>54</v>
      </c>
      <c r="H2180" t="s">
        <v>27</v>
      </c>
      <c r="I2180" t="s">
        <v>27</v>
      </c>
      <c r="J2180" t="s">
        <v>33</v>
      </c>
      <c r="K2180">
        <v>17500</v>
      </c>
      <c r="L2180" t="s">
        <v>31</v>
      </c>
      <c r="M2180">
        <v>90.902697459526607</v>
      </c>
    </row>
    <row r="2181" spans="1:13" hidden="1" x14ac:dyDescent="0.3">
      <c r="A2181" t="s">
        <v>2119</v>
      </c>
      <c r="B2181" t="s">
        <v>51</v>
      </c>
      <c r="C2181" t="s">
        <v>52</v>
      </c>
      <c r="D2181">
        <v>2022</v>
      </c>
      <c r="E2181" t="s">
        <v>31</v>
      </c>
      <c r="F2181" t="s">
        <v>166</v>
      </c>
      <c r="G2181" t="s">
        <v>31</v>
      </c>
      <c r="H2181" t="s">
        <v>27</v>
      </c>
      <c r="I2181" t="s">
        <v>27</v>
      </c>
      <c r="J2181" t="s">
        <v>27</v>
      </c>
      <c r="K2181">
        <v>150</v>
      </c>
      <c r="L2181" t="s">
        <v>31</v>
      </c>
      <c r="M2181">
        <v>90.902697459526607</v>
      </c>
    </row>
    <row r="2182" spans="1:13" hidden="1" x14ac:dyDescent="0.3">
      <c r="A2182" t="s">
        <v>270</v>
      </c>
      <c r="B2182" t="s">
        <v>28</v>
      </c>
      <c r="C2182" t="s">
        <v>97</v>
      </c>
      <c r="D2182">
        <v>2023</v>
      </c>
      <c r="E2182">
        <v>770000</v>
      </c>
      <c r="F2182" t="s">
        <v>34</v>
      </c>
      <c r="G2182" t="s">
        <v>31</v>
      </c>
      <c r="H2182" t="s">
        <v>27</v>
      </c>
      <c r="I2182" t="s">
        <v>27</v>
      </c>
      <c r="J2182" t="s">
        <v>33</v>
      </c>
      <c r="K2182">
        <v>49</v>
      </c>
      <c r="L2182">
        <v>813570</v>
      </c>
      <c r="M2182">
        <v>94.644622010384495</v>
      </c>
    </row>
    <row r="2183" spans="1:13" hidden="1" x14ac:dyDescent="0.3">
      <c r="A2183" t="s">
        <v>277</v>
      </c>
      <c r="B2183" t="s">
        <v>28</v>
      </c>
      <c r="C2183" t="s">
        <v>278</v>
      </c>
      <c r="D2183">
        <v>2023</v>
      </c>
      <c r="E2183">
        <v>385000</v>
      </c>
      <c r="F2183" t="s">
        <v>34</v>
      </c>
      <c r="G2183" t="s">
        <v>279</v>
      </c>
      <c r="H2183" t="s">
        <v>27</v>
      </c>
      <c r="I2183" t="s">
        <v>27</v>
      </c>
      <c r="J2183" t="s">
        <v>27</v>
      </c>
      <c r="K2183">
        <v>25</v>
      </c>
      <c r="L2183">
        <v>406785</v>
      </c>
      <c r="M2183">
        <v>94.644622010384495</v>
      </c>
    </row>
    <row r="2184" spans="1:13" hidden="1" x14ac:dyDescent="0.3">
      <c r="A2184" t="s">
        <v>280</v>
      </c>
      <c r="B2184" t="s">
        <v>51</v>
      </c>
      <c r="C2184" t="s">
        <v>52</v>
      </c>
      <c r="D2184">
        <v>2023</v>
      </c>
      <c r="E2184" t="s">
        <v>31</v>
      </c>
      <c r="F2184" t="s">
        <v>111</v>
      </c>
      <c r="G2184" t="s">
        <v>31</v>
      </c>
      <c r="H2184" t="s">
        <v>27</v>
      </c>
      <c r="I2184" t="s">
        <v>27</v>
      </c>
      <c r="J2184" t="s">
        <v>27</v>
      </c>
      <c r="K2184">
        <v>188610</v>
      </c>
      <c r="L2184" t="s">
        <v>31</v>
      </c>
      <c r="M2184">
        <v>94.644622010384495</v>
      </c>
    </row>
    <row r="2185" spans="1:13" hidden="1" x14ac:dyDescent="0.3">
      <c r="A2185" t="s">
        <v>282</v>
      </c>
      <c r="B2185" t="s">
        <v>51</v>
      </c>
      <c r="C2185" t="s">
        <v>56</v>
      </c>
      <c r="D2185">
        <v>2023</v>
      </c>
      <c r="E2185" t="s">
        <v>31</v>
      </c>
      <c r="F2185" t="s">
        <v>117</v>
      </c>
      <c r="G2185" t="s">
        <v>31</v>
      </c>
      <c r="H2185" t="s">
        <v>27</v>
      </c>
      <c r="I2185" t="s">
        <v>27</v>
      </c>
      <c r="J2185" t="s">
        <v>33</v>
      </c>
      <c r="K2185">
        <v>39000</v>
      </c>
      <c r="L2185" t="s">
        <v>31</v>
      </c>
      <c r="M2185">
        <v>94.644622010384495</v>
      </c>
    </row>
    <row r="2186" spans="1:13" hidden="1" x14ac:dyDescent="0.3">
      <c r="A2186" t="s">
        <v>283</v>
      </c>
      <c r="B2186" t="s">
        <v>28</v>
      </c>
      <c r="C2186" t="s">
        <v>189</v>
      </c>
      <c r="D2186">
        <v>2023</v>
      </c>
      <c r="E2186">
        <v>6000000</v>
      </c>
      <c r="F2186" t="s">
        <v>34</v>
      </c>
      <c r="G2186" t="s">
        <v>31</v>
      </c>
      <c r="H2186" t="s">
        <v>27</v>
      </c>
      <c r="I2186" t="s">
        <v>27</v>
      </c>
      <c r="J2186" t="s">
        <v>27</v>
      </c>
      <c r="K2186" t="s">
        <v>31</v>
      </c>
      <c r="L2186">
        <v>6339504</v>
      </c>
      <c r="M2186">
        <v>94.644622010384495</v>
      </c>
    </row>
    <row r="2187" spans="1:13" hidden="1" x14ac:dyDescent="0.3">
      <c r="A2187" t="s">
        <v>286</v>
      </c>
      <c r="B2187" t="s">
        <v>28</v>
      </c>
      <c r="C2187" t="s">
        <v>64</v>
      </c>
      <c r="D2187">
        <v>2023</v>
      </c>
      <c r="E2187">
        <v>255000</v>
      </c>
      <c r="F2187" t="s">
        <v>34</v>
      </c>
      <c r="G2187" t="s">
        <v>287</v>
      </c>
      <c r="H2187" t="s">
        <v>27</v>
      </c>
      <c r="I2187" t="s">
        <v>27</v>
      </c>
      <c r="J2187" t="s">
        <v>33</v>
      </c>
      <c r="K2187">
        <v>551</v>
      </c>
      <c r="L2187">
        <v>269429</v>
      </c>
      <c r="M2187">
        <v>94.644622010384495</v>
      </c>
    </row>
    <row r="2188" spans="1:13" x14ac:dyDescent="0.3">
      <c r="D2188" s="2" t="s">
        <v>2571</v>
      </c>
      <c r="E2188" s="2">
        <f>SUM(E2091,E2106,E2119,E2126,E2152,E2162,E2166)</f>
        <v>1141000</v>
      </c>
    </row>
    <row r="2189" spans="1:13" x14ac:dyDescent="0.3">
      <c r="A2189" t="s">
        <v>291</v>
      </c>
      <c r="B2189" t="s">
        <v>51</v>
      </c>
      <c r="C2189" t="s">
        <v>52</v>
      </c>
      <c r="D2189">
        <v>2023</v>
      </c>
      <c r="E2189">
        <v>20000</v>
      </c>
      <c r="F2189" t="s">
        <v>119</v>
      </c>
      <c r="G2189" t="s">
        <v>54</v>
      </c>
      <c r="H2189" t="s">
        <v>27</v>
      </c>
      <c r="I2189" t="s">
        <v>27</v>
      </c>
      <c r="J2189" t="s">
        <v>33</v>
      </c>
      <c r="K2189">
        <v>15000</v>
      </c>
      <c r="L2189">
        <v>21132</v>
      </c>
      <c r="M2189">
        <v>94.644622010384495</v>
      </c>
    </row>
    <row r="2190" spans="1:13" hidden="1" x14ac:dyDescent="0.3">
      <c r="A2190" t="s">
        <v>294</v>
      </c>
      <c r="B2190" t="s">
        <v>51</v>
      </c>
      <c r="C2190" t="s">
        <v>52</v>
      </c>
      <c r="D2190">
        <v>2023</v>
      </c>
      <c r="E2190" t="s">
        <v>31</v>
      </c>
      <c r="F2190" t="s">
        <v>47</v>
      </c>
      <c r="G2190" t="s">
        <v>54</v>
      </c>
      <c r="H2190" t="s">
        <v>27</v>
      </c>
      <c r="I2190" t="s">
        <v>27</v>
      </c>
      <c r="J2190" t="s">
        <v>27</v>
      </c>
      <c r="K2190">
        <v>4500</v>
      </c>
      <c r="L2190" t="s">
        <v>31</v>
      </c>
      <c r="M2190">
        <v>94.644622010384495</v>
      </c>
    </row>
    <row r="2191" spans="1:13" hidden="1" x14ac:dyDescent="0.3">
      <c r="A2191" t="s">
        <v>295</v>
      </c>
      <c r="B2191" t="s">
        <v>28</v>
      </c>
      <c r="C2191" t="s">
        <v>189</v>
      </c>
      <c r="D2191">
        <v>2023</v>
      </c>
      <c r="E2191">
        <v>2950000</v>
      </c>
      <c r="F2191" t="s">
        <v>34</v>
      </c>
      <c r="G2191" t="s">
        <v>65</v>
      </c>
      <c r="H2191" t="s">
        <v>27</v>
      </c>
      <c r="I2191" t="s">
        <v>27</v>
      </c>
      <c r="J2191" t="s">
        <v>27</v>
      </c>
      <c r="K2191">
        <v>12</v>
      </c>
      <c r="L2191">
        <v>3116923</v>
      </c>
      <c r="M2191">
        <v>94.644622010384495</v>
      </c>
    </row>
    <row r="2192" spans="1:13" hidden="1" x14ac:dyDescent="0.3">
      <c r="A2192" t="s">
        <v>297</v>
      </c>
      <c r="B2192" t="s">
        <v>51</v>
      </c>
      <c r="C2192" t="s">
        <v>52</v>
      </c>
      <c r="D2192">
        <v>2023</v>
      </c>
      <c r="E2192" t="s">
        <v>31</v>
      </c>
      <c r="F2192" t="s">
        <v>77</v>
      </c>
      <c r="G2192" t="s">
        <v>29</v>
      </c>
      <c r="H2192" t="s">
        <v>27</v>
      </c>
      <c r="I2192" t="s">
        <v>27</v>
      </c>
      <c r="J2192" t="s">
        <v>33</v>
      </c>
      <c r="K2192">
        <v>1000</v>
      </c>
      <c r="L2192" t="s">
        <v>31</v>
      </c>
      <c r="M2192">
        <v>94.644622010384495</v>
      </c>
    </row>
    <row r="2193" spans="1:13" hidden="1" x14ac:dyDescent="0.3">
      <c r="A2193" t="s">
        <v>299</v>
      </c>
      <c r="B2193" t="s">
        <v>39</v>
      </c>
      <c r="C2193" t="s">
        <v>41</v>
      </c>
      <c r="D2193">
        <v>2023</v>
      </c>
      <c r="E2193">
        <v>200000</v>
      </c>
      <c r="F2193" t="s">
        <v>77</v>
      </c>
      <c r="G2193" t="s">
        <v>300</v>
      </c>
      <c r="H2193" t="s">
        <v>27</v>
      </c>
      <c r="I2193" t="s">
        <v>27</v>
      </c>
      <c r="J2193" t="s">
        <v>33</v>
      </c>
      <c r="K2193">
        <v>30000</v>
      </c>
      <c r="L2193">
        <v>211317</v>
      </c>
      <c r="M2193">
        <v>94.644622010384495</v>
      </c>
    </row>
    <row r="2194" spans="1:13" hidden="1" x14ac:dyDescent="0.3">
      <c r="A2194" t="s">
        <v>303</v>
      </c>
      <c r="B2194" t="s">
        <v>91</v>
      </c>
      <c r="C2194" t="s">
        <v>105</v>
      </c>
      <c r="D2194">
        <v>2023</v>
      </c>
      <c r="E2194" t="s">
        <v>31</v>
      </c>
      <c r="F2194" t="s">
        <v>90</v>
      </c>
      <c r="G2194" t="s">
        <v>31</v>
      </c>
      <c r="H2194" t="s">
        <v>27</v>
      </c>
      <c r="I2194" t="s">
        <v>27</v>
      </c>
      <c r="J2194" t="s">
        <v>27</v>
      </c>
      <c r="K2194">
        <v>1054</v>
      </c>
      <c r="L2194" t="s">
        <v>31</v>
      </c>
      <c r="M2194">
        <v>94.644622010384495</v>
      </c>
    </row>
    <row r="2195" spans="1:13" hidden="1" x14ac:dyDescent="0.3">
      <c r="A2195" t="s">
        <v>305</v>
      </c>
      <c r="B2195" t="s">
        <v>28</v>
      </c>
      <c r="C2195" t="s">
        <v>189</v>
      </c>
      <c r="D2195">
        <v>2023</v>
      </c>
      <c r="E2195">
        <v>3800000</v>
      </c>
      <c r="F2195" t="s">
        <v>34</v>
      </c>
      <c r="G2195" t="s">
        <v>262</v>
      </c>
      <c r="H2195" t="s">
        <v>27</v>
      </c>
      <c r="I2195" t="s">
        <v>27</v>
      </c>
      <c r="J2195" t="s">
        <v>27</v>
      </c>
      <c r="K2195">
        <v>195</v>
      </c>
      <c r="L2195">
        <v>4015019</v>
      </c>
      <c r="M2195">
        <v>94.644622010384495</v>
      </c>
    </row>
    <row r="2196" spans="1:13" x14ac:dyDescent="0.3">
      <c r="A2196" t="s">
        <v>306</v>
      </c>
      <c r="B2196" t="s">
        <v>51</v>
      </c>
      <c r="C2196" t="s">
        <v>52</v>
      </c>
      <c r="D2196">
        <v>2023</v>
      </c>
      <c r="E2196">
        <v>205000</v>
      </c>
      <c r="F2196" t="s">
        <v>119</v>
      </c>
      <c r="G2196" t="s">
        <v>29</v>
      </c>
      <c r="H2196" t="s">
        <v>27</v>
      </c>
      <c r="I2196" t="s">
        <v>27</v>
      </c>
      <c r="J2196" t="s">
        <v>27</v>
      </c>
      <c r="K2196">
        <v>11100</v>
      </c>
      <c r="L2196">
        <v>216600</v>
      </c>
      <c r="M2196">
        <v>94.644622010384495</v>
      </c>
    </row>
    <row r="2197" spans="1:13" hidden="1" x14ac:dyDescent="0.3">
      <c r="A2197" t="s">
        <v>309</v>
      </c>
      <c r="B2197" t="s">
        <v>51</v>
      </c>
      <c r="C2197" t="s">
        <v>52</v>
      </c>
      <c r="D2197">
        <v>2023</v>
      </c>
      <c r="E2197" t="s">
        <v>31</v>
      </c>
      <c r="F2197" t="s">
        <v>242</v>
      </c>
      <c r="G2197" t="s">
        <v>31</v>
      </c>
      <c r="H2197" t="s">
        <v>27</v>
      </c>
      <c r="I2197" t="s">
        <v>27</v>
      </c>
      <c r="J2197" t="s">
        <v>27</v>
      </c>
      <c r="K2197">
        <v>18500</v>
      </c>
      <c r="L2197" t="s">
        <v>31</v>
      </c>
      <c r="M2197">
        <v>94.644622010384495</v>
      </c>
    </row>
    <row r="2198" spans="1:13" hidden="1" x14ac:dyDescent="0.3">
      <c r="A2198" t="s">
        <v>310</v>
      </c>
      <c r="B2198" t="s">
        <v>51</v>
      </c>
      <c r="C2198" t="s">
        <v>52</v>
      </c>
      <c r="D2198">
        <v>2023</v>
      </c>
      <c r="E2198">
        <v>420000</v>
      </c>
      <c r="F2198" t="s">
        <v>45</v>
      </c>
      <c r="G2198" t="s">
        <v>138</v>
      </c>
      <c r="H2198" t="s">
        <v>27</v>
      </c>
      <c r="I2198" t="s">
        <v>27</v>
      </c>
      <c r="J2198" t="s">
        <v>27</v>
      </c>
      <c r="K2198">
        <v>225143</v>
      </c>
      <c r="L2198">
        <v>443765</v>
      </c>
      <c r="M2198">
        <v>94.644622010384495</v>
      </c>
    </row>
    <row r="2199" spans="1:13" hidden="1" x14ac:dyDescent="0.3">
      <c r="A2199" t="s">
        <v>311</v>
      </c>
      <c r="B2199" t="s">
        <v>28</v>
      </c>
      <c r="C2199" t="s">
        <v>95</v>
      </c>
      <c r="D2199">
        <v>2023</v>
      </c>
      <c r="E2199" t="s">
        <v>31</v>
      </c>
      <c r="F2199" t="s">
        <v>34</v>
      </c>
      <c r="G2199" t="s">
        <v>176</v>
      </c>
      <c r="H2199" t="s">
        <v>27</v>
      </c>
      <c r="I2199" t="s">
        <v>27</v>
      </c>
      <c r="J2199" t="s">
        <v>27</v>
      </c>
      <c r="K2199" t="s">
        <v>31</v>
      </c>
      <c r="L2199" t="s">
        <v>31</v>
      </c>
      <c r="M2199">
        <v>94.644622010384495</v>
      </c>
    </row>
    <row r="2200" spans="1:13" hidden="1" x14ac:dyDescent="0.3">
      <c r="A2200" t="s">
        <v>312</v>
      </c>
      <c r="B2200" t="s">
        <v>43</v>
      </c>
      <c r="C2200" t="s">
        <v>114</v>
      </c>
      <c r="D2200">
        <v>2023</v>
      </c>
      <c r="E2200" t="s">
        <v>31</v>
      </c>
      <c r="F2200" t="s">
        <v>53</v>
      </c>
      <c r="G2200" t="s">
        <v>31</v>
      </c>
      <c r="H2200" t="s">
        <v>27</v>
      </c>
      <c r="I2200" t="s">
        <v>27</v>
      </c>
      <c r="J2200" t="s">
        <v>33</v>
      </c>
      <c r="K2200">
        <v>110000</v>
      </c>
      <c r="L2200" t="s">
        <v>31</v>
      </c>
      <c r="M2200">
        <v>94.644622010384495</v>
      </c>
    </row>
    <row r="2201" spans="1:13" hidden="1" x14ac:dyDescent="0.3">
      <c r="A2201" t="s">
        <v>314</v>
      </c>
      <c r="B2201" t="s">
        <v>51</v>
      </c>
      <c r="C2201" t="s">
        <v>52</v>
      </c>
      <c r="D2201">
        <v>2023</v>
      </c>
      <c r="E2201" t="s">
        <v>31</v>
      </c>
      <c r="F2201" t="s">
        <v>119</v>
      </c>
      <c r="G2201" t="s">
        <v>315</v>
      </c>
      <c r="H2201" t="s">
        <v>27</v>
      </c>
      <c r="I2201" t="s">
        <v>27</v>
      </c>
      <c r="J2201" t="s">
        <v>27</v>
      </c>
      <c r="K2201">
        <v>20000</v>
      </c>
      <c r="L2201" t="s">
        <v>31</v>
      </c>
      <c r="M2201">
        <v>94.644622010384495</v>
      </c>
    </row>
    <row r="2202" spans="1:13" hidden="1" x14ac:dyDescent="0.3">
      <c r="A2202" t="s">
        <v>319</v>
      </c>
      <c r="B2202" t="s">
        <v>51</v>
      </c>
      <c r="C2202" t="s">
        <v>134</v>
      </c>
      <c r="D2202">
        <v>2023</v>
      </c>
      <c r="E2202" t="s">
        <v>31</v>
      </c>
      <c r="F2202" t="s">
        <v>47</v>
      </c>
      <c r="G2202" t="s">
        <v>315</v>
      </c>
      <c r="H2202" t="s">
        <v>27</v>
      </c>
      <c r="I2202" t="s">
        <v>27</v>
      </c>
      <c r="J2202" t="s">
        <v>27</v>
      </c>
      <c r="K2202">
        <v>106</v>
      </c>
      <c r="L2202" t="s">
        <v>31</v>
      </c>
      <c r="M2202">
        <v>94.644622010384495</v>
      </c>
    </row>
    <row r="2203" spans="1:13" hidden="1" x14ac:dyDescent="0.3">
      <c r="A2203" t="s">
        <v>323</v>
      </c>
      <c r="B2203" t="s">
        <v>51</v>
      </c>
      <c r="C2203" t="s">
        <v>52</v>
      </c>
      <c r="D2203">
        <v>2023</v>
      </c>
      <c r="E2203">
        <v>1100000</v>
      </c>
      <c r="F2203" t="s">
        <v>60</v>
      </c>
      <c r="G2203" t="s">
        <v>54</v>
      </c>
      <c r="H2203" t="s">
        <v>27</v>
      </c>
      <c r="I2203" t="s">
        <v>27</v>
      </c>
      <c r="J2203" t="s">
        <v>33</v>
      </c>
      <c r="K2203">
        <v>32000</v>
      </c>
      <c r="L2203">
        <v>1162242</v>
      </c>
      <c r="M2203">
        <v>94.644622010384495</v>
      </c>
    </row>
    <row r="2204" spans="1:13" hidden="1" x14ac:dyDescent="0.3">
      <c r="A2204" t="s">
        <v>326</v>
      </c>
      <c r="B2204" t="s">
        <v>51</v>
      </c>
      <c r="C2204" t="s">
        <v>56</v>
      </c>
      <c r="D2204">
        <v>2023</v>
      </c>
      <c r="E2204" t="s">
        <v>31</v>
      </c>
      <c r="F2204" t="s">
        <v>73</v>
      </c>
      <c r="G2204" t="s">
        <v>31</v>
      </c>
      <c r="H2204" t="s">
        <v>27</v>
      </c>
      <c r="I2204" t="s">
        <v>27</v>
      </c>
      <c r="J2204" t="s">
        <v>27</v>
      </c>
      <c r="K2204" t="s">
        <v>31</v>
      </c>
      <c r="L2204" t="s">
        <v>31</v>
      </c>
      <c r="M2204">
        <v>94.644622010384495</v>
      </c>
    </row>
    <row r="2205" spans="1:13" hidden="1" x14ac:dyDescent="0.3">
      <c r="A2205" t="s">
        <v>327</v>
      </c>
      <c r="B2205" t="s">
        <v>51</v>
      </c>
      <c r="C2205" t="s">
        <v>52</v>
      </c>
      <c r="D2205">
        <v>2023</v>
      </c>
      <c r="E2205" t="s">
        <v>31</v>
      </c>
      <c r="F2205" t="s">
        <v>34</v>
      </c>
      <c r="G2205" t="s">
        <v>29</v>
      </c>
      <c r="H2205" t="s">
        <v>27</v>
      </c>
      <c r="I2205" t="s">
        <v>27</v>
      </c>
      <c r="J2205" t="s">
        <v>33</v>
      </c>
      <c r="K2205" t="s">
        <v>31</v>
      </c>
      <c r="L2205" t="s">
        <v>31</v>
      </c>
      <c r="M2205">
        <v>94.644622010384495</v>
      </c>
    </row>
    <row r="2206" spans="1:13" hidden="1" x14ac:dyDescent="0.3">
      <c r="A2206" t="s">
        <v>328</v>
      </c>
      <c r="B2206" t="s">
        <v>28</v>
      </c>
      <c r="C2206" t="s">
        <v>30</v>
      </c>
      <c r="D2206">
        <v>2023</v>
      </c>
      <c r="E2206" t="s">
        <v>31</v>
      </c>
      <c r="F2206" t="s">
        <v>115</v>
      </c>
      <c r="G2206" t="s">
        <v>37</v>
      </c>
      <c r="H2206" t="s">
        <v>27</v>
      </c>
      <c r="I2206" t="s">
        <v>27</v>
      </c>
      <c r="J2206" t="s">
        <v>33</v>
      </c>
      <c r="K2206">
        <v>500</v>
      </c>
      <c r="L2206" t="s">
        <v>31</v>
      </c>
      <c r="M2206">
        <v>94.644622010384495</v>
      </c>
    </row>
    <row r="2207" spans="1:13" hidden="1" x14ac:dyDescent="0.3">
      <c r="A2207" t="s">
        <v>331</v>
      </c>
      <c r="B2207" t="s">
        <v>28</v>
      </c>
      <c r="C2207" t="s">
        <v>64</v>
      </c>
      <c r="D2207">
        <v>2023</v>
      </c>
      <c r="E2207">
        <v>1600000</v>
      </c>
      <c r="F2207" t="s">
        <v>34</v>
      </c>
      <c r="G2207" t="s">
        <v>332</v>
      </c>
      <c r="H2207" t="s">
        <v>27</v>
      </c>
      <c r="I2207" t="s">
        <v>27</v>
      </c>
      <c r="J2207" t="s">
        <v>27</v>
      </c>
      <c r="K2207" t="s">
        <v>31</v>
      </c>
      <c r="L2207">
        <v>1690535</v>
      </c>
      <c r="M2207">
        <v>94.644622010384495</v>
      </c>
    </row>
    <row r="2208" spans="1:13" hidden="1" x14ac:dyDescent="0.3">
      <c r="A2208" t="s">
        <v>335</v>
      </c>
      <c r="B2208" t="s">
        <v>28</v>
      </c>
      <c r="C2208" t="s">
        <v>64</v>
      </c>
      <c r="D2208">
        <v>2023</v>
      </c>
      <c r="E2208">
        <v>100000</v>
      </c>
      <c r="F2208" t="s">
        <v>34</v>
      </c>
      <c r="G2208" t="s">
        <v>104</v>
      </c>
      <c r="H2208" t="s">
        <v>27</v>
      </c>
      <c r="I2208" t="s">
        <v>27</v>
      </c>
      <c r="J2208" t="s">
        <v>27</v>
      </c>
      <c r="K2208">
        <v>2041</v>
      </c>
      <c r="L2208">
        <v>105658</v>
      </c>
      <c r="M2208">
        <v>94.644622010384495</v>
      </c>
    </row>
    <row r="2209" spans="1:13" hidden="1" x14ac:dyDescent="0.3">
      <c r="A2209" t="s">
        <v>336</v>
      </c>
      <c r="B2209" t="s">
        <v>39</v>
      </c>
      <c r="C2209" t="s">
        <v>142</v>
      </c>
      <c r="D2209">
        <v>2023</v>
      </c>
      <c r="E2209" t="s">
        <v>31</v>
      </c>
      <c r="F2209" t="s">
        <v>60</v>
      </c>
      <c r="G2209" t="s">
        <v>31</v>
      </c>
      <c r="H2209" t="s">
        <v>27</v>
      </c>
      <c r="I2209" t="s">
        <v>27</v>
      </c>
      <c r="J2209" t="s">
        <v>27</v>
      </c>
      <c r="K2209">
        <v>382</v>
      </c>
      <c r="L2209" t="s">
        <v>31</v>
      </c>
      <c r="M2209">
        <v>94.644622010384495</v>
      </c>
    </row>
    <row r="2210" spans="1:13" hidden="1" x14ac:dyDescent="0.3">
      <c r="A2210" t="s">
        <v>338</v>
      </c>
      <c r="B2210" t="s">
        <v>28</v>
      </c>
      <c r="C2210" t="s">
        <v>64</v>
      </c>
      <c r="D2210">
        <v>2023</v>
      </c>
      <c r="E2210">
        <v>1300000</v>
      </c>
      <c r="F2210" t="s">
        <v>34</v>
      </c>
      <c r="G2210" t="s">
        <v>37</v>
      </c>
      <c r="H2210" t="s">
        <v>27</v>
      </c>
      <c r="I2210" t="s">
        <v>27</v>
      </c>
      <c r="J2210" t="s">
        <v>27</v>
      </c>
      <c r="K2210">
        <v>69</v>
      </c>
      <c r="L2210">
        <v>1373559</v>
      </c>
      <c r="M2210">
        <v>94.644622010384495</v>
      </c>
    </row>
    <row r="2211" spans="1:13" hidden="1" x14ac:dyDescent="0.3">
      <c r="A2211" t="s">
        <v>339</v>
      </c>
      <c r="B2211" t="s">
        <v>39</v>
      </c>
      <c r="C2211" t="s">
        <v>157</v>
      </c>
      <c r="D2211">
        <v>2023</v>
      </c>
      <c r="E2211">
        <v>2500000</v>
      </c>
      <c r="F2211" t="s">
        <v>119</v>
      </c>
      <c r="G2211" t="s">
        <v>31</v>
      </c>
      <c r="H2211" t="s">
        <v>27</v>
      </c>
      <c r="I2211" t="s">
        <v>27</v>
      </c>
      <c r="J2211" t="s">
        <v>33</v>
      </c>
      <c r="K2211">
        <v>608000</v>
      </c>
      <c r="L2211">
        <v>2641460</v>
      </c>
      <c r="M2211">
        <v>94.644622010384495</v>
      </c>
    </row>
    <row r="2212" spans="1:13" hidden="1" x14ac:dyDescent="0.3">
      <c r="A2212" t="s">
        <v>435</v>
      </c>
      <c r="B2212" t="s">
        <v>51</v>
      </c>
      <c r="C2212" t="s">
        <v>52</v>
      </c>
      <c r="D2212">
        <v>2023</v>
      </c>
      <c r="E2212" t="s">
        <v>31</v>
      </c>
      <c r="F2212" t="s">
        <v>53</v>
      </c>
      <c r="G2212" t="s">
        <v>54</v>
      </c>
      <c r="H2212" t="s">
        <v>27</v>
      </c>
      <c r="I2212" t="s">
        <v>27</v>
      </c>
      <c r="J2212" t="s">
        <v>33</v>
      </c>
      <c r="K2212">
        <v>410000</v>
      </c>
      <c r="L2212" t="s">
        <v>31</v>
      </c>
      <c r="M2212">
        <v>94.644622010384495</v>
      </c>
    </row>
    <row r="2213" spans="1:13" hidden="1" x14ac:dyDescent="0.3">
      <c r="A2213" t="s">
        <v>436</v>
      </c>
      <c r="B2213" t="s">
        <v>51</v>
      </c>
      <c r="C2213" t="s">
        <v>52</v>
      </c>
      <c r="D2213">
        <v>2023</v>
      </c>
      <c r="E2213" t="s">
        <v>31</v>
      </c>
      <c r="F2213" t="s">
        <v>77</v>
      </c>
      <c r="G2213" t="s">
        <v>31</v>
      </c>
      <c r="H2213" t="s">
        <v>27</v>
      </c>
      <c r="I2213" t="s">
        <v>27</v>
      </c>
      <c r="J2213" t="s">
        <v>27</v>
      </c>
      <c r="K2213">
        <v>450</v>
      </c>
      <c r="L2213" t="s">
        <v>31</v>
      </c>
      <c r="M2213">
        <v>94.644622010384495</v>
      </c>
    </row>
    <row r="2214" spans="1:13" hidden="1" x14ac:dyDescent="0.3">
      <c r="A2214" t="s">
        <v>437</v>
      </c>
      <c r="B2214" t="s">
        <v>28</v>
      </c>
      <c r="C2214" t="s">
        <v>189</v>
      </c>
      <c r="D2214">
        <v>2023</v>
      </c>
      <c r="E2214">
        <v>5300000</v>
      </c>
      <c r="F2214" t="s">
        <v>34</v>
      </c>
      <c r="G2214" t="s">
        <v>65</v>
      </c>
      <c r="H2214" t="s">
        <v>27</v>
      </c>
      <c r="I2214" t="s">
        <v>27</v>
      </c>
      <c r="J2214" t="s">
        <v>27</v>
      </c>
      <c r="K2214">
        <v>100</v>
      </c>
      <c r="L2214">
        <v>5599896</v>
      </c>
      <c r="M2214">
        <v>94.644622010384495</v>
      </c>
    </row>
    <row r="2215" spans="1:13" hidden="1" x14ac:dyDescent="0.3">
      <c r="A2215" t="s">
        <v>438</v>
      </c>
      <c r="B2215" t="s">
        <v>51</v>
      </c>
      <c r="C2215" t="s">
        <v>52</v>
      </c>
      <c r="D2215">
        <v>2023</v>
      </c>
      <c r="E2215" t="s">
        <v>31</v>
      </c>
      <c r="F2215" t="s">
        <v>119</v>
      </c>
      <c r="G2215" t="s">
        <v>31</v>
      </c>
      <c r="H2215" t="s">
        <v>27</v>
      </c>
      <c r="I2215" t="s">
        <v>27</v>
      </c>
      <c r="J2215" t="s">
        <v>33</v>
      </c>
      <c r="K2215">
        <v>9348</v>
      </c>
      <c r="L2215" t="s">
        <v>31</v>
      </c>
      <c r="M2215">
        <v>94.644622010384495</v>
      </c>
    </row>
    <row r="2216" spans="1:13" hidden="1" x14ac:dyDescent="0.3">
      <c r="A2216" t="s">
        <v>439</v>
      </c>
      <c r="B2216" t="s">
        <v>28</v>
      </c>
      <c r="C2216" t="s">
        <v>189</v>
      </c>
      <c r="D2216">
        <v>2023</v>
      </c>
      <c r="E2216">
        <v>1300000</v>
      </c>
      <c r="F2216" t="s">
        <v>34</v>
      </c>
      <c r="G2216" t="s">
        <v>65</v>
      </c>
      <c r="H2216" t="s">
        <v>27</v>
      </c>
      <c r="I2216" t="s">
        <v>27</v>
      </c>
      <c r="J2216" t="s">
        <v>27</v>
      </c>
      <c r="K2216" t="s">
        <v>31</v>
      </c>
      <c r="L2216">
        <v>1373559</v>
      </c>
      <c r="M2216">
        <v>94.644622010384495</v>
      </c>
    </row>
    <row r="2217" spans="1:13" hidden="1" x14ac:dyDescent="0.3">
      <c r="A2217" t="s">
        <v>440</v>
      </c>
      <c r="B2217" t="s">
        <v>28</v>
      </c>
      <c r="C2217" t="s">
        <v>30</v>
      </c>
      <c r="D2217">
        <v>2023</v>
      </c>
      <c r="E2217">
        <v>705000</v>
      </c>
      <c r="F2217" t="s">
        <v>53</v>
      </c>
      <c r="G2217" t="s">
        <v>31</v>
      </c>
      <c r="H2217" t="s">
        <v>27</v>
      </c>
      <c r="I2217" t="s">
        <v>27</v>
      </c>
      <c r="J2217" t="s">
        <v>27</v>
      </c>
      <c r="K2217">
        <v>45000</v>
      </c>
      <c r="L2217">
        <v>744892</v>
      </c>
      <c r="M2217">
        <v>94.644622010384495</v>
      </c>
    </row>
    <row r="2218" spans="1:13" hidden="1" x14ac:dyDescent="0.3">
      <c r="A2218" t="s">
        <v>441</v>
      </c>
      <c r="B2218" t="s">
        <v>51</v>
      </c>
      <c r="C2218" t="s">
        <v>56</v>
      </c>
      <c r="D2218">
        <v>2023</v>
      </c>
      <c r="E2218">
        <v>1100000</v>
      </c>
      <c r="F2218" t="s">
        <v>34</v>
      </c>
      <c r="G2218" t="s">
        <v>31</v>
      </c>
      <c r="H2218" t="s">
        <v>27</v>
      </c>
      <c r="I2218" t="s">
        <v>27</v>
      </c>
      <c r="J2218" t="s">
        <v>27</v>
      </c>
      <c r="K2218">
        <v>2000</v>
      </c>
      <c r="L2218">
        <v>1162242</v>
      </c>
      <c r="M2218">
        <v>94.644622010384495</v>
      </c>
    </row>
    <row r="2219" spans="1:13" hidden="1" x14ac:dyDescent="0.3">
      <c r="A2219" t="s">
        <v>442</v>
      </c>
      <c r="B2219" t="s">
        <v>51</v>
      </c>
      <c r="C2219" t="s">
        <v>52</v>
      </c>
      <c r="D2219">
        <v>2023</v>
      </c>
      <c r="E2219">
        <v>305000</v>
      </c>
      <c r="F2219" t="s">
        <v>53</v>
      </c>
      <c r="G2219" t="s">
        <v>54</v>
      </c>
      <c r="H2219" t="s">
        <v>27</v>
      </c>
      <c r="I2219" t="s">
        <v>27</v>
      </c>
      <c r="J2219" t="s">
        <v>27</v>
      </c>
      <c r="K2219">
        <v>124326</v>
      </c>
      <c r="L2219">
        <v>322258</v>
      </c>
      <c r="M2219">
        <v>94.644622010384495</v>
      </c>
    </row>
    <row r="2220" spans="1:13" hidden="1" x14ac:dyDescent="0.3">
      <c r="A2220" t="s">
        <v>443</v>
      </c>
      <c r="B2220" t="s">
        <v>51</v>
      </c>
      <c r="C2220" t="s">
        <v>52</v>
      </c>
      <c r="D2220">
        <v>2023</v>
      </c>
      <c r="E2220" t="s">
        <v>31</v>
      </c>
      <c r="F2220" t="s">
        <v>111</v>
      </c>
      <c r="G2220" t="s">
        <v>31</v>
      </c>
      <c r="H2220" t="s">
        <v>27</v>
      </c>
      <c r="I2220" t="s">
        <v>27</v>
      </c>
      <c r="J2220" t="s">
        <v>27</v>
      </c>
      <c r="K2220">
        <v>1500</v>
      </c>
      <c r="L2220" t="s">
        <v>31</v>
      </c>
      <c r="M2220">
        <v>94.644622010384495</v>
      </c>
    </row>
    <row r="2221" spans="1:13" hidden="1" x14ac:dyDescent="0.3">
      <c r="A2221" t="s">
        <v>444</v>
      </c>
      <c r="B2221" t="s">
        <v>28</v>
      </c>
      <c r="C2221" t="s">
        <v>97</v>
      </c>
      <c r="D2221">
        <v>2023</v>
      </c>
      <c r="E2221">
        <v>2900000</v>
      </c>
      <c r="F2221" t="s">
        <v>34</v>
      </c>
      <c r="G2221" t="s">
        <v>31</v>
      </c>
      <c r="H2221" t="s">
        <v>27</v>
      </c>
      <c r="I2221" t="s">
        <v>27</v>
      </c>
      <c r="J2221" t="s">
        <v>27</v>
      </c>
      <c r="K2221">
        <v>7011</v>
      </c>
      <c r="L2221">
        <v>3064094</v>
      </c>
      <c r="M2221">
        <v>94.644622010384495</v>
      </c>
    </row>
    <row r="2222" spans="1:13" hidden="1" x14ac:dyDescent="0.3">
      <c r="A2222" t="s">
        <v>489</v>
      </c>
      <c r="B2222" t="s">
        <v>39</v>
      </c>
      <c r="C2222" t="s">
        <v>157</v>
      </c>
      <c r="D2222">
        <v>2023</v>
      </c>
      <c r="E2222" t="s">
        <v>31</v>
      </c>
      <c r="F2222" t="s">
        <v>57</v>
      </c>
      <c r="G2222" t="s">
        <v>31</v>
      </c>
      <c r="H2222" t="s">
        <v>27</v>
      </c>
      <c r="I2222" t="s">
        <v>27</v>
      </c>
      <c r="J2222" t="s">
        <v>33</v>
      </c>
      <c r="K2222">
        <v>409115</v>
      </c>
      <c r="L2222" t="s">
        <v>31</v>
      </c>
      <c r="M2222">
        <v>94.644622010384495</v>
      </c>
    </row>
    <row r="2223" spans="1:13" hidden="1" x14ac:dyDescent="0.3">
      <c r="A2223" t="s">
        <v>490</v>
      </c>
      <c r="B2223" t="s">
        <v>51</v>
      </c>
      <c r="C2223" t="s">
        <v>134</v>
      </c>
      <c r="D2223">
        <v>2023</v>
      </c>
      <c r="E2223" t="s">
        <v>31</v>
      </c>
      <c r="F2223" t="s">
        <v>90</v>
      </c>
      <c r="G2223" t="s">
        <v>31</v>
      </c>
      <c r="H2223" t="s">
        <v>27</v>
      </c>
      <c r="I2223" t="s">
        <v>27</v>
      </c>
      <c r="J2223" t="s">
        <v>27</v>
      </c>
      <c r="K2223">
        <v>123325</v>
      </c>
      <c r="L2223" t="s">
        <v>31</v>
      </c>
      <c r="M2223">
        <v>94.644622010384495</v>
      </c>
    </row>
    <row r="2224" spans="1:13" hidden="1" x14ac:dyDescent="0.3">
      <c r="A2224" t="s">
        <v>491</v>
      </c>
      <c r="B2224" t="s">
        <v>39</v>
      </c>
      <c r="C2224" t="s">
        <v>142</v>
      </c>
      <c r="D2224">
        <v>2023</v>
      </c>
      <c r="E2224" t="s">
        <v>31</v>
      </c>
      <c r="F2224" t="s">
        <v>130</v>
      </c>
      <c r="G2224" t="s">
        <v>31</v>
      </c>
      <c r="H2224" t="s">
        <v>27</v>
      </c>
      <c r="I2224" t="s">
        <v>27</v>
      </c>
      <c r="J2224" t="s">
        <v>27</v>
      </c>
      <c r="K2224">
        <v>800</v>
      </c>
      <c r="L2224" t="s">
        <v>31</v>
      </c>
      <c r="M2224">
        <v>94.644622010384495</v>
      </c>
    </row>
    <row r="2225" spans="1:13" hidden="1" x14ac:dyDescent="0.3">
      <c r="A2225" t="s">
        <v>492</v>
      </c>
      <c r="B2225" t="s">
        <v>51</v>
      </c>
      <c r="C2225" t="s">
        <v>52</v>
      </c>
      <c r="D2225">
        <v>2023</v>
      </c>
      <c r="E2225" t="s">
        <v>31</v>
      </c>
      <c r="F2225" t="s">
        <v>53</v>
      </c>
      <c r="G2225" t="s">
        <v>31</v>
      </c>
      <c r="H2225" t="s">
        <v>27</v>
      </c>
      <c r="I2225" t="s">
        <v>27</v>
      </c>
      <c r="J2225" t="s">
        <v>27</v>
      </c>
      <c r="K2225">
        <v>168</v>
      </c>
      <c r="L2225" t="s">
        <v>31</v>
      </c>
      <c r="M2225">
        <v>94.644622010384495</v>
      </c>
    </row>
    <row r="2226" spans="1:13" hidden="1" x14ac:dyDescent="0.3">
      <c r="A2226" t="s">
        <v>493</v>
      </c>
      <c r="B2226" t="s">
        <v>51</v>
      </c>
      <c r="C2226" t="s">
        <v>52</v>
      </c>
      <c r="D2226">
        <v>2023</v>
      </c>
      <c r="E2226" t="s">
        <v>31</v>
      </c>
      <c r="F2226" t="s">
        <v>34</v>
      </c>
      <c r="G2226" t="s">
        <v>31</v>
      </c>
      <c r="H2226" t="s">
        <v>27</v>
      </c>
      <c r="I2226" t="s">
        <v>27</v>
      </c>
      <c r="J2226" t="s">
        <v>27</v>
      </c>
      <c r="K2226">
        <v>126</v>
      </c>
      <c r="L2226" t="s">
        <v>31</v>
      </c>
      <c r="M2226">
        <v>94.644622010384495</v>
      </c>
    </row>
    <row r="2227" spans="1:13" hidden="1" x14ac:dyDescent="0.3">
      <c r="A2227" t="s">
        <v>494</v>
      </c>
      <c r="B2227" t="s">
        <v>51</v>
      </c>
      <c r="C2227" t="s">
        <v>52</v>
      </c>
      <c r="D2227">
        <v>2023</v>
      </c>
      <c r="E2227" t="s">
        <v>31</v>
      </c>
      <c r="F2227" t="s">
        <v>119</v>
      </c>
      <c r="G2227" t="s">
        <v>31</v>
      </c>
      <c r="H2227" t="s">
        <v>27</v>
      </c>
      <c r="I2227" t="s">
        <v>27</v>
      </c>
      <c r="J2227" t="s">
        <v>33</v>
      </c>
      <c r="K2227">
        <v>194063</v>
      </c>
      <c r="L2227" t="s">
        <v>31</v>
      </c>
      <c r="M2227">
        <v>94.644622010384495</v>
      </c>
    </row>
    <row r="2228" spans="1:13" hidden="1" x14ac:dyDescent="0.3">
      <c r="A2228" t="s">
        <v>495</v>
      </c>
      <c r="B2228" t="s">
        <v>51</v>
      </c>
      <c r="C2228" t="s">
        <v>52</v>
      </c>
      <c r="D2228">
        <v>2023</v>
      </c>
      <c r="E2228" t="s">
        <v>31</v>
      </c>
      <c r="F2228" t="s">
        <v>57</v>
      </c>
      <c r="G2228" t="s">
        <v>31</v>
      </c>
      <c r="H2228" t="s">
        <v>27</v>
      </c>
      <c r="I2228" t="s">
        <v>27</v>
      </c>
      <c r="J2228" t="s">
        <v>27</v>
      </c>
      <c r="K2228">
        <v>3472</v>
      </c>
      <c r="L2228" t="s">
        <v>31</v>
      </c>
      <c r="M2228">
        <v>94.644622010384495</v>
      </c>
    </row>
    <row r="2229" spans="1:13" hidden="1" x14ac:dyDescent="0.3">
      <c r="A2229" t="s">
        <v>496</v>
      </c>
      <c r="B2229" t="s">
        <v>51</v>
      </c>
      <c r="C2229" t="s">
        <v>52</v>
      </c>
      <c r="D2229">
        <v>2023</v>
      </c>
      <c r="E2229">
        <v>17500</v>
      </c>
      <c r="F2229" t="s">
        <v>75</v>
      </c>
      <c r="G2229" t="s">
        <v>315</v>
      </c>
      <c r="H2229" t="s">
        <v>27</v>
      </c>
      <c r="I2229" t="s">
        <v>27</v>
      </c>
      <c r="J2229" t="s">
        <v>33</v>
      </c>
      <c r="K2229">
        <v>22236</v>
      </c>
      <c r="L2229">
        <v>18490</v>
      </c>
      <c r="M2229">
        <v>94.644622010384495</v>
      </c>
    </row>
    <row r="2230" spans="1:13" x14ac:dyDescent="0.3">
      <c r="A2230" t="s">
        <v>497</v>
      </c>
      <c r="B2230" t="s">
        <v>51</v>
      </c>
      <c r="C2230" t="s">
        <v>52</v>
      </c>
      <c r="D2230">
        <v>2023</v>
      </c>
      <c r="E2230">
        <v>1200</v>
      </c>
      <c r="F2230" t="s">
        <v>119</v>
      </c>
      <c r="G2230" t="s">
        <v>82</v>
      </c>
      <c r="H2230" t="s">
        <v>27</v>
      </c>
      <c r="I2230" t="s">
        <v>27</v>
      </c>
      <c r="J2230" t="s">
        <v>33</v>
      </c>
      <c r="K2230">
        <v>26509</v>
      </c>
      <c r="L2230">
        <v>1268</v>
      </c>
      <c r="M2230">
        <v>94.644622010384495</v>
      </c>
    </row>
    <row r="2231" spans="1:13" hidden="1" x14ac:dyDescent="0.3">
      <c r="A2231" t="s">
        <v>498</v>
      </c>
      <c r="B2231" t="s">
        <v>28</v>
      </c>
      <c r="C2231" t="s">
        <v>30</v>
      </c>
      <c r="D2231">
        <v>2023</v>
      </c>
      <c r="E2231">
        <v>3500000</v>
      </c>
      <c r="F2231" t="s">
        <v>34</v>
      </c>
      <c r="G2231" t="s">
        <v>37</v>
      </c>
      <c r="H2231" t="s">
        <v>27</v>
      </c>
      <c r="I2231" t="s">
        <v>27</v>
      </c>
      <c r="J2231" t="s">
        <v>27</v>
      </c>
      <c r="K2231" t="s">
        <v>31</v>
      </c>
      <c r="L2231">
        <v>3698044</v>
      </c>
      <c r="M2231">
        <v>94.644622010384495</v>
      </c>
    </row>
    <row r="2232" spans="1:13" hidden="1" x14ac:dyDescent="0.3">
      <c r="A2232" t="s">
        <v>499</v>
      </c>
      <c r="B2232" t="s">
        <v>28</v>
      </c>
      <c r="C2232" t="s">
        <v>30</v>
      </c>
      <c r="D2232">
        <v>2023</v>
      </c>
      <c r="E2232" t="s">
        <v>31</v>
      </c>
      <c r="F2232" t="s">
        <v>242</v>
      </c>
      <c r="G2232" t="s">
        <v>37</v>
      </c>
      <c r="H2232" t="s">
        <v>27</v>
      </c>
      <c r="I2232" t="s">
        <v>27</v>
      </c>
      <c r="J2232" t="s">
        <v>27</v>
      </c>
      <c r="K2232" t="s">
        <v>31</v>
      </c>
      <c r="L2232" t="s">
        <v>31</v>
      </c>
      <c r="M2232">
        <v>94.644622010384495</v>
      </c>
    </row>
    <row r="2233" spans="1:13" hidden="1" x14ac:dyDescent="0.3">
      <c r="A2233" t="s">
        <v>500</v>
      </c>
      <c r="B2233" t="s">
        <v>28</v>
      </c>
      <c r="C2233" t="s">
        <v>30</v>
      </c>
      <c r="D2233">
        <v>2023</v>
      </c>
      <c r="E2233" t="s">
        <v>31</v>
      </c>
      <c r="F2233" t="s">
        <v>75</v>
      </c>
      <c r="G2233" t="s">
        <v>37</v>
      </c>
      <c r="H2233" t="s">
        <v>27</v>
      </c>
      <c r="I2233" t="s">
        <v>27</v>
      </c>
      <c r="J2233" t="s">
        <v>27</v>
      </c>
      <c r="K2233">
        <v>289083</v>
      </c>
      <c r="L2233" t="s">
        <v>31</v>
      </c>
      <c r="M2233">
        <v>94.644622010384495</v>
      </c>
    </row>
    <row r="2234" spans="1:13" x14ac:dyDescent="0.3">
      <c r="A2234" t="s">
        <v>1350</v>
      </c>
      <c r="B2234" t="s">
        <v>51</v>
      </c>
      <c r="C2234" t="s">
        <v>52</v>
      </c>
      <c r="D2234">
        <v>2023</v>
      </c>
      <c r="E2234">
        <v>50000</v>
      </c>
      <c r="F2234" t="s">
        <v>119</v>
      </c>
      <c r="G2234" t="s">
        <v>54</v>
      </c>
      <c r="H2234" t="s">
        <v>27</v>
      </c>
      <c r="I2234" t="s">
        <v>27</v>
      </c>
      <c r="J2234" t="s">
        <v>33</v>
      </c>
      <c r="K2234">
        <v>2400</v>
      </c>
      <c r="L2234">
        <v>52829</v>
      </c>
      <c r="M2234">
        <v>94.644622010384495</v>
      </c>
    </row>
    <row r="2235" spans="1:13" hidden="1" x14ac:dyDescent="0.3">
      <c r="A2235" t="s">
        <v>1351</v>
      </c>
      <c r="B2235" t="s">
        <v>51</v>
      </c>
      <c r="C2235" t="s">
        <v>134</v>
      </c>
      <c r="D2235">
        <v>2023</v>
      </c>
      <c r="E2235" t="s">
        <v>31</v>
      </c>
      <c r="F2235" t="s">
        <v>109</v>
      </c>
      <c r="G2235" t="s">
        <v>37</v>
      </c>
      <c r="H2235" t="s">
        <v>27</v>
      </c>
      <c r="I2235" t="s">
        <v>27</v>
      </c>
      <c r="J2235" t="s">
        <v>27</v>
      </c>
      <c r="K2235">
        <v>8444</v>
      </c>
      <c r="L2235" t="s">
        <v>31</v>
      </c>
      <c r="M2235">
        <v>94.644622010384495</v>
      </c>
    </row>
    <row r="2236" spans="1:13" hidden="1" x14ac:dyDescent="0.3">
      <c r="A2236" t="s">
        <v>1352</v>
      </c>
      <c r="B2236" t="s">
        <v>28</v>
      </c>
      <c r="C2236" t="s">
        <v>97</v>
      </c>
      <c r="D2236">
        <v>2023</v>
      </c>
      <c r="E2236">
        <v>2900000</v>
      </c>
      <c r="F2236" t="s">
        <v>34</v>
      </c>
      <c r="G2236" t="s">
        <v>31</v>
      </c>
      <c r="H2236" t="s">
        <v>27</v>
      </c>
      <c r="I2236" t="s">
        <v>27</v>
      </c>
      <c r="J2236" t="s">
        <v>27</v>
      </c>
      <c r="K2236">
        <v>266</v>
      </c>
      <c r="L2236">
        <v>3064094</v>
      </c>
      <c r="M2236">
        <v>94.644622010384495</v>
      </c>
    </row>
    <row r="2237" spans="1:13" hidden="1" x14ac:dyDescent="0.3">
      <c r="A2237" t="s">
        <v>1353</v>
      </c>
      <c r="B2237" t="s">
        <v>51</v>
      </c>
      <c r="C2237" t="s">
        <v>52</v>
      </c>
      <c r="D2237">
        <v>2023</v>
      </c>
      <c r="E2237" t="s">
        <v>31</v>
      </c>
      <c r="F2237" t="s">
        <v>109</v>
      </c>
      <c r="G2237" t="s">
        <v>31</v>
      </c>
      <c r="H2237" t="s">
        <v>27</v>
      </c>
      <c r="I2237" t="s">
        <v>27</v>
      </c>
      <c r="J2237" t="s">
        <v>27</v>
      </c>
      <c r="K2237">
        <v>14186</v>
      </c>
      <c r="L2237" t="s">
        <v>31</v>
      </c>
      <c r="M2237">
        <v>94.644622010384495</v>
      </c>
    </row>
    <row r="2238" spans="1:13" hidden="1" x14ac:dyDescent="0.3">
      <c r="A2238" t="s">
        <v>1354</v>
      </c>
      <c r="B2238" t="s">
        <v>28</v>
      </c>
      <c r="C2238" t="s">
        <v>30</v>
      </c>
      <c r="D2238">
        <v>2023</v>
      </c>
      <c r="E2238" t="s">
        <v>31</v>
      </c>
      <c r="F2238" t="s">
        <v>144</v>
      </c>
      <c r="G2238" t="s">
        <v>31</v>
      </c>
      <c r="H2238" t="s">
        <v>27</v>
      </c>
      <c r="I2238" t="s">
        <v>27</v>
      </c>
      <c r="J2238" t="s">
        <v>27</v>
      </c>
      <c r="K2238">
        <v>179</v>
      </c>
      <c r="L2238" t="s">
        <v>31</v>
      </c>
      <c r="M2238">
        <v>94.644622010384495</v>
      </c>
    </row>
    <row r="2239" spans="1:13" hidden="1" x14ac:dyDescent="0.3">
      <c r="A2239" t="s">
        <v>1355</v>
      </c>
      <c r="B2239" t="s">
        <v>51</v>
      </c>
      <c r="C2239" t="s">
        <v>52</v>
      </c>
      <c r="D2239">
        <v>2023</v>
      </c>
      <c r="E2239" t="s">
        <v>31</v>
      </c>
      <c r="F2239" t="s">
        <v>90</v>
      </c>
      <c r="G2239" t="s">
        <v>31</v>
      </c>
      <c r="H2239" t="s">
        <v>27</v>
      </c>
      <c r="I2239" t="s">
        <v>27</v>
      </c>
      <c r="J2239" t="s">
        <v>27</v>
      </c>
      <c r="K2239">
        <v>4400005</v>
      </c>
      <c r="L2239" t="s">
        <v>31</v>
      </c>
      <c r="M2239">
        <v>94.644622010384495</v>
      </c>
    </row>
    <row r="2240" spans="1:13" hidden="1" x14ac:dyDescent="0.3">
      <c r="A2240" t="s">
        <v>1356</v>
      </c>
      <c r="B2240" t="s">
        <v>51</v>
      </c>
      <c r="C2240" t="s">
        <v>52</v>
      </c>
      <c r="D2240">
        <v>2023</v>
      </c>
      <c r="E2240" t="s">
        <v>31</v>
      </c>
      <c r="F2240" t="s">
        <v>70</v>
      </c>
      <c r="G2240" t="s">
        <v>1357</v>
      </c>
      <c r="H2240" t="s">
        <v>27</v>
      </c>
      <c r="I2240" t="s">
        <v>27</v>
      </c>
      <c r="J2240" t="s">
        <v>27</v>
      </c>
      <c r="K2240">
        <v>112</v>
      </c>
      <c r="L2240" t="s">
        <v>31</v>
      </c>
      <c r="M2240">
        <v>94.644622010384495</v>
      </c>
    </row>
    <row r="2241" spans="1:13" hidden="1" x14ac:dyDescent="0.3">
      <c r="A2241" t="s">
        <v>1358</v>
      </c>
      <c r="B2241" t="s">
        <v>39</v>
      </c>
      <c r="C2241" t="s">
        <v>142</v>
      </c>
      <c r="D2241">
        <v>2023</v>
      </c>
      <c r="E2241">
        <v>5500000</v>
      </c>
      <c r="F2241" t="s">
        <v>34</v>
      </c>
      <c r="G2241" t="s">
        <v>31</v>
      </c>
      <c r="H2241" t="s">
        <v>27</v>
      </c>
      <c r="I2241" t="s">
        <v>27</v>
      </c>
      <c r="J2241" t="s">
        <v>33</v>
      </c>
      <c r="K2241">
        <v>7695</v>
      </c>
      <c r="L2241">
        <v>5811212</v>
      </c>
      <c r="M2241">
        <v>94.644622010384495</v>
      </c>
    </row>
    <row r="2242" spans="1:13" hidden="1" x14ac:dyDescent="0.3">
      <c r="A2242" t="s">
        <v>1359</v>
      </c>
      <c r="B2242" t="s">
        <v>28</v>
      </c>
      <c r="C2242" t="s">
        <v>30</v>
      </c>
      <c r="D2242">
        <v>2023</v>
      </c>
      <c r="E2242" t="s">
        <v>31</v>
      </c>
      <c r="F2242" t="s">
        <v>130</v>
      </c>
      <c r="G2242" t="s">
        <v>37</v>
      </c>
      <c r="H2242" t="s">
        <v>27</v>
      </c>
      <c r="I2242" t="s">
        <v>27</v>
      </c>
      <c r="J2242" t="s">
        <v>27</v>
      </c>
      <c r="K2242">
        <v>6000</v>
      </c>
      <c r="L2242" t="s">
        <v>31</v>
      </c>
      <c r="M2242">
        <v>94.644622010384495</v>
      </c>
    </row>
    <row r="2243" spans="1:13" hidden="1" x14ac:dyDescent="0.3">
      <c r="A2243" t="s">
        <v>1360</v>
      </c>
      <c r="B2243" t="s">
        <v>28</v>
      </c>
      <c r="C2243" t="s">
        <v>30</v>
      </c>
      <c r="D2243">
        <v>2023</v>
      </c>
      <c r="E2243" t="s">
        <v>31</v>
      </c>
      <c r="F2243" t="s">
        <v>49</v>
      </c>
      <c r="G2243" t="s">
        <v>31</v>
      </c>
      <c r="H2243" t="s">
        <v>27</v>
      </c>
      <c r="I2243" t="s">
        <v>27</v>
      </c>
      <c r="J2243" t="s">
        <v>27</v>
      </c>
      <c r="K2243" t="s">
        <v>31</v>
      </c>
      <c r="L2243" t="s">
        <v>31</v>
      </c>
      <c r="M2243">
        <v>94.644622010384495</v>
      </c>
    </row>
    <row r="2244" spans="1:13" hidden="1" x14ac:dyDescent="0.3">
      <c r="A2244" t="s">
        <v>1361</v>
      </c>
      <c r="B2244" t="s">
        <v>51</v>
      </c>
      <c r="C2244" t="s">
        <v>52</v>
      </c>
      <c r="D2244">
        <v>2023</v>
      </c>
      <c r="E2244" t="s">
        <v>31</v>
      </c>
      <c r="F2244" t="s">
        <v>117</v>
      </c>
      <c r="G2244" t="s">
        <v>31</v>
      </c>
      <c r="H2244" t="s">
        <v>27</v>
      </c>
      <c r="I2244" t="s">
        <v>27</v>
      </c>
      <c r="J2244" t="s">
        <v>33</v>
      </c>
      <c r="K2244">
        <v>7675</v>
      </c>
      <c r="L2244" t="s">
        <v>31</v>
      </c>
      <c r="M2244">
        <v>94.644622010384495</v>
      </c>
    </row>
    <row r="2245" spans="1:13" hidden="1" x14ac:dyDescent="0.3">
      <c r="A2245" t="s">
        <v>1362</v>
      </c>
      <c r="B2245" t="s">
        <v>51</v>
      </c>
      <c r="C2245" t="s">
        <v>52</v>
      </c>
      <c r="D2245">
        <v>2023</v>
      </c>
      <c r="E2245" t="s">
        <v>31</v>
      </c>
      <c r="F2245" t="s">
        <v>45</v>
      </c>
      <c r="G2245" t="s">
        <v>31</v>
      </c>
      <c r="H2245" t="s">
        <v>27</v>
      </c>
      <c r="I2245" t="s">
        <v>27</v>
      </c>
      <c r="J2245" t="s">
        <v>27</v>
      </c>
      <c r="K2245" t="s">
        <v>31</v>
      </c>
      <c r="L2245" t="s">
        <v>31</v>
      </c>
      <c r="M2245">
        <v>94.644622010384495</v>
      </c>
    </row>
    <row r="2246" spans="1:13" hidden="1" x14ac:dyDescent="0.3">
      <c r="A2246" t="s">
        <v>1363</v>
      </c>
      <c r="B2246" t="s">
        <v>51</v>
      </c>
      <c r="C2246" t="s">
        <v>52</v>
      </c>
      <c r="D2246">
        <v>2023</v>
      </c>
      <c r="E2246" t="s">
        <v>31</v>
      </c>
      <c r="F2246" t="s">
        <v>47</v>
      </c>
      <c r="G2246" t="s">
        <v>31</v>
      </c>
      <c r="H2246" t="s">
        <v>27</v>
      </c>
      <c r="I2246" t="s">
        <v>27</v>
      </c>
      <c r="J2246" t="s">
        <v>33</v>
      </c>
      <c r="K2246">
        <v>41088</v>
      </c>
      <c r="L2246" t="s">
        <v>31</v>
      </c>
      <c r="M2246">
        <v>94.644622010384495</v>
      </c>
    </row>
    <row r="2247" spans="1:13" hidden="1" x14ac:dyDescent="0.3">
      <c r="A2247" t="s">
        <v>1364</v>
      </c>
      <c r="B2247" t="s">
        <v>39</v>
      </c>
      <c r="C2247" t="s">
        <v>157</v>
      </c>
      <c r="D2247">
        <v>2023</v>
      </c>
      <c r="E2247" t="s">
        <v>31</v>
      </c>
      <c r="F2247" t="s">
        <v>49</v>
      </c>
      <c r="G2247" t="s">
        <v>31</v>
      </c>
      <c r="H2247" t="s">
        <v>27</v>
      </c>
      <c r="I2247" t="s">
        <v>27</v>
      </c>
      <c r="J2247" t="s">
        <v>27</v>
      </c>
      <c r="K2247">
        <v>10300</v>
      </c>
      <c r="L2247" t="s">
        <v>31</v>
      </c>
      <c r="M2247">
        <v>94.644622010384495</v>
      </c>
    </row>
    <row r="2248" spans="1:13" hidden="1" x14ac:dyDescent="0.3">
      <c r="A2248" t="s">
        <v>1365</v>
      </c>
      <c r="B2248" t="s">
        <v>39</v>
      </c>
      <c r="C2248" t="s">
        <v>157</v>
      </c>
      <c r="D2248">
        <v>2023</v>
      </c>
      <c r="E2248">
        <v>14500000</v>
      </c>
      <c r="F2248" t="s">
        <v>34</v>
      </c>
      <c r="G2248" t="s">
        <v>95</v>
      </c>
      <c r="H2248" t="s">
        <v>27</v>
      </c>
      <c r="I2248" t="s">
        <v>27</v>
      </c>
      <c r="J2248" t="s">
        <v>27</v>
      </c>
      <c r="K2248" t="s">
        <v>31</v>
      </c>
      <c r="L2248">
        <v>15320469</v>
      </c>
      <c r="M2248">
        <v>94.644622010384495</v>
      </c>
    </row>
    <row r="2249" spans="1:13" x14ac:dyDescent="0.3">
      <c r="A2249" t="s">
        <v>1968</v>
      </c>
      <c r="B2249" t="s">
        <v>51</v>
      </c>
      <c r="C2249" t="s">
        <v>52</v>
      </c>
      <c r="D2249">
        <v>2023</v>
      </c>
      <c r="E2249">
        <v>10000</v>
      </c>
      <c r="F2249" t="s">
        <v>119</v>
      </c>
      <c r="G2249" t="s">
        <v>155</v>
      </c>
      <c r="H2249" t="s">
        <v>27</v>
      </c>
      <c r="I2249" t="s">
        <v>27</v>
      </c>
      <c r="J2249" t="s">
        <v>27</v>
      </c>
      <c r="K2249">
        <v>180</v>
      </c>
      <c r="L2249">
        <v>10566</v>
      </c>
      <c r="M2249">
        <v>94.644622010384495</v>
      </c>
    </row>
    <row r="2250" spans="1:13" hidden="1" x14ac:dyDescent="0.3">
      <c r="A2250" t="s">
        <v>1969</v>
      </c>
      <c r="B2250" t="s">
        <v>28</v>
      </c>
      <c r="C2250" t="s">
        <v>278</v>
      </c>
      <c r="D2250">
        <v>2023</v>
      </c>
      <c r="E2250">
        <v>165000</v>
      </c>
      <c r="F2250" t="s">
        <v>77</v>
      </c>
      <c r="G2250" t="s">
        <v>31</v>
      </c>
      <c r="H2250" t="s">
        <v>27</v>
      </c>
      <c r="I2250" t="s">
        <v>27</v>
      </c>
      <c r="J2250" t="s">
        <v>27</v>
      </c>
      <c r="K2250" t="s">
        <v>31</v>
      </c>
      <c r="L2250">
        <v>174336</v>
      </c>
      <c r="M2250">
        <v>94.644622010384495</v>
      </c>
    </row>
    <row r="2251" spans="1:13" hidden="1" x14ac:dyDescent="0.3">
      <c r="A2251" t="s">
        <v>1970</v>
      </c>
      <c r="B2251" t="s">
        <v>51</v>
      </c>
      <c r="C2251" t="s">
        <v>52</v>
      </c>
      <c r="D2251">
        <v>2023</v>
      </c>
      <c r="E2251">
        <v>205000</v>
      </c>
      <c r="F2251" t="s">
        <v>109</v>
      </c>
      <c r="G2251" t="s">
        <v>54</v>
      </c>
      <c r="H2251" t="s">
        <v>27</v>
      </c>
      <c r="I2251" t="s">
        <v>27</v>
      </c>
      <c r="J2251" t="s">
        <v>27</v>
      </c>
      <c r="K2251">
        <v>66764</v>
      </c>
      <c r="L2251">
        <v>216600</v>
      </c>
      <c r="M2251">
        <v>94.644622010384495</v>
      </c>
    </row>
    <row r="2252" spans="1:13" hidden="1" x14ac:dyDescent="0.3">
      <c r="A2252" t="s">
        <v>1986</v>
      </c>
      <c r="B2252" t="s">
        <v>28</v>
      </c>
      <c r="C2252" t="s">
        <v>30</v>
      </c>
      <c r="D2252">
        <v>2023</v>
      </c>
      <c r="E2252">
        <v>12000000</v>
      </c>
      <c r="F2252" t="s">
        <v>73</v>
      </c>
      <c r="G2252" t="s">
        <v>82</v>
      </c>
      <c r="H2252" t="s">
        <v>27</v>
      </c>
      <c r="I2252" t="s">
        <v>27</v>
      </c>
      <c r="J2252" t="s">
        <v>27</v>
      </c>
      <c r="K2252">
        <v>988000</v>
      </c>
      <c r="L2252">
        <v>12679009</v>
      </c>
      <c r="M2252">
        <v>94.644622010384495</v>
      </c>
    </row>
    <row r="2253" spans="1:13" hidden="1" x14ac:dyDescent="0.3">
      <c r="A2253" t="s">
        <v>2006</v>
      </c>
      <c r="B2253" t="s">
        <v>43</v>
      </c>
      <c r="C2253" t="s">
        <v>114</v>
      </c>
      <c r="D2253">
        <v>2023</v>
      </c>
      <c r="E2253" t="s">
        <v>31</v>
      </c>
      <c r="F2253" t="s">
        <v>161</v>
      </c>
      <c r="G2253" t="s">
        <v>31</v>
      </c>
      <c r="H2253" t="s">
        <v>27</v>
      </c>
      <c r="I2253" t="s">
        <v>27</v>
      </c>
      <c r="J2253" t="s">
        <v>27</v>
      </c>
      <c r="K2253">
        <v>14403</v>
      </c>
      <c r="L2253" t="s">
        <v>31</v>
      </c>
      <c r="M2253">
        <v>94.644622010384495</v>
      </c>
    </row>
    <row r="2254" spans="1:13" hidden="1" x14ac:dyDescent="0.3">
      <c r="A2254" t="s">
        <v>2061</v>
      </c>
      <c r="B2254" t="s">
        <v>51</v>
      </c>
      <c r="C2254" t="s">
        <v>134</v>
      </c>
      <c r="D2254">
        <v>2023</v>
      </c>
      <c r="E2254" t="s">
        <v>31</v>
      </c>
      <c r="F2254" t="s">
        <v>47</v>
      </c>
      <c r="G2254" t="s">
        <v>31</v>
      </c>
      <c r="H2254" t="s">
        <v>27</v>
      </c>
      <c r="I2254" t="s">
        <v>27</v>
      </c>
      <c r="J2254" t="s">
        <v>27</v>
      </c>
      <c r="K2254">
        <v>700</v>
      </c>
      <c r="L2254" t="s">
        <v>31</v>
      </c>
      <c r="M2254">
        <v>94.644622010384495</v>
      </c>
    </row>
    <row r="2255" spans="1:13" hidden="1" x14ac:dyDescent="0.3">
      <c r="A2255" t="s">
        <v>2062</v>
      </c>
      <c r="B2255" t="s">
        <v>39</v>
      </c>
      <c r="C2255" t="s">
        <v>142</v>
      </c>
      <c r="D2255">
        <v>2023</v>
      </c>
      <c r="E2255">
        <v>900000</v>
      </c>
      <c r="F2255" t="s">
        <v>60</v>
      </c>
      <c r="G2255" t="s">
        <v>95</v>
      </c>
      <c r="H2255" t="s">
        <v>27</v>
      </c>
      <c r="I2255" t="s">
        <v>27</v>
      </c>
      <c r="J2255" t="s">
        <v>27</v>
      </c>
      <c r="K2255">
        <v>10534</v>
      </c>
      <c r="L2255">
        <v>950926</v>
      </c>
      <c r="M2255">
        <v>94.644622010384495</v>
      </c>
    </row>
    <row r="2256" spans="1:13" hidden="1" x14ac:dyDescent="0.3">
      <c r="A2256" t="s">
        <v>2063</v>
      </c>
      <c r="B2256" t="s">
        <v>51</v>
      </c>
      <c r="C2256" t="s">
        <v>134</v>
      </c>
      <c r="D2256">
        <v>2023</v>
      </c>
      <c r="E2256" t="s">
        <v>31</v>
      </c>
      <c r="F2256" t="s">
        <v>53</v>
      </c>
      <c r="G2256" t="s">
        <v>37</v>
      </c>
      <c r="H2256" t="s">
        <v>27</v>
      </c>
      <c r="I2256" t="s">
        <v>27</v>
      </c>
      <c r="J2256" t="s">
        <v>33</v>
      </c>
      <c r="K2256">
        <v>6327</v>
      </c>
      <c r="L2256" t="s">
        <v>31</v>
      </c>
      <c r="M2256">
        <v>94.644622010384495</v>
      </c>
    </row>
    <row r="2257" spans="1:13" x14ac:dyDescent="0.3">
      <c r="A2257" t="s">
        <v>2064</v>
      </c>
      <c r="B2257" t="s">
        <v>51</v>
      </c>
      <c r="C2257" t="s">
        <v>52</v>
      </c>
      <c r="D2257">
        <v>2023</v>
      </c>
      <c r="E2257">
        <v>30000</v>
      </c>
      <c r="F2257" t="s">
        <v>119</v>
      </c>
      <c r="G2257" t="s">
        <v>54</v>
      </c>
      <c r="H2257" t="s">
        <v>27</v>
      </c>
      <c r="I2257" t="s">
        <v>27</v>
      </c>
      <c r="J2257" t="s">
        <v>27</v>
      </c>
      <c r="K2257">
        <v>4025</v>
      </c>
      <c r="L2257">
        <v>31698</v>
      </c>
      <c r="M2257">
        <v>94.644622010384495</v>
      </c>
    </row>
    <row r="2258" spans="1:13" x14ac:dyDescent="0.3">
      <c r="A2258" t="s">
        <v>2065</v>
      </c>
      <c r="B2258" t="s">
        <v>51</v>
      </c>
      <c r="C2258" t="s">
        <v>52</v>
      </c>
      <c r="D2258">
        <v>2023</v>
      </c>
      <c r="E2258">
        <v>95000</v>
      </c>
      <c r="F2258" t="s">
        <v>119</v>
      </c>
      <c r="G2258" t="s">
        <v>31</v>
      </c>
      <c r="H2258" t="s">
        <v>27</v>
      </c>
      <c r="I2258" t="s">
        <v>27</v>
      </c>
      <c r="J2258" t="s">
        <v>33</v>
      </c>
      <c r="K2258">
        <v>750</v>
      </c>
      <c r="L2258">
        <v>100375</v>
      </c>
      <c r="M2258">
        <v>94.644622010384495</v>
      </c>
    </row>
    <row r="2259" spans="1:13" hidden="1" x14ac:dyDescent="0.3">
      <c r="A2259" t="s">
        <v>2066</v>
      </c>
      <c r="B2259" t="s">
        <v>91</v>
      </c>
      <c r="C2259" t="s">
        <v>93</v>
      </c>
      <c r="D2259">
        <v>2023</v>
      </c>
      <c r="E2259" t="s">
        <v>31</v>
      </c>
      <c r="F2259" t="s">
        <v>109</v>
      </c>
      <c r="G2259" t="s">
        <v>31</v>
      </c>
      <c r="H2259" t="s">
        <v>27</v>
      </c>
      <c r="I2259" t="s">
        <v>27</v>
      </c>
      <c r="J2259" t="s">
        <v>27</v>
      </c>
      <c r="K2259">
        <v>127416</v>
      </c>
      <c r="L2259" t="s">
        <v>31</v>
      </c>
      <c r="M2259">
        <v>94.644622010384495</v>
      </c>
    </row>
    <row r="2260" spans="1:13" hidden="1" x14ac:dyDescent="0.3">
      <c r="A2260" t="s">
        <v>2067</v>
      </c>
      <c r="B2260" t="s">
        <v>91</v>
      </c>
      <c r="C2260" t="s">
        <v>93</v>
      </c>
      <c r="D2260">
        <v>2023</v>
      </c>
      <c r="E2260" t="s">
        <v>31</v>
      </c>
      <c r="F2260" t="s">
        <v>53</v>
      </c>
      <c r="G2260" t="s">
        <v>31</v>
      </c>
      <c r="H2260" t="s">
        <v>27</v>
      </c>
      <c r="I2260" t="s">
        <v>27</v>
      </c>
      <c r="J2260" t="s">
        <v>27</v>
      </c>
      <c r="K2260">
        <v>141</v>
      </c>
      <c r="L2260" t="s">
        <v>31</v>
      </c>
      <c r="M2260">
        <v>94.644622010384495</v>
      </c>
    </row>
    <row r="2261" spans="1:13" hidden="1" x14ac:dyDescent="0.3">
      <c r="A2261" t="s">
        <v>2068</v>
      </c>
      <c r="B2261" t="s">
        <v>51</v>
      </c>
      <c r="C2261" t="s">
        <v>52</v>
      </c>
      <c r="D2261">
        <v>2023</v>
      </c>
      <c r="E2261" t="s">
        <v>31</v>
      </c>
      <c r="F2261" t="s">
        <v>111</v>
      </c>
      <c r="G2261" t="s">
        <v>31</v>
      </c>
      <c r="H2261" t="s">
        <v>27</v>
      </c>
      <c r="I2261" t="s">
        <v>27</v>
      </c>
      <c r="J2261" t="s">
        <v>27</v>
      </c>
      <c r="K2261">
        <v>9960</v>
      </c>
      <c r="L2261" t="s">
        <v>31</v>
      </c>
      <c r="M2261">
        <v>94.644622010384495</v>
      </c>
    </row>
    <row r="2262" spans="1:13" hidden="1" x14ac:dyDescent="0.3">
      <c r="A2262" t="s">
        <v>2069</v>
      </c>
      <c r="B2262" t="s">
        <v>28</v>
      </c>
      <c r="C2262" t="s">
        <v>97</v>
      </c>
      <c r="D2262">
        <v>2023</v>
      </c>
      <c r="E2262">
        <v>5500000</v>
      </c>
      <c r="F2262" t="s">
        <v>34</v>
      </c>
      <c r="G2262" t="s">
        <v>31</v>
      </c>
      <c r="H2262" t="s">
        <v>27</v>
      </c>
      <c r="I2262" t="s">
        <v>27</v>
      </c>
      <c r="J2262" t="s">
        <v>27</v>
      </c>
      <c r="K2262">
        <v>6479</v>
      </c>
      <c r="L2262">
        <v>5811212</v>
      </c>
      <c r="M2262">
        <v>94.644622010384495</v>
      </c>
    </row>
    <row r="2263" spans="1:13" hidden="1" x14ac:dyDescent="0.3">
      <c r="A2263" t="s">
        <v>2070</v>
      </c>
      <c r="B2263" t="s">
        <v>51</v>
      </c>
      <c r="C2263" t="s">
        <v>52</v>
      </c>
      <c r="D2263">
        <v>2023</v>
      </c>
      <c r="E2263" t="s">
        <v>31</v>
      </c>
      <c r="F2263" t="s">
        <v>119</v>
      </c>
      <c r="G2263" t="s">
        <v>54</v>
      </c>
      <c r="H2263" t="s">
        <v>27</v>
      </c>
      <c r="I2263" t="s">
        <v>27</v>
      </c>
      <c r="J2263" t="s">
        <v>33</v>
      </c>
      <c r="K2263">
        <v>3719</v>
      </c>
      <c r="L2263" t="s">
        <v>31</v>
      </c>
      <c r="M2263">
        <v>94.644622010384495</v>
      </c>
    </row>
    <row r="2264" spans="1:13" hidden="1" x14ac:dyDescent="0.3">
      <c r="A2264" t="s">
        <v>2071</v>
      </c>
      <c r="B2264" t="s">
        <v>51</v>
      </c>
      <c r="C2264" t="s">
        <v>52</v>
      </c>
      <c r="D2264">
        <v>2023</v>
      </c>
      <c r="E2264" t="s">
        <v>31</v>
      </c>
      <c r="F2264" t="s">
        <v>119</v>
      </c>
      <c r="G2264" t="s">
        <v>54</v>
      </c>
      <c r="H2264" t="s">
        <v>27</v>
      </c>
      <c r="I2264" t="s">
        <v>27</v>
      </c>
      <c r="J2264" t="s">
        <v>33</v>
      </c>
      <c r="K2264">
        <v>1152</v>
      </c>
      <c r="L2264" t="s">
        <v>31</v>
      </c>
      <c r="M2264">
        <v>94.644622010384495</v>
      </c>
    </row>
    <row r="2265" spans="1:13" hidden="1" x14ac:dyDescent="0.3">
      <c r="A2265" t="s">
        <v>2072</v>
      </c>
      <c r="B2265" t="s">
        <v>28</v>
      </c>
      <c r="C2265" t="s">
        <v>64</v>
      </c>
      <c r="D2265">
        <v>2023</v>
      </c>
      <c r="E2265" t="s">
        <v>31</v>
      </c>
      <c r="F2265" t="s">
        <v>119</v>
      </c>
      <c r="G2265" t="s">
        <v>262</v>
      </c>
      <c r="H2265" t="s">
        <v>27</v>
      </c>
      <c r="I2265" t="s">
        <v>27</v>
      </c>
      <c r="J2265" t="s">
        <v>27</v>
      </c>
      <c r="K2265">
        <v>1050</v>
      </c>
      <c r="L2265" t="s">
        <v>31</v>
      </c>
      <c r="M2265">
        <v>94.644622010384495</v>
      </c>
    </row>
    <row r="2266" spans="1:13" hidden="1" x14ac:dyDescent="0.3">
      <c r="A2266" t="s">
        <v>2073</v>
      </c>
      <c r="B2266" t="s">
        <v>28</v>
      </c>
      <c r="C2266" t="s">
        <v>189</v>
      </c>
      <c r="D2266">
        <v>2023</v>
      </c>
      <c r="E2266">
        <v>2200000</v>
      </c>
      <c r="F2266" t="s">
        <v>34</v>
      </c>
      <c r="G2266" t="s">
        <v>65</v>
      </c>
      <c r="H2266" t="s">
        <v>27</v>
      </c>
      <c r="I2266" t="s">
        <v>27</v>
      </c>
      <c r="J2266" t="s">
        <v>27</v>
      </c>
      <c r="K2266" t="s">
        <v>31</v>
      </c>
      <c r="L2266">
        <v>2324485</v>
      </c>
      <c r="M2266">
        <v>94.644622010384495</v>
      </c>
    </row>
    <row r="2267" spans="1:13" hidden="1" x14ac:dyDescent="0.3">
      <c r="A2267" t="s">
        <v>2074</v>
      </c>
      <c r="B2267" t="s">
        <v>28</v>
      </c>
      <c r="C2267" t="s">
        <v>97</v>
      </c>
      <c r="D2267">
        <v>2023</v>
      </c>
      <c r="E2267">
        <v>4100000</v>
      </c>
      <c r="F2267" t="s">
        <v>34</v>
      </c>
      <c r="G2267" t="s">
        <v>65</v>
      </c>
      <c r="H2267" t="s">
        <v>27</v>
      </c>
      <c r="I2267" t="s">
        <v>27</v>
      </c>
      <c r="J2267" t="s">
        <v>27</v>
      </c>
      <c r="K2267">
        <v>612</v>
      </c>
      <c r="L2267">
        <v>4331995</v>
      </c>
      <c r="M2267">
        <v>94.644622010384495</v>
      </c>
    </row>
    <row r="2268" spans="1:13" hidden="1" x14ac:dyDescent="0.3">
      <c r="A2268" t="s">
        <v>2075</v>
      </c>
      <c r="B2268" t="s">
        <v>28</v>
      </c>
      <c r="C2268" t="s">
        <v>30</v>
      </c>
      <c r="D2268">
        <v>2023</v>
      </c>
      <c r="E2268" t="s">
        <v>31</v>
      </c>
      <c r="F2268" t="s">
        <v>148</v>
      </c>
      <c r="G2268" t="s">
        <v>31</v>
      </c>
      <c r="H2268" t="s">
        <v>27</v>
      </c>
      <c r="I2268" t="s">
        <v>27</v>
      </c>
      <c r="J2268" t="s">
        <v>27</v>
      </c>
      <c r="K2268">
        <v>150</v>
      </c>
      <c r="L2268" t="s">
        <v>31</v>
      </c>
      <c r="M2268">
        <v>94.644622010384495</v>
      </c>
    </row>
    <row r="2269" spans="1:13" hidden="1" x14ac:dyDescent="0.3">
      <c r="A2269" t="s">
        <v>2076</v>
      </c>
      <c r="B2269" t="s">
        <v>51</v>
      </c>
      <c r="C2269" t="s">
        <v>52</v>
      </c>
      <c r="D2269">
        <v>2023</v>
      </c>
      <c r="E2269">
        <v>765000</v>
      </c>
      <c r="F2269" t="s">
        <v>60</v>
      </c>
      <c r="G2269" t="s">
        <v>31</v>
      </c>
      <c r="H2269" t="s">
        <v>27</v>
      </c>
      <c r="I2269" t="s">
        <v>27</v>
      </c>
      <c r="J2269" t="s">
        <v>27</v>
      </c>
      <c r="K2269">
        <v>21673</v>
      </c>
      <c r="L2269">
        <v>808287</v>
      </c>
      <c r="M2269">
        <v>94.644622010384495</v>
      </c>
    </row>
    <row r="2270" spans="1:13" hidden="1" x14ac:dyDescent="0.3">
      <c r="A2270" t="s">
        <v>2077</v>
      </c>
      <c r="B2270" t="s">
        <v>51</v>
      </c>
      <c r="C2270" t="s">
        <v>52</v>
      </c>
      <c r="D2270">
        <v>2023</v>
      </c>
      <c r="E2270" t="s">
        <v>31</v>
      </c>
      <c r="F2270" t="s">
        <v>75</v>
      </c>
      <c r="G2270" t="s">
        <v>155</v>
      </c>
      <c r="H2270" t="s">
        <v>27</v>
      </c>
      <c r="I2270" t="s">
        <v>27</v>
      </c>
      <c r="J2270" t="s">
        <v>27</v>
      </c>
      <c r="K2270">
        <v>289083</v>
      </c>
      <c r="L2270" t="s">
        <v>31</v>
      </c>
      <c r="M2270">
        <v>94.644622010384495</v>
      </c>
    </row>
    <row r="2271" spans="1:13" hidden="1" x14ac:dyDescent="0.3">
      <c r="A2271" t="s">
        <v>2078</v>
      </c>
      <c r="B2271" t="s">
        <v>51</v>
      </c>
      <c r="C2271" t="s">
        <v>52</v>
      </c>
      <c r="D2271">
        <v>2023</v>
      </c>
      <c r="E2271" t="s">
        <v>31</v>
      </c>
      <c r="F2271" t="s">
        <v>130</v>
      </c>
      <c r="G2271" t="s">
        <v>29</v>
      </c>
      <c r="H2271" t="s">
        <v>27</v>
      </c>
      <c r="I2271" t="s">
        <v>27</v>
      </c>
      <c r="J2271" t="s">
        <v>27</v>
      </c>
      <c r="K2271">
        <v>38000</v>
      </c>
      <c r="L2271" t="s">
        <v>31</v>
      </c>
      <c r="M2271">
        <v>94.644622010384495</v>
      </c>
    </row>
    <row r="2272" spans="1:13" hidden="1" x14ac:dyDescent="0.3">
      <c r="A2272" t="s">
        <v>2079</v>
      </c>
      <c r="B2272" t="s">
        <v>51</v>
      </c>
      <c r="C2272" t="s">
        <v>52</v>
      </c>
      <c r="D2272">
        <v>2023</v>
      </c>
      <c r="E2272">
        <v>2200000</v>
      </c>
      <c r="F2272" t="s">
        <v>34</v>
      </c>
      <c r="G2272" t="s">
        <v>31</v>
      </c>
      <c r="H2272" t="s">
        <v>27</v>
      </c>
      <c r="I2272" t="s">
        <v>27</v>
      </c>
      <c r="J2272" t="s">
        <v>33</v>
      </c>
      <c r="K2272" t="s">
        <v>31</v>
      </c>
      <c r="L2272">
        <v>2324485</v>
      </c>
      <c r="M2272">
        <v>94.644622010384495</v>
      </c>
    </row>
    <row r="2273" spans="1:13" hidden="1" x14ac:dyDescent="0.3">
      <c r="A2273" t="s">
        <v>2080</v>
      </c>
      <c r="B2273" t="s">
        <v>39</v>
      </c>
      <c r="C2273" t="s">
        <v>142</v>
      </c>
      <c r="D2273">
        <v>2023</v>
      </c>
      <c r="E2273" t="s">
        <v>31</v>
      </c>
      <c r="F2273" t="s">
        <v>34</v>
      </c>
      <c r="G2273" t="s">
        <v>31</v>
      </c>
      <c r="H2273" t="s">
        <v>27</v>
      </c>
      <c r="I2273" t="s">
        <v>27</v>
      </c>
      <c r="J2273" t="s">
        <v>27</v>
      </c>
      <c r="K2273">
        <v>802</v>
      </c>
      <c r="L2273" t="s">
        <v>31</v>
      </c>
      <c r="M2273">
        <v>94.644622010384495</v>
      </c>
    </row>
    <row r="2274" spans="1:13" hidden="1" x14ac:dyDescent="0.3">
      <c r="A2274" t="s">
        <v>2081</v>
      </c>
      <c r="B2274" t="s">
        <v>28</v>
      </c>
      <c r="C2274" t="s">
        <v>30</v>
      </c>
      <c r="D2274">
        <v>2023</v>
      </c>
      <c r="E2274">
        <v>705000</v>
      </c>
      <c r="F2274" t="s">
        <v>119</v>
      </c>
      <c r="G2274" t="s">
        <v>100</v>
      </c>
      <c r="H2274" t="s">
        <v>27</v>
      </c>
      <c r="I2274" t="s">
        <v>27</v>
      </c>
      <c r="J2274" t="s">
        <v>33</v>
      </c>
      <c r="K2274">
        <v>341924</v>
      </c>
      <c r="L2274">
        <v>744892</v>
      </c>
      <c r="M2274">
        <v>94.644622010384495</v>
      </c>
    </row>
    <row r="2275" spans="1:13" hidden="1" x14ac:dyDescent="0.3">
      <c r="A2275" t="s">
        <v>2082</v>
      </c>
      <c r="B2275" t="s">
        <v>28</v>
      </c>
      <c r="C2275" t="s">
        <v>64</v>
      </c>
      <c r="D2275">
        <v>2023</v>
      </c>
      <c r="E2275" t="s">
        <v>31</v>
      </c>
      <c r="F2275" t="s">
        <v>49</v>
      </c>
      <c r="G2275" t="s">
        <v>37</v>
      </c>
      <c r="H2275" t="s">
        <v>27</v>
      </c>
      <c r="I2275" t="s">
        <v>27</v>
      </c>
      <c r="J2275" t="s">
        <v>27</v>
      </c>
      <c r="K2275">
        <v>46658</v>
      </c>
      <c r="L2275" t="s">
        <v>31</v>
      </c>
      <c r="M2275">
        <v>94.644622010384495</v>
      </c>
    </row>
    <row r="2276" spans="1:13" hidden="1" x14ac:dyDescent="0.3">
      <c r="A2276" t="s">
        <v>2083</v>
      </c>
      <c r="B2276" t="s">
        <v>28</v>
      </c>
      <c r="C2276" t="s">
        <v>64</v>
      </c>
      <c r="D2276">
        <v>2023</v>
      </c>
      <c r="E2276">
        <v>235000</v>
      </c>
      <c r="F2276" t="s">
        <v>119</v>
      </c>
      <c r="G2276" t="s">
        <v>2084</v>
      </c>
      <c r="H2276" t="s">
        <v>27</v>
      </c>
      <c r="I2276" t="s">
        <v>27</v>
      </c>
      <c r="J2276" t="s">
        <v>27</v>
      </c>
      <c r="K2276">
        <v>300</v>
      </c>
      <c r="L2276">
        <v>248297</v>
      </c>
      <c r="M2276">
        <v>94.644622010384495</v>
      </c>
    </row>
    <row r="2277" spans="1:13" hidden="1" x14ac:dyDescent="0.3">
      <c r="A2277" t="s">
        <v>2085</v>
      </c>
      <c r="B2277" t="s">
        <v>39</v>
      </c>
      <c r="C2277" t="s">
        <v>142</v>
      </c>
      <c r="D2277">
        <v>2023</v>
      </c>
      <c r="E2277" t="s">
        <v>31</v>
      </c>
      <c r="F2277" t="s">
        <v>111</v>
      </c>
      <c r="G2277" t="s">
        <v>31</v>
      </c>
      <c r="H2277" t="s">
        <v>27</v>
      </c>
      <c r="I2277" t="s">
        <v>27</v>
      </c>
      <c r="J2277" t="s">
        <v>27</v>
      </c>
      <c r="K2277" t="s">
        <v>31</v>
      </c>
      <c r="L2277" t="s">
        <v>31</v>
      </c>
      <c r="M2277">
        <v>94.644622010384495</v>
      </c>
    </row>
    <row r="2278" spans="1:13" hidden="1" x14ac:dyDescent="0.3">
      <c r="A2278" t="s">
        <v>2086</v>
      </c>
      <c r="B2278" t="s">
        <v>51</v>
      </c>
      <c r="C2278" t="s">
        <v>52</v>
      </c>
      <c r="D2278">
        <v>2023</v>
      </c>
      <c r="E2278" t="s">
        <v>31</v>
      </c>
      <c r="F2278" t="s">
        <v>111</v>
      </c>
      <c r="G2278" t="s">
        <v>54</v>
      </c>
      <c r="H2278" t="s">
        <v>27</v>
      </c>
      <c r="I2278" t="s">
        <v>27</v>
      </c>
      <c r="J2278" t="s">
        <v>27</v>
      </c>
      <c r="K2278">
        <v>8900</v>
      </c>
      <c r="L2278" t="s">
        <v>31</v>
      </c>
      <c r="M2278">
        <v>94.644622010384495</v>
      </c>
    </row>
    <row r="2279" spans="1:13" hidden="1" x14ac:dyDescent="0.3">
      <c r="A2279" t="s">
        <v>2087</v>
      </c>
      <c r="B2279" t="s">
        <v>28</v>
      </c>
      <c r="C2279" t="s">
        <v>64</v>
      </c>
      <c r="D2279">
        <v>2023</v>
      </c>
      <c r="E2279">
        <v>125000</v>
      </c>
      <c r="F2279" t="s">
        <v>130</v>
      </c>
      <c r="G2279" t="s">
        <v>302</v>
      </c>
      <c r="H2279" t="s">
        <v>27</v>
      </c>
      <c r="I2279" t="s">
        <v>27</v>
      </c>
      <c r="J2279" t="s">
        <v>33</v>
      </c>
      <c r="K2279">
        <v>8020</v>
      </c>
      <c r="L2279">
        <v>132073</v>
      </c>
      <c r="M2279">
        <v>94.644622010384495</v>
      </c>
    </row>
    <row r="2280" spans="1:13" hidden="1" x14ac:dyDescent="0.3">
      <c r="A2280" t="s">
        <v>2088</v>
      </c>
      <c r="B2280" t="s">
        <v>28</v>
      </c>
      <c r="C2280" t="s">
        <v>64</v>
      </c>
      <c r="D2280">
        <v>2023</v>
      </c>
      <c r="E2280" t="s">
        <v>31</v>
      </c>
      <c r="F2280" t="s">
        <v>57</v>
      </c>
      <c r="G2280" t="s">
        <v>302</v>
      </c>
      <c r="H2280" t="s">
        <v>27</v>
      </c>
      <c r="I2280" t="s">
        <v>27</v>
      </c>
      <c r="J2280" t="s">
        <v>27</v>
      </c>
      <c r="K2280" t="s">
        <v>31</v>
      </c>
      <c r="L2280" t="s">
        <v>31</v>
      </c>
      <c r="M2280">
        <v>94.644622010384495</v>
      </c>
    </row>
    <row r="2281" spans="1:13" hidden="1" x14ac:dyDescent="0.3">
      <c r="A2281" t="s">
        <v>2089</v>
      </c>
      <c r="B2281" t="s">
        <v>39</v>
      </c>
      <c r="C2281" t="s">
        <v>157</v>
      </c>
      <c r="D2281">
        <v>2023</v>
      </c>
      <c r="E2281" t="s">
        <v>31</v>
      </c>
      <c r="F2281" t="s">
        <v>111</v>
      </c>
      <c r="G2281" t="s">
        <v>95</v>
      </c>
      <c r="H2281" t="s">
        <v>27</v>
      </c>
      <c r="I2281" t="s">
        <v>27</v>
      </c>
      <c r="J2281" t="s">
        <v>33</v>
      </c>
      <c r="K2281">
        <v>2050000</v>
      </c>
      <c r="L2281" t="s">
        <v>31</v>
      </c>
      <c r="M2281">
        <v>94.644622010384495</v>
      </c>
    </row>
    <row r="2282" spans="1:13" hidden="1" x14ac:dyDescent="0.3">
      <c r="A2282" t="s">
        <v>225</v>
      </c>
      <c r="B2282" t="s">
        <v>39</v>
      </c>
      <c r="C2282" t="s">
        <v>142</v>
      </c>
      <c r="D2282">
        <v>2024</v>
      </c>
      <c r="E2282" t="s">
        <v>31</v>
      </c>
      <c r="F2282" t="s">
        <v>77</v>
      </c>
      <c r="G2282" t="s">
        <v>31</v>
      </c>
      <c r="H2282" t="s">
        <v>27</v>
      </c>
      <c r="I2282" t="s">
        <v>27</v>
      </c>
      <c r="J2282" t="s">
        <v>33</v>
      </c>
      <c r="K2282" t="s">
        <v>31</v>
      </c>
      <c r="L2282" t="s">
        <v>31</v>
      </c>
      <c r="M2282">
        <v>97.436175616133966</v>
      </c>
    </row>
    <row r="2283" spans="1:13" hidden="1" x14ac:dyDescent="0.3">
      <c r="A2283" t="s">
        <v>340</v>
      </c>
      <c r="B2283" t="s">
        <v>28</v>
      </c>
      <c r="C2283" t="s">
        <v>67</v>
      </c>
      <c r="D2283">
        <v>2024</v>
      </c>
      <c r="E2283">
        <v>3800000</v>
      </c>
      <c r="F2283" t="s">
        <v>34</v>
      </c>
      <c r="G2283" t="s">
        <v>341</v>
      </c>
      <c r="H2283" t="s">
        <v>27</v>
      </c>
      <c r="I2283" t="s">
        <v>27</v>
      </c>
      <c r="J2283" t="s">
        <v>33</v>
      </c>
      <c r="K2283" t="s">
        <v>31</v>
      </c>
      <c r="L2283">
        <v>3899989</v>
      </c>
      <c r="M2283">
        <v>97.436175616133966</v>
      </c>
    </row>
    <row r="2284" spans="1:13" hidden="1" x14ac:dyDescent="0.3">
      <c r="A2284" t="s">
        <v>343</v>
      </c>
      <c r="B2284" t="s">
        <v>51</v>
      </c>
      <c r="C2284" t="s">
        <v>52</v>
      </c>
      <c r="D2284">
        <v>2024</v>
      </c>
      <c r="E2284">
        <v>100000</v>
      </c>
      <c r="F2284" t="s">
        <v>109</v>
      </c>
      <c r="G2284" t="s">
        <v>54</v>
      </c>
      <c r="H2284" t="s">
        <v>27</v>
      </c>
      <c r="I2284" t="s">
        <v>27</v>
      </c>
      <c r="J2284" t="s">
        <v>33</v>
      </c>
      <c r="K2284">
        <v>117498</v>
      </c>
      <c r="L2284">
        <v>102631</v>
      </c>
      <c r="M2284">
        <v>97.436175616133966</v>
      </c>
    </row>
    <row r="2285" spans="1:13" hidden="1" x14ac:dyDescent="0.3">
      <c r="A2285" t="s">
        <v>349</v>
      </c>
      <c r="B2285" t="s">
        <v>51</v>
      </c>
      <c r="C2285" t="s">
        <v>52</v>
      </c>
      <c r="D2285">
        <v>2024</v>
      </c>
      <c r="E2285" t="s">
        <v>31</v>
      </c>
      <c r="F2285" t="s">
        <v>111</v>
      </c>
      <c r="G2285" t="s">
        <v>31</v>
      </c>
      <c r="H2285" t="s">
        <v>27</v>
      </c>
      <c r="I2285" t="s">
        <v>27</v>
      </c>
      <c r="J2285" t="s">
        <v>33</v>
      </c>
      <c r="K2285">
        <v>3990</v>
      </c>
      <c r="L2285" t="s">
        <v>31</v>
      </c>
      <c r="M2285">
        <v>97.436175616133966</v>
      </c>
    </row>
    <row r="2286" spans="1:13" hidden="1" x14ac:dyDescent="0.3">
      <c r="A2286" t="s">
        <v>350</v>
      </c>
      <c r="B2286" t="s">
        <v>39</v>
      </c>
      <c r="C2286" t="s">
        <v>142</v>
      </c>
      <c r="D2286">
        <v>2024</v>
      </c>
      <c r="E2286" t="s">
        <v>31</v>
      </c>
      <c r="F2286" t="s">
        <v>60</v>
      </c>
      <c r="G2286" t="s">
        <v>31</v>
      </c>
      <c r="H2286" t="s">
        <v>27</v>
      </c>
      <c r="I2286" t="s">
        <v>27</v>
      </c>
      <c r="J2286" t="s">
        <v>27</v>
      </c>
      <c r="K2286">
        <v>126</v>
      </c>
      <c r="L2286" t="s">
        <v>31</v>
      </c>
      <c r="M2286">
        <v>97.436175616133966</v>
      </c>
    </row>
    <row r="2287" spans="1:13" hidden="1" x14ac:dyDescent="0.3">
      <c r="A2287" t="s">
        <v>351</v>
      </c>
      <c r="B2287" t="s">
        <v>28</v>
      </c>
      <c r="C2287" t="s">
        <v>64</v>
      </c>
      <c r="D2287">
        <v>2024</v>
      </c>
      <c r="E2287">
        <v>4800000</v>
      </c>
      <c r="F2287" t="s">
        <v>34</v>
      </c>
      <c r="G2287" t="s">
        <v>37</v>
      </c>
      <c r="H2287" t="s">
        <v>27</v>
      </c>
      <c r="I2287" t="s">
        <v>27</v>
      </c>
      <c r="J2287" t="s">
        <v>27</v>
      </c>
      <c r="K2287" t="s">
        <v>31</v>
      </c>
      <c r="L2287">
        <v>4926302</v>
      </c>
      <c r="M2287">
        <v>97.436175616133966</v>
      </c>
    </row>
    <row r="2288" spans="1:13" hidden="1" x14ac:dyDescent="0.3">
      <c r="A2288" t="s">
        <v>352</v>
      </c>
      <c r="B2288" t="s">
        <v>28</v>
      </c>
      <c r="C2288" t="s">
        <v>97</v>
      </c>
      <c r="D2288">
        <v>2024</v>
      </c>
      <c r="E2288">
        <v>1725000</v>
      </c>
      <c r="F2288" t="s">
        <v>34</v>
      </c>
      <c r="G2288" t="s">
        <v>37</v>
      </c>
      <c r="H2288" t="s">
        <v>27</v>
      </c>
      <c r="I2288" t="s">
        <v>27</v>
      </c>
      <c r="J2288" t="s">
        <v>33</v>
      </c>
      <c r="K2288">
        <v>1165</v>
      </c>
      <c r="L2288">
        <v>1770390</v>
      </c>
      <c r="M2288">
        <v>97.436175616133966</v>
      </c>
    </row>
    <row r="2289" spans="1:13" hidden="1" x14ac:dyDescent="0.3">
      <c r="A2289" t="s">
        <v>353</v>
      </c>
      <c r="B2289" t="s">
        <v>28</v>
      </c>
      <c r="C2289" t="s">
        <v>30</v>
      </c>
      <c r="D2289">
        <v>2024</v>
      </c>
      <c r="E2289" t="s">
        <v>31</v>
      </c>
      <c r="F2289" t="s">
        <v>77</v>
      </c>
      <c r="G2289" t="s">
        <v>37</v>
      </c>
      <c r="H2289" t="s">
        <v>27</v>
      </c>
      <c r="I2289" t="s">
        <v>27</v>
      </c>
      <c r="J2289" t="s">
        <v>27</v>
      </c>
      <c r="K2289" t="s">
        <v>31</v>
      </c>
      <c r="L2289" t="s">
        <v>31</v>
      </c>
      <c r="M2289">
        <v>97.436175616133966</v>
      </c>
    </row>
    <row r="2290" spans="1:13" hidden="1" x14ac:dyDescent="0.3">
      <c r="A2290" t="s">
        <v>358</v>
      </c>
      <c r="B2290" t="s">
        <v>28</v>
      </c>
      <c r="C2290" t="s">
        <v>30</v>
      </c>
      <c r="D2290">
        <v>2024</v>
      </c>
      <c r="E2290">
        <v>140000</v>
      </c>
      <c r="F2290" t="s">
        <v>73</v>
      </c>
      <c r="G2290" t="s">
        <v>82</v>
      </c>
      <c r="H2290" t="s">
        <v>27</v>
      </c>
      <c r="I2290" t="s">
        <v>27</v>
      </c>
      <c r="J2290" t="s">
        <v>27</v>
      </c>
      <c r="K2290" t="s">
        <v>31</v>
      </c>
      <c r="L2290">
        <v>143684</v>
      </c>
      <c r="M2290">
        <v>97.436175616133966</v>
      </c>
    </row>
    <row r="2291" spans="1:13" hidden="1" x14ac:dyDescent="0.3">
      <c r="A2291" t="s">
        <v>359</v>
      </c>
      <c r="B2291" t="s">
        <v>28</v>
      </c>
      <c r="C2291" t="s">
        <v>30</v>
      </c>
      <c r="D2291">
        <v>2024</v>
      </c>
      <c r="E2291" t="s">
        <v>31</v>
      </c>
      <c r="F2291" t="s">
        <v>144</v>
      </c>
      <c r="G2291" t="s">
        <v>87</v>
      </c>
      <c r="H2291" t="s">
        <v>27</v>
      </c>
      <c r="I2291" t="s">
        <v>27</v>
      </c>
      <c r="J2291" t="s">
        <v>27</v>
      </c>
      <c r="K2291">
        <v>2500</v>
      </c>
      <c r="L2291" t="s">
        <v>31</v>
      </c>
      <c r="M2291">
        <v>97.436175616133966</v>
      </c>
    </row>
    <row r="2292" spans="1:13" hidden="1" x14ac:dyDescent="0.3">
      <c r="A2292" t="s">
        <v>360</v>
      </c>
      <c r="B2292" t="s">
        <v>28</v>
      </c>
      <c r="C2292" t="s">
        <v>30</v>
      </c>
      <c r="D2292">
        <v>2024</v>
      </c>
      <c r="E2292" t="s">
        <v>31</v>
      </c>
      <c r="F2292" t="s">
        <v>70</v>
      </c>
      <c r="G2292" t="s">
        <v>37</v>
      </c>
      <c r="H2292" t="s">
        <v>27</v>
      </c>
      <c r="I2292" t="s">
        <v>27</v>
      </c>
      <c r="J2292" t="s">
        <v>27</v>
      </c>
      <c r="K2292">
        <v>29000</v>
      </c>
      <c r="L2292" t="s">
        <v>31</v>
      </c>
      <c r="M2292">
        <v>97.436175616133966</v>
      </c>
    </row>
    <row r="2293" spans="1:13" hidden="1" x14ac:dyDescent="0.3">
      <c r="A2293" t="s">
        <v>365</v>
      </c>
      <c r="B2293" t="s">
        <v>28</v>
      </c>
      <c r="C2293" t="s">
        <v>30</v>
      </c>
      <c r="D2293">
        <v>2024</v>
      </c>
      <c r="E2293" t="s">
        <v>31</v>
      </c>
      <c r="F2293" t="s">
        <v>73</v>
      </c>
      <c r="G2293" t="s">
        <v>82</v>
      </c>
      <c r="H2293" t="s">
        <v>27</v>
      </c>
      <c r="I2293" t="s">
        <v>27</v>
      </c>
      <c r="J2293" t="s">
        <v>27</v>
      </c>
      <c r="K2293">
        <v>20000</v>
      </c>
      <c r="L2293" t="s">
        <v>31</v>
      </c>
      <c r="M2293">
        <v>97.436175616133966</v>
      </c>
    </row>
    <row r="2294" spans="1:13" hidden="1" x14ac:dyDescent="0.3">
      <c r="A2294" t="s">
        <v>366</v>
      </c>
      <c r="B2294" t="s">
        <v>51</v>
      </c>
      <c r="C2294" t="s">
        <v>52</v>
      </c>
      <c r="D2294">
        <v>2024</v>
      </c>
      <c r="E2294">
        <v>1100000</v>
      </c>
      <c r="F2294" t="s">
        <v>34</v>
      </c>
      <c r="G2294" t="s">
        <v>31</v>
      </c>
      <c r="H2294" t="s">
        <v>27</v>
      </c>
      <c r="I2294" t="s">
        <v>27</v>
      </c>
      <c r="J2294" t="s">
        <v>27</v>
      </c>
      <c r="K2294">
        <v>6000</v>
      </c>
      <c r="L2294">
        <v>1128944</v>
      </c>
      <c r="M2294">
        <v>97.436175616133966</v>
      </c>
    </row>
    <row r="2295" spans="1:13" hidden="1" x14ac:dyDescent="0.3">
      <c r="A2295" t="s">
        <v>373</v>
      </c>
      <c r="B2295" t="s">
        <v>39</v>
      </c>
      <c r="C2295" t="s">
        <v>142</v>
      </c>
      <c r="D2295">
        <v>2024</v>
      </c>
      <c r="E2295" t="s">
        <v>31</v>
      </c>
      <c r="F2295" t="s">
        <v>34</v>
      </c>
      <c r="G2295" t="s">
        <v>95</v>
      </c>
      <c r="H2295" t="s">
        <v>27</v>
      </c>
      <c r="I2295" t="s">
        <v>27</v>
      </c>
      <c r="J2295" t="s">
        <v>33</v>
      </c>
      <c r="K2295">
        <v>132</v>
      </c>
      <c r="L2295" t="s">
        <v>31</v>
      </c>
      <c r="M2295">
        <v>97.436175616133966</v>
      </c>
    </row>
    <row r="2296" spans="1:13" hidden="1" x14ac:dyDescent="0.3">
      <c r="A2296" t="s">
        <v>375</v>
      </c>
      <c r="B2296" t="s">
        <v>28</v>
      </c>
      <c r="C2296" t="s">
        <v>30</v>
      </c>
      <c r="D2296">
        <v>2024</v>
      </c>
      <c r="E2296" t="s">
        <v>31</v>
      </c>
      <c r="F2296" t="s">
        <v>73</v>
      </c>
      <c r="G2296" t="s">
        <v>37</v>
      </c>
      <c r="H2296" t="s">
        <v>27</v>
      </c>
      <c r="I2296" t="s">
        <v>27</v>
      </c>
      <c r="J2296" t="s">
        <v>27</v>
      </c>
      <c r="K2296" t="s">
        <v>31</v>
      </c>
      <c r="L2296" t="s">
        <v>31</v>
      </c>
      <c r="M2296">
        <v>97.436175616133966</v>
      </c>
    </row>
    <row r="2297" spans="1:13" hidden="1" x14ac:dyDescent="0.3">
      <c r="A2297" t="s">
        <v>377</v>
      </c>
      <c r="B2297" t="s">
        <v>28</v>
      </c>
      <c r="C2297" t="s">
        <v>30</v>
      </c>
      <c r="D2297">
        <v>2024</v>
      </c>
      <c r="E2297" t="s">
        <v>31</v>
      </c>
      <c r="F2297" t="s">
        <v>73</v>
      </c>
      <c r="G2297" t="s">
        <v>85</v>
      </c>
      <c r="H2297" t="s">
        <v>27</v>
      </c>
      <c r="I2297" t="s">
        <v>27</v>
      </c>
      <c r="J2297" t="s">
        <v>27</v>
      </c>
      <c r="K2297" t="s">
        <v>31</v>
      </c>
      <c r="L2297" t="s">
        <v>31</v>
      </c>
      <c r="M2297">
        <v>97.436175616133966</v>
      </c>
    </row>
    <row r="2298" spans="1:13" hidden="1" x14ac:dyDescent="0.3">
      <c r="A2298" t="s">
        <v>379</v>
      </c>
      <c r="B2298" t="s">
        <v>91</v>
      </c>
      <c r="C2298" t="s">
        <v>380</v>
      </c>
      <c r="D2298">
        <v>2024</v>
      </c>
      <c r="E2298" t="s">
        <v>31</v>
      </c>
      <c r="F2298" t="s">
        <v>47</v>
      </c>
      <c r="G2298" t="s">
        <v>31</v>
      </c>
      <c r="H2298" t="s">
        <v>27</v>
      </c>
      <c r="I2298" t="s">
        <v>27</v>
      </c>
      <c r="J2298" t="s">
        <v>27</v>
      </c>
      <c r="K2298">
        <v>335</v>
      </c>
      <c r="L2298" t="s">
        <v>31</v>
      </c>
      <c r="M2298">
        <v>97.436175616133966</v>
      </c>
    </row>
    <row r="2299" spans="1:13" hidden="1" x14ac:dyDescent="0.3">
      <c r="A2299" t="s">
        <v>383</v>
      </c>
      <c r="B2299" t="s">
        <v>28</v>
      </c>
      <c r="C2299" t="s">
        <v>30</v>
      </c>
      <c r="D2299">
        <v>2024</v>
      </c>
      <c r="E2299" t="s">
        <v>31</v>
      </c>
      <c r="F2299" t="s">
        <v>81</v>
      </c>
      <c r="G2299" t="s">
        <v>31</v>
      </c>
      <c r="H2299" t="s">
        <v>27</v>
      </c>
      <c r="I2299" t="s">
        <v>27</v>
      </c>
      <c r="J2299" t="s">
        <v>27</v>
      </c>
      <c r="K2299" t="s">
        <v>31</v>
      </c>
      <c r="L2299" t="s">
        <v>31</v>
      </c>
      <c r="M2299">
        <v>97.436175616133966</v>
      </c>
    </row>
    <row r="2300" spans="1:13" hidden="1" x14ac:dyDescent="0.3">
      <c r="A2300" t="s">
        <v>386</v>
      </c>
      <c r="B2300" t="s">
        <v>51</v>
      </c>
      <c r="C2300" t="s">
        <v>52</v>
      </c>
      <c r="D2300">
        <v>2024</v>
      </c>
      <c r="E2300" t="s">
        <v>31</v>
      </c>
      <c r="F2300" t="s">
        <v>161</v>
      </c>
      <c r="G2300" t="s">
        <v>31</v>
      </c>
      <c r="H2300" t="s">
        <v>27</v>
      </c>
      <c r="I2300" t="s">
        <v>27</v>
      </c>
      <c r="J2300" t="s">
        <v>27</v>
      </c>
      <c r="K2300">
        <v>1098668</v>
      </c>
      <c r="L2300" t="s">
        <v>31</v>
      </c>
      <c r="M2300">
        <v>97.436175616133966</v>
      </c>
    </row>
    <row r="2301" spans="1:13" hidden="1" x14ac:dyDescent="0.3">
      <c r="A2301" t="s">
        <v>390</v>
      </c>
      <c r="B2301" t="s">
        <v>51</v>
      </c>
      <c r="C2301" t="s">
        <v>52</v>
      </c>
      <c r="D2301">
        <v>2024</v>
      </c>
      <c r="E2301" t="s">
        <v>31</v>
      </c>
      <c r="F2301" t="s">
        <v>45</v>
      </c>
      <c r="G2301" t="s">
        <v>54</v>
      </c>
      <c r="H2301" t="s">
        <v>27</v>
      </c>
      <c r="I2301" t="s">
        <v>27</v>
      </c>
      <c r="J2301" t="s">
        <v>27</v>
      </c>
      <c r="K2301">
        <v>155025</v>
      </c>
      <c r="L2301" t="s">
        <v>31</v>
      </c>
      <c r="M2301">
        <v>97.436175616133966</v>
      </c>
    </row>
    <row r="2302" spans="1:13" hidden="1" x14ac:dyDescent="0.3">
      <c r="A2302" t="s">
        <v>392</v>
      </c>
      <c r="B2302" t="s">
        <v>51</v>
      </c>
      <c r="C2302" t="s">
        <v>52</v>
      </c>
      <c r="D2302">
        <v>2024</v>
      </c>
      <c r="E2302" t="s">
        <v>31</v>
      </c>
      <c r="F2302" t="s">
        <v>45</v>
      </c>
      <c r="G2302" t="s">
        <v>31</v>
      </c>
      <c r="H2302" t="s">
        <v>27</v>
      </c>
      <c r="I2302" t="s">
        <v>27</v>
      </c>
      <c r="J2302" t="s">
        <v>27</v>
      </c>
      <c r="K2302">
        <v>1015</v>
      </c>
      <c r="L2302" t="s">
        <v>31</v>
      </c>
      <c r="M2302">
        <v>97.436175616133966</v>
      </c>
    </row>
    <row r="2303" spans="1:13" hidden="1" x14ac:dyDescent="0.3">
      <c r="A2303" t="s">
        <v>393</v>
      </c>
      <c r="B2303" t="s">
        <v>39</v>
      </c>
      <c r="C2303" t="s">
        <v>157</v>
      </c>
      <c r="D2303">
        <v>2024</v>
      </c>
      <c r="E2303" t="s">
        <v>31</v>
      </c>
      <c r="F2303" t="s">
        <v>47</v>
      </c>
      <c r="G2303" t="s">
        <v>394</v>
      </c>
      <c r="H2303" t="s">
        <v>27</v>
      </c>
      <c r="I2303" t="s">
        <v>27</v>
      </c>
      <c r="J2303" t="s">
        <v>33</v>
      </c>
      <c r="K2303">
        <v>1143043</v>
      </c>
      <c r="L2303" t="s">
        <v>31</v>
      </c>
      <c r="M2303">
        <v>97.436175616133966</v>
      </c>
    </row>
    <row r="2304" spans="1:13" hidden="1" x14ac:dyDescent="0.3">
      <c r="A2304" t="s">
        <v>445</v>
      </c>
      <c r="B2304" t="s">
        <v>39</v>
      </c>
      <c r="C2304" t="s">
        <v>157</v>
      </c>
      <c r="D2304">
        <v>2024</v>
      </c>
      <c r="E2304" t="s">
        <v>31</v>
      </c>
      <c r="F2304" t="s">
        <v>446</v>
      </c>
      <c r="G2304" t="s">
        <v>447</v>
      </c>
      <c r="H2304" t="s">
        <v>27</v>
      </c>
      <c r="I2304" t="s">
        <v>27</v>
      </c>
      <c r="J2304" t="s">
        <v>33</v>
      </c>
      <c r="K2304">
        <v>100000</v>
      </c>
      <c r="L2304" t="s">
        <v>31</v>
      </c>
      <c r="M2304">
        <v>97.436175616133966</v>
      </c>
    </row>
    <row r="2305" spans="1:13" hidden="1" x14ac:dyDescent="0.3">
      <c r="A2305" t="s">
        <v>448</v>
      </c>
      <c r="B2305" t="s">
        <v>39</v>
      </c>
      <c r="C2305" t="s">
        <v>142</v>
      </c>
      <c r="D2305">
        <v>2024</v>
      </c>
      <c r="E2305" t="s">
        <v>31</v>
      </c>
      <c r="F2305" t="s">
        <v>34</v>
      </c>
      <c r="G2305" t="s">
        <v>31</v>
      </c>
      <c r="H2305" t="s">
        <v>27</v>
      </c>
      <c r="I2305" t="s">
        <v>27</v>
      </c>
      <c r="J2305" t="s">
        <v>27</v>
      </c>
      <c r="K2305">
        <v>150</v>
      </c>
      <c r="L2305" t="s">
        <v>31</v>
      </c>
      <c r="M2305">
        <v>97.436175616133966</v>
      </c>
    </row>
    <row r="2306" spans="1:13" hidden="1" x14ac:dyDescent="0.3">
      <c r="A2306" t="s">
        <v>449</v>
      </c>
      <c r="B2306" t="s">
        <v>51</v>
      </c>
      <c r="C2306" t="s">
        <v>52</v>
      </c>
      <c r="D2306">
        <v>2024</v>
      </c>
      <c r="E2306" t="s">
        <v>31</v>
      </c>
      <c r="F2306" t="s">
        <v>111</v>
      </c>
      <c r="G2306" t="s">
        <v>54</v>
      </c>
      <c r="H2306" t="s">
        <v>27</v>
      </c>
      <c r="I2306" t="s">
        <v>27</v>
      </c>
      <c r="J2306" t="s">
        <v>27</v>
      </c>
      <c r="K2306">
        <v>376</v>
      </c>
      <c r="L2306" t="s">
        <v>31</v>
      </c>
      <c r="M2306">
        <v>97.436175616133966</v>
      </c>
    </row>
    <row r="2307" spans="1:13" hidden="1" x14ac:dyDescent="0.3">
      <c r="A2307" t="s">
        <v>450</v>
      </c>
      <c r="B2307" t="s">
        <v>28</v>
      </c>
      <c r="C2307" t="s">
        <v>30</v>
      </c>
      <c r="D2307">
        <v>2024</v>
      </c>
      <c r="E2307" t="s">
        <v>31</v>
      </c>
      <c r="F2307" t="s">
        <v>45</v>
      </c>
      <c r="G2307" t="s">
        <v>31</v>
      </c>
      <c r="H2307" t="s">
        <v>27</v>
      </c>
      <c r="I2307" t="s">
        <v>27</v>
      </c>
      <c r="J2307" t="s">
        <v>27</v>
      </c>
      <c r="K2307" t="s">
        <v>31</v>
      </c>
      <c r="L2307" t="s">
        <v>31</v>
      </c>
      <c r="M2307">
        <v>97.436175616133966</v>
      </c>
    </row>
    <row r="2308" spans="1:13" hidden="1" x14ac:dyDescent="0.3">
      <c r="A2308" t="s">
        <v>451</v>
      </c>
      <c r="B2308" t="s">
        <v>28</v>
      </c>
      <c r="C2308" t="s">
        <v>30</v>
      </c>
      <c r="D2308">
        <v>2024</v>
      </c>
      <c r="E2308" t="s">
        <v>31</v>
      </c>
      <c r="F2308" t="s">
        <v>75</v>
      </c>
      <c r="G2308" t="s">
        <v>37</v>
      </c>
      <c r="H2308" t="s">
        <v>27</v>
      </c>
      <c r="I2308" t="s">
        <v>27</v>
      </c>
      <c r="J2308" t="s">
        <v>27</v>
      </c>
      <c r="K2308">
        <v>15000</v>
      </c>
      <c r="L2308" t="s">
        <v>31</v>
      </c>
      <c r="M2308">
        <v>97.436175616133966</v>
      </c>
    </row>
    <row r="2309" spans="1:13" hidden="1" x14ac:dyDescent="0.3">
      <c r="A2309" t="s">
        <v>452</v>
      </c>
      <c r="B2309" t="s">
        <v>91</v>
      </c>
      <c r="C2309" t="s">
        <v>93</v>
      </c>
      <c r="D2309">
        <v>2024</v>
      </c>
      <c r="E2309" t="s">
        <v>31</v>
      </c>
      <c r="F2309" t="s">
        <v>242</v>
      </c>
      <c r="G2309" t="s">
        <v>54</v>
      </c>
      <c r="H2309" t="s">
        <v>27</v>
      </c>
      <c r="I2309" t="s">
        <v>27</v>
      </c>
      <c r="J2309" t="s">
        <v>27</v>
      </c>
      <c r="K2309">
        <v>6007</v>
      </c>
      <c r="L2309" t="s">
        <v>31</v>
      </c>
      <c r="M2309">
        <v>97.436175616133966</v>
      </c>
    </row>
    <row r="2310" spans="1:13" hidden="1" x14ac:dyDescent="0.3">
      <c r="A2310" t="s">
        <v>453</v>
      </c>
      <c r="B2310" t="s">
        <v>28</v>
      </c>
      <c r="C2310" t="s">
        <v>64</v>
      </c>
      <c r="D2310">
        <v>2024</v>
      </c>
      <c r="E2310" t="s">
        <v>31</v>
      </c>
      <c r="F2310" t="s">
        <v>34</v>
      </c>
      <c r="G2310" t="s">
        <v>104</v>
      </c>
      <c r="H2310" t="s">
        <v>27</v>
      </c>
      <c r="I2310" t="s">
        <v>27</v>
      </c>
      <c r="J2310" t="s">
        <v>33</v>
      </c>
      <c r="K2310">
        <v>539</v>
      </c>
      <c r="L2310" t="s">
        <v>31</v>
      </c>
      <c r="M2310">
        <v>97.436175616133966</v>
      </c>
    </row>
    <row r="2311" spans="1:13" hidden="1" x14ac:dyDescent="0.3">
      <c r="A2311" t="s">
        <v>454</v>
      </c>
      <c r="B2311" t="s">
        <v>28</v>
      </c>
      <c r="C2311" t="s">
        <v>30</v>
      </c>
      <c r="D2311">
        <v>2024</v>
      </c>
      <c r="E2311" t="s">
        <v>31</v>
      </c>
      <c r="F2311" t="s">
        <v>73</v>
      </c>
      <c r="G2311" t="s">
        <v>31</v>
      </c>
      <c r="H2311" t="s">
        <v>27</v>
      </c>
      <c r="I2311" t="s">
        <v>27</v>
      </c>
      <c r="J2311" t="s">
        <v>27</v>
      </c>
      <c r="K2311">
        <v>3900</v>
      </c>
      <c r="L2311" t="s">
        <v>31</v>
      </c>
      <c r="M2311">
        <v>97.436175616133966</v>
      </c>
    </row>
    <row r="2312" spans="1:13" hidden="1" x14ac:dyDescent="0.3">
      <c r="A2312" t="s">
        <v>455</v>
      </c>
      <c r="B2312" t="s">
        <v>28</v>
      </c>
      <c r="C2312" t="s">
        <v>30</v>
      </c>
      <c r="D2312">
        <v>2024</v>
      </c>
      <c r="E2312">
        <v>80000000</v>
      </c>
      <c r="F2312" t="s">
        <v>34</v>
      </c>
      <c r="G2312" t="s">
        <v>85</v>
      </c>
      <c r="H2312" t="s">
        <v>27</v>
      </c>
      <c r="I2312" t="s">
        <v>27</v>
      </c>
      <c r="J2312" t="s">
        <v>27</v>
      </c>
      <c r="K2312" t="s">
        <v>31</v>
      </c>
      <c r="L2312">
        <v>82105029</v>
      </c>
      <c r="M2312">
        <v>97.436175616133966</v>
      </c>
    </row>
    <row r="2313" spans="1:13" hidden="1" x14ac:dyDescent="0.3">
      <c r="A2313" t="s">
        <v>456</v>
      </c>
      <c r="B2313" t="s">
        <v>28</v>
      </c>
      <c r="C2313" t="s">
        <v>30</v>
      </c>
      <c r="D2313">
        <v>2024</v>
      </c>
      <c r="E2313" t="s">
        <v>31</v>
      </c>
      <c r="F2313" t="s">
        <v>242</v>
      </c>
      <c r="G2313" t="s">
        <v>85</v>
      </c>
      <c r="H2313" t="s">
        <v>27</v>
      </c>
      <c r="I2313" t="s">
        <v>27</v>
      </c>
      <c r="J2313" t="s">
        <v>27</v>
      </c>
      <c r="K2313" t="s">
        <v>31</v>
      </c>
      <c r="L2313" t="s">
        <v>31</v>
      </c>
      <c r="M2313">
        <v>97.436175616133966</v>
      </c>
    </row>
    <row r="2314" spans="1:13" hidden="1" x14ac:dyDescent="0.3">
      <c r="A2314" t="s">
        <v>457</v>
      </c>
      <c r="B2314" t="s">
        <v>28</v>
      </c>
      <c r="C2314" t="s">
        <v>65</v>
      </c>
      <c r="D2314">
        <v>2024</v>
      </c>
      <c r="E2314">
        <v>2700000</v>
      </c>
      <c r="F2314" t="s">
        <v>77</v>
      </c>
      <c r="G2314" t="s">
        <v>37</v>
      </c>
      <c r="H2314" t="s">
        <v>27</v>
      </c>
      <c r="I2314" t="s">
        <v>27</v>
      </c>
      <c r="J2314" t="s">
        <v>27</v>
      </c>
      <c r="K2314" t="s">
        <v>31</v>
      </c>
      <c r="L2314">
        <v>2771045</v>
      </c>
      <c r="M2314">
        <v>97.436175616133966</v>
      </c>
    </row>
    <row r="2315" spans="1:13" hidden="1" x14ac:dyDescent="0.3">
      <c r="A2315" t="s">
        <v>458</v>
      </c>
      <c r="B2315" t="s">
        <v>39</v>
      </c>
      <c r="C2315" t="s">
        <v>142</v>
      </c>
      <c r="D2315">
        <v>2024</v>
      </c>
      <c r="E2315">
        <v>100000</v>
      </c>
      <c r="F2315" t="s">
        <v>111</v>
      </c>
      <c r="G2315" t="s">
        <v>31</v>
      </c>
      <c r="H2315" t="s">
        <v>27</v>
      </c>
      <c r="I2315" t="s">
        <v>27</v>
      </c>
      <c r="J2315" t="s">
        <v>33</v>
      </c>
      <c r="K2315">
        <v>25335</v>
      </c>
      <c r="L2315">
        <v>102631</v>
      </c>
      <c r="M2315">
        <v>97.436175616133966</v>
      </c>
    </row>
    <row r="2316" spans="1:13" hidden="1" x14ac:dyDescent="0.3">
      <c r="A2316" t="s">
        <v>459</v>
      </c>
      <c r="B2316" t="s">
        <v>28</v>
      </c>
      <c r="C2316" t="s">
        <v>189</v>
      </c>
      <c r="D2316">
        <v>2024</v>
      </c>
      <c r="E2316">
        <v>2400000</v>
      </c>
      <c r="F2316" t="s">
        <v>34</v>
      </c>
      <c r="G2316" t="s">
        <v>37</v>
      </c>
      <c r="H2316" t="s">
        <v>27</v>
      </c>
      <c r="I2316" t="s">
        <v>27</v>
      </c>
      <c r="J2316" t="s">
        <v>33</v>
      </c>
      <c r="K2316" t="s">
        <v>31</v>
      </c>
      <c r="L2316">
        <v>2463151</v>
      </c>
      <c r="M2316">
        <v>97.436175616133966</v>
      </c>
    </row>
    <row r="2317" spans="1:13" hidden="1" x14ac:dyDescent="0.3">
      <c r="A2317" t="s">
        <v>460</v>
      </c>
      <c r="B2317" t="s">
        <v>28</v>
      </c>
      <c r="C2317" t="s">
        <v>30</v>
      </c>
      <c r="D2317">
        <v>2024</v>
      </c>
      <c r="E2317">
        <v>230600</v>
      </c>
      <c r="F2317" t="s">
        <v>148</v>
      </c>
      <c r="G2317" t="s">
        <v>31</v>
      </c>
      <c r="H2317" t="s">
        <v>27</v>
      </c>
      <c r="I2317" t="s">
        <v>27</v>
      </c>
      <c r="J2317" t="s">
        <v>33</v>
      </c>
      <c r="K2317">
        <v>40028</v>
      </c>
      <c r="L2317">
        <v>236668</v>
      </c>
      <c r="M2317">
        <v>97.436175616133966</v>
      </c>
    </row>
    <row r="2318" spans="1:13" hidden="1" x14ac:dyDescent="0.3">
      <c r="A2318" t="s">
        <v>461</v>
      </c>
      <c r="B2318" t="s">
        <v>28</v>
      </c>
      <c r="C2318" t="s">
        <v>30</v>
      </c>
      <c r="D2318">
        <v>2024</v>
      </c>
      <c r="E2318">
        <v>7200000</v>
      </c>
      <c r="F2318" t="s">
        <v>34</v>
      </c>
      <c r="G2318" t="s">
        <v>37</v>
      </c>
      <c r="H2318" t="s">
        <v>27</v>
      </c>
      <c r="I2318" t="s">
        <v>27</v>
      </c>
      <c r="J2318" t="s">
        <v>33</v>
      </c>
      <c r="K2318">
        <v>207</v>
      </c>
      <c r="L2318">
        <v>7389453</v>
      </c>
      <c r="M2318">
        <v>97.436175616133966</v>
      </c>
    </row>
    <row r="2319" spans="1:13" hidden="1" x14ac:dyDescent="0.3">
      <c r="A2319" t="s">
        <v>462</v>
      </c>
      <c r="B2319" t="s">
        <v>39</v>
      </c>
      <c r="C2319" t="s">
        <v>41</v>
      </c>
      <c r="D2319">
        <v>2024</v>
      </c>
      <c r="E2319">
        <v>1200000</v>
      </c>
      <c r="F2319" t="s">
        <v>34</v>
      </c>
      <c r="G2319" t="s">
        <v>31</v>
      </c>
      <c r="H2319" t="s">
        <v>27</v>
      </c>
      <c r="I2319" t="s">
        <v>27</v>
      </c>
      <c r="J2319" t="s">
        <v>33</v>
      </c>
      <c r="K2319">
        <v>1502</v>
      </c>
      <c r="L2319">
        <v>1231575</v>
      </c>
      <c r="M2319">
        <v>97.436175616133966</v>
      </c>
    </row>
    <row r="2320" spans="1:13" hidden="1" x14ac:dyDescent="0.3">
      <c r="A2320" t="s">
        <v>463</v>
      </c>
      <c r="B2320" t="s">
        <v>28</v>
      </c>
      <c r="C2320" t="s">
        <v>30</v>
      </c>
      <c r="D2320">
        <v>2024</v>
      </c>
      <c r="E2320" t="s">
        <v>31</v>
      </c>
      <c r="F2320" t="s">
        <v>90</v>
      </c>
      <c r="G2320" t="s">
        <v>82</v>
      </c>
      <c r="H2320" t="s">
        <v>27</v>
      </c>
      <c r="I2320" t="s">
        <v>27</v>
      </c>
      <c r="J2320" t="s">
        <v>27</v>
      </c>
      <c r="K2320">
        <v>14400</v>
      </c>
      <c r="L2320" t="s">
        <v>31</v>
      </c>
      <c r="M2320">
        <v>97.436175616133966</v>
      </c>
    </row>
    <row r="2321" spans="1:13" hidden="1" x14ac:dyDescent="0.3">
      <c r="A2321" t="s">
        <v>464</v>
      </c>
      <c r="B2321" t="s">
        <v>28</v>
      </c>
      <c r="C2321" t="s">
        <v>64</v>
      </c>
      <c r="D2321">
        <v>2024</v>
      </c>
      <c r="E2321">
        <v>540000</v>
      </c>
      <c r="F2321" t="s">
        <v>60</v>
      </c>
      <c r="G2321" t="s">
        <v>104</v>
      </c>
      <c r="H2321" t="s">
        <v>27</v>
      </c>
      <c r="I2321" t="s">
        <v>27</v>
      </c>
      <c r="J2321" t="s">
        <v>27</v>
      </c>
      <c r="K2321">
        <v>26820</v>
      </c>
      <c r="L2321">
        <v>554209</v>
      </c>
      <c r="M2321">
        <v>97.436175616133966</v>
      </c>
    </row>
    <row r="2322" spans="1:13" hidden="1" x14ac:dyDescent="0.3">
      <c r="A2322" t="s">
        <v>465</v>
      </c>
      <c r="B2322" t="s">
        <v>28</v>
      </c>
      <c r="C2322" t="s">
        <v>64</v>
      </c>
      <c r="D2322">
        <v>2024</v>
      </c>
      <c r="E2322" t="s">
        <v>31</v>
      </c>
      <c r="F2322" t="s">
        <v>115</v>
      </c>
      <c r="G2322" t="s">
        <v>82</v>
      </c>
      <c r="H2322" t="s">
        <v>27</v>
      </c>
      <c r="I2322" t="s">
        <v>27</v>
      </c>
      <c r="J2322" t="s">
        <v>33</v>
      </c>
      <c r="K2322">
        <v>8570</v>
      </c>
      <c r="L2322" t="s">
        <v>31</v>
      </c>
      <c r="M2322">
        <v>97.436175616133966</v>
      </c>
    </row>
    <row r="2323" spans="1:13" hidden="1" x14ac:dyDescent="0.3">
      <c r="A2323" t="s">
        <v>466</v>
      </c>
      <c r="B2323" t="s">
        <v>51</v>
      </c>
      <c r="C2323" t="s">
        <v>52</v>
      </c>
      <c r="D2323">
        <v>2024</v>
      </c>
      <c r="E2323" t="s">
        <v>31</v>
      </c>
      <c r="F2323" t="s">
        <v>90</v>
      </c>
      <c r="G2323" t="s">
        <v>31</v>
      </c>
      <c r="H2323" t="s">
        <v>27</v>
      </c>
      <c r="I2323" t="s">
        <v>27</v>
      </c>
      <c r="J2323" t="s">
        <v>27</v>
      </c>
      <c r="K2323">
        <v>606115</v>
      </c>
      <c r="L2323" t="s">
        <v>31</v>
      </c>
      <c r="M2323">
        <v>97.436175616133966</v>
      </c>
    </row>
    <row r="2324" spans="1:13" hidden="1" x14ac:dyDescent="0.3">
      <c r="A2324" t="s">
        <v>467</v>
      </c>
      <c r="B2324" t="s">
        <v>51</v>
      </c>
      <c r="C2324" t="s">
        <v>52</v>
      </c>
      <c r="D2324">
        <v>2024</v>
      </c>
      <c r="E2324">
        <v>540000</v>
      </c>
      <c r="F2324" t="s">
        <v>60</v>
      </c>
      <c r="G2324" t="s">
        <v>468</v>
      </c>
      <c r="H2324" t="s">
        <v>27</v>
      </c>
      <c r="I2324" t="s">
        <v>27</v>
      </c>
      <c r="J2324" t="s">
        <v>27</v>
      </c>
      <c r="K2324">
        <v>6393</v>
      </c>
      <c r="L2324">
        <v>554209</v>
      </c>
      <c r="M2324">
        <v>97.436175616133966</v>
      </c>
    </row>
    <row r="2325" spans="1:13" hidden="1" x14ac:dyDescent="0.3">
      <c r="A2325" t="s">
        <v>469</v>
      </c>
      <c r="B2325" t="s">
        <v>39</v>
      </c>
      <c r="C2325" t="s">
        <v>142</v>
      </c>
      <c r="D2325">
        <v>2024</v>
      </c>
      <c r="E2325" t="s">
        <v>31</v>
      </c>
      <c r="F2325" t="s">
        <v>32</v>
      </c>
      <c r="G2325" t="s">
        <v>31</v>
      </c>
      <c r="H2325" t="s">
        <v>27</v>
      </c>
      <c r="I2325" t="s">
        <v>27</v>
      </c>
      <c r="J2325" t="s">
        <v>27</v>
      </c>
      <c r="K2325">
        <v>800</v>
      </c>
      <c r="L2325" t="s">
        <v>31</v>
      </c>
      <c r="M2325">
        <v>97.436175616133966</v>
      </c>
    </row>
    <row r="2326" spans="1:13" hidden="1" x14ac:dyDescent="0.3">
      <c r="A2326" t="s">
        <v>470</v>
      </c>
      <c r="B2326" t="s">
        <v>28</v>
      </c>
      <c r="C2326" t="s">
        <v>97</v>
      </c>
      <c r="D2326">
        <v>2024</v>
      </c>
      <c r="E2326" t="s">
        <v>31</v>
      </c>
      <c r="F2326" t="s">
        <v>34</v>
      </c>
      <c r="G2326" t="s">
        <v>31</v>
      </c>
      <c r="H2326" t="s">
        <v>27</v>
      </c>
      <c r="I2326" t="s">
        <v>27</v>
      </c>
      <c r="J2326" t="s">
        <v>33</v>
      </c>
      <c r="K2326">
        <v>335</v>
      </c>
      <c r="L2326" t="s">
        <v>31</v>
      </c>
      <c r="M2326">
        <v>97.436175616133966</v>
      </c>
    </row>
    <row r="2327" spans="1:13" hidden="1" x14ac:dyDescent="0.3">
      <c r="A2327" t="s">
        <v>471</v>
      </c>
      <c r="B2327" t="s">
        <v>51</v>
      </c>
      <c r="C2327" t="s">
        <v>134</v>
      </c>
      <c r="D2327">
        <v>2024</v>
      </c>
      <c r="E2327" t="s">
        <v>31</v>
      </c>
      <c r="F2327" t="s">
        <v>45</v>
      </c>
      <c r="G2327" t="s">
        <v>37</v>
      </c>
      <c r="H2327" t="s">
        <v>27</v>
      </c>
      <c r="I2327" t="s">
        <v>27</v>
      </c>
      <c r="J2327" t="s">
        <v>27</v>
      </c>
      <c r="K2327">
        <v>11200</v>
      </c>
      <c r="L2327" t="s">
        <v>31</v>
      </c>
      <c r="M2327">
        <v>97.436175616133966</v>
      </c>
    </row>
    <row r="2328" spans="1:13" x14ac:dyDescent="0.3">
      <c r="D2328" s="2" t="s">
        <v>2571</v>
      </c>
      <c r="E2328" s="2">
        <f>SUM(E2189,E2196,E2230,E2234,E2249,E2257,E2258)</f>
        <v>411200</v>
      </c>
    </row>
    <row r="2329" spans="1:13" x14ac:dyDescent="0.3">
      <c r="A2329" t="s">
        <v>472</v>
      </c>
      <c r="B2329" t="s">
        <v>51</v>
      </c>
      <c r="C2329" t="s">
        <v>52</v>
      </c>
      <c r="D2329">
        <v>2024</v>
      </c>
      <c r="E2329">
        <v>7000000</v>
      </c>
      <c r="F2329" t="s">
        <v>119</v>
      </c>
      <c r="G2329" t="s">
        <v>473</v>
      </c>
      <c r="H2329" t="s">
        <v>27</v>
      </c>
      <c r="I2329" t="s">
        <v>27</v>
      </c>
      <c r="J2329" t="s">
        <v>33</v>
      </c>
      <c r="K2329">
        <v>2399061</v>
      </c>
      <c r="L2329">
        <v>7184190</v>
      </c>
      <c r="M2329">
        <v>97.436175616133966</v>
      </c>
    </row>
    <row r="2330" spans="1:13" hidden="1" x14ac:dyDescent="0.3">
      <c r="A2330" t="s">
        <v>474</v>
      </c>
      <c r="B2330" t="s">
        <v>28</v>
      </c>
      <c r="C2330" t="s">
        <v>64</v>
      </c>
      <c r="D2330">
        <v>2024</v>
      </c>
      <c r="E2330">
        <v>2650000</v>
      </c>
      <c r="F2330" t="s">
        <v>34</v>
      </c>
      <c r="G2330" t="s">
        <v>475</v>
      </c>
      <c r="H2330" t="s">
        <v>27</v>
      </c>
      <c r="I2330" t="s">
        <v>27</v>
      </c>
      <c r="J2330" t="s">
        <v>27</v>
      </c>
      <c r="K2330" t="s">
        <v>31</v>
      </c>
      <c r="L2330">
        <v>2719729</v>
      </c>
      <c r="M2330">
        <v>97.436175616133966</v>
      </c>
    </row>
    <row r="2331" spans="1:13" x14ac:dyDescent="0.3">
      <c r="A2331" t="s">
        <v>476</v>
      </c>
      <c r="B2331" t="s">
        <v>51</v>
      </c>
      <c r="C2331" t="s">
        <v>52</v>
      </c>
      <c r="D2331">
        <v>2024</v>
      </c>
      <c r="E2331">
        <v>300000</v>
      </c>
      <c r="F2331" t="s">
        <v>119</v>
      </c>
      <c r="G2331" t="s">
        <v>31</v>
      </c>
      <c r="H2331" t="s">
        <v>27</v>
      </c>
      <c r="I2331" t="s">
        <v>27</v>
      </c>
      <c r="J2331" t="s">
        <v>33</v>
      </c>
      <c r="K2331">
        <v>2323</v>
      </c>
      <c r="L2331">
        <v>307894</v>
      </c>
      <c r="M2331">
        <v>97.436175616133966</v>
      </c>
    </row>
    <row r="2332" spans="1:13" hidden="1" x14ac:dyDescent="0.3">
      <c r="A2332" t="s">
        <v>477</v>
      </c>
      <c r="B2332" t="s">
        <v>28</v>
      </c>
      <c r="C2332" t="s">
        <v>97</v>
      </c>
      <c r="D2332">
        <v>2024</v>
      </c>
      <c r="E2332">
        <v>5900000</v>
      </c>
      <c r="F2332" t="s">
        <v>34</v>
      </c>
      <c r="G2332" t="s">
        <v>65</v>
      </c>
      <c r="H2332" t="s">
        <v>27</v>
      </c>
      <c r="I2332" t="s">
        <v>27</v>
      </c>
      <c r="J2332" t="s">
        <v>27</v>
      </c>
      <c r="K2332">
        <v>70</v>
      </c>
      <c r="L2332">
        <v>6055246</v>
      </c>
      <c r="M2332">
        <v>97.436175616133966</v>
      </c>
    </row>
    <row r="2333" spans="1:13" hidden="1" x14ac:dyDescent="0.3">
      <c r="A2333" t="s">
        <v>478</v>
      </c>
      <c r="B2333" t="s">
        <v>28</v>
      </c>
      <c r="C2333" t="s">
        <v>64</v>
      </c>
      <c r="D2333">
        <v>2024</v>
      </c>
      <c r="E2333" t="s">
        <v>31</v>
      </c>
      <c r="F2333" t="s">
        <v>242</v>
      </c>
      <c r="G2333" t="s">
        <v>479</v>
      </c>
      <c r="H2333" t="s">
        <v>27</v>
      </c>
      <c r="I2333" t="s">
        <v>27</v>
      </c>
      <c r="J2333" t="s">
        <v>27</v>
      </c>
      <c r="K2333">
        <v>270000</v>
      </c>
      <c r="L2333" t="s">
        <v>31</v>
      </c>
      <c r="M2333">
        <v>97.436175616133966</v>
      </c>
    </row>
    <row r="2334" spans="1:13" x14ac:dyDescent="0.3">
      <c r="A2334" t="s">
        <v>480</v>
      </c>
      <c r="B2334" t="s">
        <v>51</v>
      </c>
      <c r="C2334" t="s">
        <v>52</v>
      </c>
      <c r="D2334">
        <v>2024</v>
      </c>
      <c r="E2334">
        <v>140000</v>
      </c>
      <c r="F2334" t="s">
        <v>119</v>
      </c>
      <c r="G2334" t="s">
        <v>54</v>
      </c>
      <c r="H2334" t="s">
        <v>27</v>
      </c>
      <c r="I2334" t="s">
        <v>27</v>
      </c>
      <c r="J2334" t="s">
        <v>27</v>
      </c>
      <c r="K2334">
        <v>7708</v>
      </c>
      <c r="L2334">
        <v>143684</v>
      </c>
      <c r="M2334">
        <v>97.436175616133966</v>
      </c>
    </row>
    <row r="2335" spans="1:13" hidden="1" x14ac:dyDescent="0.3">
      <c r="A2335" t="s">
        <v>481</v>
      </c>
      <c r="B2335" t="s">
        <v>28</v>
      </c>
      <c r="C2335" t="s">
        <v>99</v>
      </c>
      <c r="D2335">
        <v>2024</v>
      </c>
      <c r="E2335">
        <v>250000</v>
      </c>
      <c r="F2335" t="s">
        <v>130</v>
      </c>
      <c r="G2335" t="s">
        <v>37</v>
      </c>
      <c r="H2335" t="s">
        <v>27</v>
      </c>
      <c r="I2335" t="s">
        <v>27</v>
      </c>
      <c r="J2335" t="s">
        <v>27</v>
      </c>
      <c r="K2335">
        <v>400006</v>
      </c>
      <c r="L2335">
        <v>256578</v>
      </c>
      <c r="M2335">
        <v>97.436175616133966</v>
      </c>
    </row>
    <row r="2336" spans="1:13" hidden="1" x14ac:dyDescent="0.3">
      <c r="A2336" t="s">
        <v>482</v>
      </c>
      <c r="B2336" t="s">
        <v>39</v>
      </c>
      <c r="C2336" t="s">
        <v>142</v>
      </c>
      <c r="D2336">
        <v>2024</v>
      </c>
      <c r="E2336">
        <v>610000</v>
      </c>
      <c r="F2336" t="s">
        <v>34</v>
      </c>
      <c r="G2336" t="s">
        <v>31</v>
      </c>
      <c r="H2336" t="s">
        <v>27</v>
      </c>
      <c r="I2336" t="s">
        <v>27</v>
      </c>
      <c r="J2336" t="s">
        <v>33</v>
      </c>
      <c r="K2336">
        <v>339</v>
      </c>
      <c r="L2336">
        <v>626051</v>
      </c>
      <c r="M2336">
        <v>97.436175616133966</v>
      </c>
    </row>
    <row r="2337" spans="1:13" hidden="1" x14ac:dyDescent="0.3">
      <c r="A2337" t="s">
        <v>483</v>
      </c>
      <c r="B2337" t="s">
        <v>51</v>
      </c>
      <c r="C2337" t="s">
        <v>52</v>
      </c>
      <c r="D2337">
        <v>2024</v>
      </c>
      <c r="E2337" t="s">
        <v>31</v>
      </c>
      <c r="F2337" t="s">
        <v>111</v>
      </c>
      <c r="G2337" t="s">
        <v>473</v>
      </c>
      <c r="H2337" t="s">
        <v>27</v>
      </c>
      <c r="I2337" t="s">
        <v>27</v>
      </c>
      <c r="J2337" t="s">
        <v>27</v>
      </c>
      <c r="K2337">
        <v>150</v>
      </c>
      <c r="L2337" t="s">
        <v>31</v>
      </c>
      <c r="M2337">
        <v>97.436175616133966</v>
      </c>
    </row>
    <row r="2338" spans="1:13" hidden="1" x14ac:dyDescent="0.3">
      <c r="A2338" t="s">
        <v>484</v>
      </c>
      <c r="B2338" t="s">
        <v>51</v>
      </c>
      <c r="C2338" t="s">
        <v>56</v>
      </c>
      <c r="D2338">
        <v>2024</v>
      </c>
      <c r="E2338" t="s">
        <v>31</v>
      </c>
      <c r="F2338" t="s">
        <v>119</v>
      </c>
      <c r="G2338" t="s">
        <v>54</v>
      </c>
      <c r="H2338" t="s">
        <v>27</v>
      </c>
      <c r="I2338" t="s">
        <v>27</v>
      </c>
      <c r="J2338" t="s">
        <v>27</v>
      </c>
      <c r="K2338">
        <v>550</v>
      </c>
      <c r="L2338" t="s">
        <v>31</v>
      </c>
      <c r="M2338">
        <v>97.436175616133966</v>
      </c>
    </row>
    <row r="2339" spans="1:13" hidden="1" x14ac:dyDescent="0.3">
      <c r="A2339" t="s">
        <v>485</v>
      </c>
      <c r="B2339" t="s">
        <v>28</v>
      </c>
      <c r="C2339" t="s">
        <v>64</v>
      </c>
      <c r="D2339">
        <v>2024</v>
      </c>
      <c r="E2339">
        <v>1100000</v>
      </c>
      <c r="F2339" t="s">
        <v>34</v>
      </c>
      <c r="G2339" t="s">
        <v>486</v>
      </c>
      <c r="H2339" t="s">
        <v>27</v>
      </c>
      <c r="I2339" t="s">
        <v>27</v>
      </c>
      <c r="J2339" t="s">
        <v>33</v>
      </c>
      <c r="K2339">
        <v>86</v>
      </c>
      <c r="L2339">
        <v>1128944</v>
      </c>
      <c r="M2339">
        <v>97.436175616133966</v>
      </c>
    </row>
    <row r="2340" spans="1:13" hidden="1" x14ac:dyDescent="0.3">
      <c r="A2340" t="s">
        <v>487</v>
      </c>
      <c r="B2340" t="s">
        <v>51</v>
      </c>
      <c r="C2340" t="s">
        <v>52</v>
      </c>
      <c r="D2340">
        <v>2024</v>
      </c>
      <c r="E2340" t="s">
        <v>31</v>
      </c>
      <c r="F2340" t="s">
        <v>119</v>
      </c>
      <c r="G2340" t="s">
        <v>31</v>
      </c>
      <c r="H2340" t="s">
        <v>27</v>
      </c>
      <c r="I2340" t="s">
        <v>27</v>
      </c>
      <c r="J2340" t="s">
        <v>27</v>
      </c>
      <c r="K2340">
        <v>117000</v>
      </c>
      <c r="L2340" t="s">
        <v>31</v>
      </c>
      <c r="M2340">
        <v>97.436175616133966</v>
      </c>
    </row>
    <row r="2341" spans="1:13" x14ac:dyDescent="0.3">
      <c r="A2341" t="s">
        <v>2582</v>
      </c>
      <c r="B2341" t="s">
        <v>51</v>
      </c>
      <c r="C2341" t="s">
        <v>56</v>
      </c>
      <c r="D2341">
        <v>2024</v>
      </c>
      <c r="E2341">
        <v>120000</v>
      </c>
      <c r="F2341" t="s">
        <v>119</v>
      </c>
      <c r="G2341" t="s">
        <v>488</v>
      </c>
      <c r="H2341" t="s">
        <v>27</v>
      </c>
      <c r="I2341" t="s">
        <v>27</v>
      </c>
      <c r="J2341" t="s">
        <v>33</v>
      </c>
      <c r="K2341">
        <v>62000</v>
      </c>
      <c r="L2341">
        <v>123158</v>
      </c>
      <c r="M2341">
        <v>97.436175616133966</v>
      </c>
    </row>
    <row r="2342" spans="1:13" hidden="1" x14ac:dyDescent="0.3">
      <c r="A2342" t="s">
        <v>1366</v>
      </c>
      <c r="B2342" t="s">
        <v>51</v>
      </c>
      <c r="C2342" t="s">
        <v>134</v>
      </c>
      <c r="D2342">
        <v>2024</v>
      </c>
      <c r="E2342" t="s">
        <v>31</v>
      </c>
      <c r="F2342" t="s">
        <v>47</v>
      </c>
      <c r="G2342" t="s">
        <v>31</v>
      </c>
      <c r="H2342" t="s">
        <v>27</v>
      </c>
      <c r="I2342" t="s">
        <v>27</v>
      </c>
      <c r="J2342" t="s">
        <v>27</v>
      </c>
      <c r="K2342">
        <v>19</v>
      </c>
      <c r="L2342" t="s">
        <v>31</v>
      </c>
      <c r="M2342">
        <v>97.436175616133966</v>
      </c>
    </row>
    <row r="2343" spans="1:13" hidden="1" x14ac:dyDescent="0.3">
      <c r="A2343" t="s">
        <v>1367</v>
      </c>
      <c r="B2343" t="s">
        <v>28</v>
      </c>
      <c r="C2343" t="s">
        <v>64</v>
      </c>
      <c r="D2343">
        <v>2024</v>
      </c>
      <c r="E2343" t="s">
        <v>31</v>
      </c>
      <c r="F2343" t="s">
        <v>119</v>
      </c>
      <c r="G2343" t="s">
        <v>1368</v>
      </c>
      <c r="H2343" t="s">
        <v>27</v>
      </c>
      <c r="I2343" t="s">
        <v>27</v>
      </c>
      <c r="J2343" t="s">
        <v>27</v>
      </c>
      <c r="K2343">
        <v>600</v>
      </c>
      <c r="L2343" t="s">
        <v>31</v>
      </c>
      <c r="M2343">
        <v>97.436175616133966</v>
      </c>
    </row>
    <row r="2344" spans="1:13" hidden="1" x14ac:dyDescent="0.3">
      <c r="A2344" t="s">
        <v>1369</v>
      </c>
      <c r="B2344" t="s">
        <v>28</v>
      </c>
      <c r="C2344" t="s">
        <v>64</v>
      </c>
      <c r="D2344">
        <v>2024</v>
      </c>
      <c r="E2344" t="s">
        <v>31</v>
      </c>
      <c r="F2344" t="s">
        <v>53</v>
      </c>
      <c r="G2344" t="s">
        <v>31</v>
      </c>
      <c r="H2344" t="s">
        <v>27</v>
      </c>
      <c r="I2344" t="s">
        <v>27</v>
      </c>
      <c r="J2344" t="s">
        <v>27</v>
      </c>
      <c r="K2344">
        <v>149</v>
      </c>
      <c r="L2344" t="s">
        <v>31</v>
      </c>
      <c r="M2344">
        <v>97.436175616133966</v>
      </c>
    </row>
    <row r="2345" spans="1:13" hidden="1" x14ac:dyDescent="0.3">
      <c r="A2345" t="s">
        <v>1370</v>
      </c>
      <c r="B2345" t="s">
        <v>39</v>
      </c>
      <c r="C2345" t="s">
        <v>142</v>
      </c>
      <c r="D2345">
        <v>2024</v>
      </c>
      <c r="E2345">
        <v>1000000</v>
      </c>
      <c r="F2345" t="s">
        <v>60</v>
      </c>
      <c r="G2345" t="s">
        <v>31</v>
      </c>
      <c r="H2345" t="s">
        <v>27</v>
      </c>
      <c r="I2345" t="s">
        <v>27</v>
      </c>
      <c r="J2345" t="s">
        <v>33</v>
      </c>
      <c r="K2345">
        <v>40778</v>
      </c>
      <c r="L2345">
        <v>1026313</v>
      </c>
      <c r="M2345">
        <v>97.436175616133966</v>
      </c>
    </row>
    <row r="2346" spans="1:13" hidden="1" x14ac:dyDescent="0.3">
      <c r="A2346" t="s">
        <v>1371</v>
      </c>
      <c r="B2346" t="s">
        <v>28</v>
      </c>
      <c r="C2346" t="s">
        <v>64</v>
      </c>
      <c r="D2346">
        <v>2024</v>
      </c>
      <c r="E2346" t="s">
        <v>31</v>
      </c>
      <c r="F2346" t="s">
        <v>119</v>
      </c>
      <c r="G2346" t="s">
        <v>82</v>
      </c>
      <c r="H2346" t="s">
        <v>27</v>
      </c>
      <c r="I2346" t="s">
        <v>27</v>
      </c>
      <c r="J2346" t="s">
        <v>33</v>
      </c>
      <c r="K2346">
        <v>28855</v>
      </c>
      <c r="L2346" t="s">
        <v>31</v>
      </c>
      <c r="M2346">
        <v>97.436175616133966</v>
      </c>
    </row>
    <row r="2347" spans="1:13" hidden="1" x14ac:dyDescent="0.3">
      <c r="A2347" t="s">
        <v>1372</v>
      </c>
      <c r="B2347" t="s">
        <v>51</v>
      </c>
      <c r="C2347" t="s">
        <v>52</v>
      </c>
      <c r="D2347">
        <v>2024</v>
      </c>
      <c r="E2347" t="s">
        <v>31</v>
      </c>
      <c r="F2347" t="s">
        <v>119</v>
      </c>
      <c r="G2347" t="s">
        <v>31</v>
      </c>
      <c r="H2347" t="s">
        <v>27</v>
      </c>
      <c r="I2347" t="s">
        <v>27</v>
      </c>
      <c r="J2347" t="s">
        <v>33</v>
      </c>
      <c r="K2347">
        <v>291</v>
      </c>
      <c r="L2347" t="s">
        <v>31</v>
      </c>
      <c r="M2347">
        <v>97.436175616133966</v>
      </c>
    </row>
    <row r="2348" spans="1:13" hidden="1" x14ac:dyDescent="0.3">
      <c r="A2348" t="s">
        <v>1373</v>
      </c>
      <c r="B2348" t="s">
        <v>51</v>
      </c>
      <c r="C2348" t="s">
        <v>52</v>
      </c>
      <c r="D2348">
        <v>2024</v>
      </c>
      <c r="E2348" t="s">
        <v>31</v>
      </c>
      <c r="F2348" t="s">
        <v>53</v>
      </c>
      <c r="G2348" t="s">
        <v>37</v>
      </c>
      <c r="H2348" t="s">
        <v>27</v>
      </c>
      <c r="I2348" t="s">
        <v>27</v>
      </c>
      <c r="J2348" t="s">
        <v>27</v>
      </c>
      <c r="K2348">
        <v>203</v>
      </c>
      <c r="L2348" t="s">
        <v>31</v>
      </c>
      <c r="M2348">
        <v>97.436175616133966</v>
      </c>
    </row>
    <row r="2349" spans="1:13" hidden="1" x14ac:dyDescent="0.3">
      <c r="A2349" t="s">
        <v>1374</v>
      </c>
      <c r="B2349" t="s">
        <v>39</v>
      </c>
      <c r="C2349" t="s">
        <v>142</v>
      </c>
      <c r="D2349">
        <v>2024</v>
      </c>
      <c r="E2349" t="s">
        <v>31</v>
      </c>
      <c r="F2349" t="s">
        <v>90</v>
      </c>
      <c r="G2349" t="s">
        <v>31</v>
      </c>
      <c r="H2349" t="s">
        <v>27</v>
      </c>
      <c r="I2349" t="s">
        <v>27</v>
      </c>
      <c r="J2349" t="s">
        <v>33</v>
      </c>
      <c r="K2349">
        <v>200</v>
      </c>
      <c r="L2349" t="s">
        <v>31</v>
      </c>
      <c r="M2349">
        <v>97.436175616133966</v>
      </c>
    </row>
    <row r="2350" spans="1:13" hidden="1" x14ac:dyDescent="0.3">
      <c r="A2350" t="s">
        <v>1375</v>
      </c>
      <c r="B2350" t="s">
        <v>39</v>
      </c>
      <c r="C2350" t="s">
        <v>41</v>
      </c>
      <c r="D2350">
        <v>2024</v>
      </c>
      <c r="E2350" t="s">
        <v>31</v>
      </c>
      <c r="F2350" t="s">
        <v>77</v>
      </c>
      <c r="G2350" t="s">
        <v>31</v>
      </c>
      <c r="H2350" t="s">
        <v>27</v>
      </c>
      <c r="I2350" t="s">
        <v>27</v>
      </c>
      <c r="J2350" t="s">
        <v>27</v>
      </c>
      <c r="K2350">
        <v>3500</v>
      </c>
      <c r="L2350" t="s">
        <v>31</v>
      </c>
      <c r="M2350">
        <v>97.436175616133966</v>
      </c>
    </row>
    <row r="2351" spans="1:13" hidden="1" x14ac:dyDescent="0.3">
      <c r="A2351" t="s">
        <v>1376</v>
      </c>
      <c r="B2351" t="s">
        <v>28</v>
      </c>
      <c r="C2351" t="s">
        <v>64</v>
      </c>
      <c r="D2351">
        <v>2024</v>
      </c>
      <c r="E2351">
        <v>3500000</v>
      </c>
      <c r="F2351" t="s">
        <v>34</v>
      </c>
      <c r="G2351" t="s">
        <v>1377</v>
      </c>
      <c r="H2351" t="s">
        <v>27</v>
      </c>
      <c r="I2351" t="s">
        <v>27</v>
      </c>
      <c r="J2351" t="s">
        <v>27</v>
      </c>
      <c r="K2351">
        <v>182</v>
      </c>
      <c r="L2351">
        <v>3592095</v>
      </c>
      <c r="M2351">
        <v>97.436175616133966</v>
      </c>
    </row>
    <row r="2352" spans="1:13" hidden="1" x14ac:dyDescent="0.3">
      <c r="A2352" t="s">
        <v>1378</v>
      </c>
      <c r="B2352" t="s">
        <v>28</v>
      </c>
      <c r="C2352" t="s">
        <v>95</v>
      </c>
      <c r="D2352">
        <v>2024</v>
      </c>
      <c r="E2352" t="s">
        <v>31</v>
      </c>
      <c r="F2352" t="s">
        <v>73</v>
      </c>
      <c r="G2352" t="s">
        <v>31</v>
      </c>
      <c r="H2352" t="s">
        <v>27</v>
      </c>
      <c r="I2352" t="s">
        <v>27</v>
      </c>
      <c r="J2352" t="s">
        <v>27</v>
      </c>
      <c r="K2352">
        <v>2567</v>
      </c>
      <c r="L2352" t="s">
        <v>31</v>
      </c>
      <c r="M2352">
        <v>97.436175616133966</v>
      </c>
    </row>
    <row r="2353" spans="1:13" hidden="1" x14ac:dyDescent="0.3">
      <c r="A2353" t="s">
        <v>1379</v>
      </c>
      <c r="B2353" t="s">
        <v>28</v>
      </c>
      <c r="C2353" t="s">
        <v>64</v>
      </c>
      <c r="D2353">
        <v>2024</v>
      </c>
      <c r="E2353" t="s">
        <v>31</v>
      </c>
      <c r="F2353" t="s">
        <v>81</v>
      </c>
      <c r="G2353" t="s">
        <v>31</v>
      </c>
      <c r="H2353" t="s">
        <v>27</v>
      </c>
      <c r="I2353" t="s">
        <v>27</v>
      </c>
      <c r="J2353" t="s">
        <v>27</v>
      </c>
      <c r="K2353" t="s">
        <v>31</v>
      </c>
      <c r="L2353" t="s">
        <v>31</v>
      </c>
      <c r="M2353">
        <v>97.436175616133966</v>
      </c>
    </row>
    <row r="2354" spans="1:13" hidden="1" x14ac:dyDescent="0.3">
      <c r="A2354" t="s">
        <v>1380</v>
      </c>
      <c r="B2354" t="s">
        <v>28</v>
      </c>
      <c r="C2354" t="s">
        <v>30</v>
      </c>
      <c r="D2354">
        <v>2024</v>
      </c>
      <c r="E2354" t="s">
        <v>31</v>
      </c>
      <c r="F2354" t="s">
        <v>49</v>
      </c>
      <c r="G2354" t="s">
        <v>31</v>
      </c>
      <c r="H2354" t="s">
        <v>27</v>
      </c>
      <c r="I2354" t="s">
        <v>27</v>
      </c>
      <c r="J2354" t="s">
        <v>27</v>
      </c>
      <c r="K2354">
        <v>1500</v>
      </c>
      <c r="L2354" t="s">
        <v>31</v>
      </c>
      <c r="M2354">
        <v>97.436175616133966</v>
      </c>
    </row>
    <row r="2355" spans="1:13" hidden="1" x14ac:dyDescent="0.3">
      <c r="A2355" t="s">
        <v>1381</v>
      </c>
      <c r="B2355" t="s">
        <v>28</v>
      </c>
      <c r="C2355" t="s">
        <v>30</v>
      </c>
      <c r="D2355">
        <v>2024</v>
      </c>
      <c r="E2355">
        <v>15900</v>
      </c>
      <c r="F2355" t="s">
        <v>234</v>
      </c>
      <c r="G2355" t="s">
        <v>31</v>
      </c>
      <c r="H2355" t="s">
        <v>27</v>
      </c>
      <c r="I2355" t="s">
        <v>27</v>
      </c>
      <c r="J2355" t="s">
        <v>33</v>
      </c>
      <c r="K2355">
        <v>160060</v>
      </c>
      <c r="L2355">
        <v>16318</v>
      </c>
      <c r="M2355">
        <v>97.436175616133966</v>
      </c>
    </row>
    <row r="2356" spans="1:13" hidden="1" x14ac:dyDescent="0.3">
      <c r="A2356" t="s">
        <v>1382</v>
      </c>
      <c r="B2356" t="s">
        <v>39</v>
      </c>
      <c r="C2356" t="s">
        <v>142</v>
      </c>
      <c r="D2356">
        <v>2024</v>
      </c>
      <c r="E2356">
        <v>1000000</v>
      </c>
      <c r="F2356" t="s">
        <v>77</v>
      </c>
      <c r="G2356" t="s">
        <v>31</v>
      </c>
      <c r="H2356" t="s">
        <v>27</v>
      </c>
      <c r="I2356" t="s">
        <v>27</v>
      </c>
      <c r="J2356" t="s">
        <v>33</v>
      </c>
      <c r="K2356" t="s">
        <v>31</v>
      </c>
      <c r="L2356">
        <v>1026313</v>
      </c>
      <c r="M2356">
        <v>97.436175616133966</v>
      </c>
    </row>
    <row r="2357" spans="1:13" hidden="1" x14ac:dyDescent="0.3">
      <c r="A2357" t="s">
        <v>1383</v>
      </c>
      <c r="B2357" t="s">
        <v>28</v>
      </c>
      <c r="C2357" t="s">
        <v>30</v>
      </c>
      <c r="D2357">
        <v>2024</v>
      </c>
      <c r="E2357">
        <v>3000000</v>
      </c>
      <c r="F2357" t="s">
        <v>77</v>
      </c>
      <c r="G2357" t="s">
        <v>37</v>
      </c>
      <c r="H2357" t="s">
        <v>27</v>
      </c>
      <c r="I2357" t="s">
        <v>27</v>
      </c>
      <c r="J2357" t="s">
        <v>27</v>
      </c>
      <c r="K2357" t="s">
        <v>31</v>
      </c>
      <c r="L2357">
        <v>3078939</v>
      </c>
      <c r="M2357">
        <v>97.436175616133966</v>
      </c>
    </row>
    <row r="2358" spans="1:13" hidden="1" x14ac:dyDescent="0.3">
      <c r="A2358" t="s">
        <v>1384</v>
      </c>
      <c r="B2358" t="s">
        <v>28</v>
      </c>
      <c r="C2358" t="s">
        <v>30</v>
      </c>
      <c r="D2358">
        <v>2024</v>
      </c>
      <c r="E2358">
        <v>2500000</v>
      </c>
      <c r="F2358" t="s">
        <v>34</v>
      </c>
      <c r="G2358" t="s">
        <v>37</v>
      </c>
      <c r="H2358" t="s">
        <v>27</v>
      </c>
      <c r="I2358" t="s">
        <v>27</v>
      </c>
      <c r="J2358" t="s">
        <v>33</v>
      </c>
      <c r="K2358" t="s">
        <v>31</v>
      </c>
      <c r="L2358">
        <v>2565782</v>
      </c>
      <c r="M2358">
        <v>97.436175616133966</v>
      </c>
    </row>
    <row r="2359" spans="1:13" hidden="1" x14ac:dyDescent="0.3">
      <c r="A2359" t="s">
        <v>1385</v>
      </c>
      <c r="B2359" t="s">
        <v>28</v>
      </c>
      <c r="C2359" t="s">
        <v>30</v>
      </c>
      <c r="D2359">
        <v>2024</v>
      </c>
      <c r="E2359">
        <v>1300000</v>
      </c>
      <c r="F2359" t="s">
        <v>34</v>
      </c>
      <c r="G2359" t="s">
        <v>37</v>
      </c>
      <c r="H2359" t="s">
        <v>27</v>
      </c>
      <c r="I2359" t="s">
        <v>27</v>
      </c>
      <c r="J2359" t="s">
        <v>33</v>
      </c>
      <c r="K2359" t="s">
        <v>31</v>
      </c>
      <c r="L2359">
        <v>1334207</v>
      </c>
      <c r="M2359">
        <v>97.436175616133966</v>
      </c>
    </row>
    <row r="2360" spans="1:13" hidden="1" x14ac:dyDescent="0.3">
      <c r="A2360" t="s">
        <v>1386</v>
      </c>
      <c r="B2360" t="s">
        <v>39</v>
      </c>
      <c r="C2360" t="s">
        <v>142</v>
      </c>
      <c r="D2360">
        <v>2024</v>
      </c>
      <c r="E2360">
        <v>190000</v>
      </c>
      <c r="F2360" t="s">
        <v>53</v>
      </c>
      <c r="G2360" t="s">
        <v>31</v>
      </c>
      <c r="H2360" t="s">
        <v>27</v>
      </c>
      <c r="I2360" t="s">
        <v>27</v>
      </c>
      <c r="J2360" t="s">
        <v>33</v>
      </c>
      <c r="K2360">
        <v>1885</v>
      </c>
      <c r="L2360">
        <v>194999</v>
      </c>
      <c r="M2360">
        <v>97.436175616133966</v>
      </c>
    </row>
    <row r="2361" spans="1:13" hidden="1" x14ac:dyDescent="0.3">
      <c r="A2361" t="s">
        <v>1387</v>
      </c>
      <c r="B2361" t="s">
        <v>28</v>
      </c>
      <c r="C2361" t="s">
        <v>30</v>
      </c>
      <c r="D2361">
        <v>2024</v>
      </c>
      <c r="E2361">
        <v>38000000</v>
      </c>
      <c r="F2361" t="s">
        <v>34</v>
      </c>
      <c r="G2361" t="s">
        <v>85</v>
      </c>
      <c r="H2361" t="s">
        <v>27</v>
      </c>
      <c r="I2361" t="s">
        <v>27</v>
      </c>
      <c r="J2361" t="s">
        <v>33</v>
      </c>
      <c r="K2361">
        <v>1013</v>
      </c>
      <c r="L2361">
        <v>38999889</v>
      </c>
      <c r="M2361">
        <v>97.436175616133966</v>
      </c>
    </row>
    <row r="2362" spans="1:13" hidden="1" x14ac:dyDescent="0.3">
      <c r="A2362" t="s">
        <v>1388</v>
      </c>
      <c r="B2362" t="s">
        <v>28</v>
      </c>
      <c r="C2362" t="s">
        <v>30</v>
      </c>
      <c r="D2362">
        <v>2024</v>
      </c>
      <c r="E2362">
        <v>50000</v>
      </c>
      <c r="F2362" t="s">
        <v>242</v>
      </c>
      <c r="G2362" t="s">
        <v>1389</v>
      </c>
      <c r="H2362" t="s">
        <v>27</v>
      </c>
      <c r="I2362" t="s">
        <v>27</v>
      </c>
      <c r="J2362" t="s">
        <v>33</v>
      </c>
      <c r="K2362">
        <v>320000</v>
      </c>
      <c r="L2362">
        <v>51316</v>
      </c>
      <c r="M2362">
        <v>97.436175616133966</v>
      </c>
    </row>
    <row r="2363" spans="1:13" hidden="1" x14ac:dyDescent="0.3">
      <c r="A2363" t="s">
        <v>1390</v>
      </c>
      <c r="B2363" t="s">
        <v>28</v>
      </c>
      <c r="C2363" t="s">
        <v>30</v>
      </c>
      <c r="D2363">
        <v>2024</v>
      </c>
      <c r="E2363">
        <v>150000</v>
      </c>
      <c r="F2363" t="s">
        <v>47</v>
      </c>
      <c r="G2363" t="s">
        <v>31</v>
      </c>
      <c r="H2363" t="s">
        <v>27</v>
      </c>
      <c r="I2363" t="s">
        <v>27</v>
      </c>
      <c r="J2363" t="s">
        <v>27</v>
      </c>
      <c r="K2363" t="s">
        <v>31</v>
      </c>
      <c r="L2363">
        <v>153947</v>
      </c>
      <c r="M2363">
        <v>97.436175616133966</v>
      </c>
    </row>
    <row r="2364" spans="1:13" hidden="1" x14ac:dyDescent="0.3">
      <c r="A2364" t="s">
        <v>1391</v>
      </c>
      <c r="B2364" t="s">
        <v>28</v>
      </c>
      <c r="C2364" t="s">
        <v>30</v>
      </c>
      <c r="D2364">
        <v>2024</v>
      </c>
      <c r="E2364">
        <v>980</v>
      </c>
      <c r="F2364" t="s">
        <v>161</v>
      </c>
      <c r="G2364" t="s">
        <v>31</v>
      </c>
      <c r="H2364" t="s">
        <v>27</v>
      </c>
      <c r="I2364" t="s">
        <v>27</v>
      </c>
      <c r="J2364" t="s">
        <v>27</v>
      </c>
      <c r="K2364" t="s">
        <v>31</v>
      </c>
      <c r="L2364">
        <v>1006</v>
      </c>
      <c r="M2364">
        <v>97.436175616133966</v>
      </c>
    </row>
    <row r="2365" spans="1:13" hidden="1" x14ac:dyDescent="0.3">
      <c r="A2365" t="s">
        <v>1392</v>
      </c>
      <c r="B2365" t="s">
        <v>28</v>
      </c>
      <c r="C2365" t="s">
        <v>30</v>
      </c>
      <c r="D2365">
        <v>2024</v>
      </c>
      <c r="E2365">
        <v>1080000</v>
      </c>
      <c r="F2365" t="s">
        <v>242</v>
      </c>
      <c r="G2365" t="s">
        <v>31</v>
      </c>
      <c r="H2365" t="s">
        <v>27</v>
      </c>
      <c r="I2365" t="s">
        <v>27</v>
      </c>
      <c r="J2365" t="s">
        <v>27</v>
      </c>
      <c r="K2365">
        <v>4000000</v>
      </c>
      <c r="L2365">
        <v>1108418</v>
      </c>
      <c r="M2365">
        <v>97.436175616133966</v>
      </c>
    </row>
    <row r="2366" spans="1:13" hidden="1" x14ac:dyDescent="0.3">
      <c r="A2366" t="s">
        <v>1393</v>
      </c>
      <c r="B2366" t="s">
        <v>28</v>
      </c>
      <c r="C2366" t="s">
        <v>30</v>
      </c>
      <c r="D2366">
        <v>2024</v>
      </c>
      <c r="E2366">
        <v>8000</v>
      </c>
      <c r="F2366" t="s">
        <v>234</v>
      </c>
      <c r="G2366" t="s">
        <v>31</v>
      </c>
      <c r="H2366" t="s">
        <v>27</v>
      </c>
      <c r="I2366" t="s">
        <v>27</v>
      </c>
      <c r="J2366" t="s">
        <v>27</v>
      </c>
      <c r="K2366" t="s">
        <v>31</v>
      </c>
      <c r="L2366">
        <v>8211</v>
      </c>
      <c r="M2366">
        <v>97.436175616133966</v>
      </c>
    </row>
    <row r="2367" spans="1:13" hidden="1" x14ac:dyDescent="0.3">
      <c r="A2367" t="s">
        <v>1394</v>
      </c>
      <c r="B2367" t="s">
        <v>39</v>
      </c>
      <c r="C2367" t="s">
        <v>142</v>
      </c>
      <c r="D2367">
        <v>2024</v>
      </c>
      <c r="E2367">
        <v>100000</v>
      </c>
      <c r="F2367" t="s">
        <v>34</v>
      </c>
      <c r="G2367" t="s">
        <v>31</v>
      </c>
      <c r="H2367" t="s">
        <v>27</v>
      </c>
      <c r="I2367" t="s">
        <v>27</v>
      </c>
      <c r="J2367" t="s">
        <v>33</v>
      </c>
      <c r="K2367">
        <v>1116</v>
      </c>
      <c r="L2367">
        <v>102631</v>
      </c>
      <c r="M2367">
        <v>97.436175616133966</v>
      </c>
    </row>
    <row r="2368" spans="1:13" hidden="1" x14ac:dyDescent="0.3">
      <c r="A2368" t="s">
        <v>1395</v>
      </c>
      <c r="B2368" t="s">
        <v>28</v>
      </c>
      <c r="C2368" t="s">
        <v>64</v>
      </c>
      <c r="D2368">
        <v>2024</v>
      </c>
      <c r="E2368" t="s">
        <v>31</v>
      </c>
      <c r="F2368" t="s">
        <v>47</v>
      </c>
      <c r="G2368" t="s">
        <v>82</v>
      </c>
      <c r="H2368" t="s">
        <v>27</v>
      </c>
      <c r="I2368" t="s">
        <v>27</v>
      </c>
      <c r="J2368" t="s">
        <v>33</v>
      </c>
      <c r="K2368">
        <v>254253</v>
      </c>
      <c r="L2368" t="s">
        <v>31</v>
      </c>
      <c r="M2368">
        <v>97.436175616133966</v>
      </c>
    </row>
    <row r="2369" spans="1:13" hidden="1" x14ac:dyDescent="0.3">
      <c r="A2369" t="s">
        <v>1396</v>
      </c>
      <c r="B2369" t="s">
        <v>51</v>
      </c>
      <c r="C2369" t="s">
        <v>52</v>
      </c>
      <c r="D2369">
        <v>2024</v>
      </c>
      <c r="E2369" t="s">
        <v>31</v>
      </c>
      <c r="F2369" t="s">
        <v>75</v>
      </c>
      <c r="G2369" t="s">
        <v>31</v>
      </c>
      <c r="H2369" t="s">
        <v>27</v>
      </c>
      <c r="I2369" t="s">
        <v>27</v>
      </c>
      <c r="J2369" t="s">
        <v>27</v>
      </c>
      <c r="K2369">
        <v>15000</v>
      </c>
      <c r="L2369" t="s">
        <v>31</v>
      </c>
      <c r="M2369">
        <v>97.436175616133966</v>
      </c>
    </row>
    <row r="2370" spans="1:13" hidden="1" x14ac:dyDescent="0.3">
      <c r="A2370" t="s">
        <v>1397</v>
      </c>
      <c r="B2370" t="s">
        <v>51</v>
      </c>
      <c r="C2370" t="s">
        <v>52</v>
      </c>
      <c r="D2370">
        <v>2024</v>
      </c>
      <c r="E2370" t="s">
        <v>31</v>
      </c>
      <c r="F2370" t="s">
        <v>45</v>
      </c>
      <c r="G2370" t="s">
        <v>31</v>
      </c>
      <c r="H2370" t="s">
        <v>27</v>
      </c>
      <c r="I2370" t="s">
        <v>27</v>
      </c>
      <c r="J2370" t="s">
        <v>27</v>
      </c>
      <c r="K2370">
        <v>17790</v>
      </c>
      <c r="L2370" t="s">
        <v>31</v>
      </c>
      <c r="M2370">
        <v>97.436175616133966</v>
      </c>
    </row>
    <row r="2371" spans="1:13" hidden="1" x14ac:dyDescent="0.3">
      <c r="A2371" t="s">
        <v>1398</v>
      </c>
      <c r="B2371" t="s">
        <v>28</v>
      </c>
      <c r="C2371" t="s">
        <v>30</v>
      </c>
      <c r="D2371">
        <v>2024</v>
      </c>
      <c r="E2371" t="s">
        <v>31</v>
      </c>
      <c r="F2371" t="s">
        <v>32</v>
      </c>
      <c r="G2371" t="s">
        <v>31</v>
      </c>
      <c r="H2371" t="s">
        <v>27</v>
      </c>
      <c r="I2371" t="s">
        <v>27</v>
      </c>
      <c r="J2371" t="s">
        <v>27</v>
      </c>
      <c r="K2371">
        <v>162</v>
      </c>
      <c r="L2371" t="s">
        <v>31</v>
      </c>
      <c r="M2371">
        <v>97.436175616133966</v>
      </c>
    </row>
    <row r="2372" spans="1:13" hidden="1" x14ac:dyDescent="0.3">
      <c r="A2372" t="s">
        <v>1399</v>
      </c>
      <c r="B2372" t="s">
        <v>28</v>
      </c>
      <c r="C2372" t="s">
        <v>30</v>
      </c>
      <c r="D2372">
        <v>2024</v>
      </c>
      <c r="E2372" t="s">
        <v>31</v>
      </c>
      <c r="F2372" t="s">
        <v>49</v>
      </c>
      <c r="G2372" t="s">
        <v>31</v>
      </c>
      <c r="H2372" t="s">
        <v>27</v>
      </c>
      <c r="I2372" t="s">
        <v>27</v>
      </c>
      <c r="J2372" t="s">
        <v>27</v>
      </c>
      <c r="K2372">
        <v>127716</v>
      </c>
      <c r="L2372" t="s">
        <v>31</v>
      </c>
      <c r="M2372">
        <v>97.436175616133966</v>
      </c>
    </row>
    <row r="2373" spans="1:13" hidden="1" x14ac:dyDescent="0.3">
      <c r="A2373" t="s">
        <v>1400</v>
      </c>
      <c r="B2373" t="s">
        <v>28</v>
      </c>
      <c r="C2373" t="s">
        <v>189</v>
      </c>
      <c r="D2373">
        <v>2024</v>
      </c>
      <c r="E2373" t="s">
        <v>31</v>
      </c>
      <c r="F2373" t="s">
        <v>119</v>
      </c>
      <c r="G2373" t="s">
        <v>100</v>
      </c>
      <c r="H2373" t="s">
        <v>27</v>
      </c>
      <c r="I2373" t="s">
        <v>27</v>
      </c>
      <c r="J2373" t="s">
        <v>27</v>
      </c>
      <c r="K2373">
        <v>200</v>
      </c>
      <c r="L2373" t="s">
        <v>31</v>
      </c>
      <c r="M2373">
        <v>97.436175616133966</v>
      </c>
    </row>
    <row r="2374" spans="1:13" hidden="1" x14ac:dyDescent="0.3">
      <c r="A2374" t="s">
        <v>2090</v>
      </c>
      <c r="B2374" t="s">
        <v>28</v>
      </c>
      <c r="C2374" t="s">
        <v>64</v>
      </c>
      <c r="D2374">
        <v>2024</v>
      </c>
      <c r="E2374">
        <v>2850000</v>
      </c>
      <c r="F2374" t="s">
        <v>34</v>
      </c>
      <c r="G2374" t="s">
        <v>2091</v>
      </c>
      <c r="H2374" t="s">
        <v>27</v>
      </c>
      <c r="I2374" t="s">
        <v>27</v>
      </c>
      <c r="J2374" t="s">
        <v>27</v>
      </c>
      <c r="K2374">
        <v>11</v>
      </c>
      <c r="L2374">
        <v>2924992</v>
      </c>
      <c r="M2374">
        <v>97.436175616133966</v>
      </c>
    </row>
    <row r="2375" spans="1:13" hidden="1" x14ac:dyDescent="0.3">
      <c r="A2375" t="s">
        <v>2092</v>
      </c>
      <c r="B2375" t="s">
        <v>51</v>
      </c>
      <c r="C2375" t="s">
        <v>56</v>
      </c>
      <c r="D2375">
        <v>2024</v>
      </c>
      <c r="E2375" t="s">
        <v>31</v>
      </c>
      <c r="F2375" t="s">
        <v>111</v>
      </c>
      <c r="G2375" t="s">
        <v>31</v>
      </c>
      <c r="H2375" t="s">
        <v>27</v>
      </c>
      <c r="I2375" t="s">
        <v>27</v>
      </c>
      <c r="J2375" t="s">
        <v>27</v>
      </c>
      <c r="K2375">
        <v>2506</v>
      </c>
      <c r="L2375" t="s">
        <v>31</v>
      </c>
      <c r="M2375">
        <v>97.436175616133966</v>
      </c>
    </row>
    <row r="2376" spans="1:13" hidden="1" x14ac:dyDescent="0.3">
      <c r="A2376" t="s">
        <v>2093</v>
      </c>
      <c r="B2376" t="s">
        <v>28</v>
      </c>
      <c r="C2376" t="s">
        <v>64</v>
      </c>
      <c r="D2376">
        <v>2024</v>
      </c>
      <c r="E2376">
        <v>1300000</v>
      </c>
      <c r="F2376" t="s">
        <v>34</v>
      </c>
      <c r="G2376" t="s">
        <v>287</v>
      </c>
      <c r="H2376" t="s">
        <v>27</v>
      </c>
      <c r="I2376" t="s">
        <v>27</v>
      </c>
      <c r="J2376" t="s">
        <v>27</v>
      </c>
      <c r="K2376" t="s">
        <v>31</v>
      </c>
      <c r="L2376">
        <v>1334207</v>
      </c>
      <c r="M2376">
        <v>97.436175616133966</v>
      </c>
    </row>
    <row r="2377" spans="1:13" hidden="1" x14ac:dyDescent="0.3">
      <c r="A2377" t="s">
        <v>2094</v>
      </c>
      <c r="B2377" t="s">
        <v>51</v>
      </c>
      <c r="C2377" t="s">
        <v>52</v>
      </c>
      <c r="D2377">
        <v>2024</v>
      </c>
      <c r="E2377" t="s">
        <v>31</v>
      </c>
      <c r="F2377" t="s">
        <v>53</v>
      </c>
      <c r="G2377" t="s">
        <v>31</v>
      </c>
      <c r="H2377" t="s">
        <v>27</v>
      </c>
      <c r="I2377" t="s">
        <v>27</v>
      </c>
      <c r="J2377" t="s">
        <v>27</v>
      </c>
      <c r="K2377">
        <v>346</v>
      </c>
      <c r="L2377" t="s">
        <v>31</v>
      </c>
      <c r="M2377">
        <v>97.436175616133966</v>
      </c>
    </row>
    <row r="2378" spans="1:13" hidden="1" x14ac:dyDescent="0.3">
      <c r="A2378" t="s">
        <v>2095</v>
      </c>
      <c r="B2378" t="s">
        <v>51</v>
      </c>
      <c r="C2378" t="s">
        <v>52</v>
      </c>
      <c r="D2378">
        <v>2024</v>
      </c>
      <c r="E2378" t="s">
        <v>31</v>
      </c>
      <c r="F2378" t="s">
        <v>130</v>
      </c>
      <c r="G2378" t="s">
        <v>31</v>
      </c>
      <c r="H2378" t="s">
        <v>27</v>
      </c>
      <c r="I2378" t="s">
        <v>27</v>
      </c>
      <c r="J2378" t="s">
        <v>27</v>
      </c>
      <c r="K2378">
        <v>400000</v>
      </c>
      <c r="L2378" t="s">
        <v>31</v>
      </c>
      <c r="M2378">
        <v>97.436175616133966</v>
      </c>
    </row>
    <row r="2379" spans="1:13" hidden="1" x14ac:dyDescent="0.3">
      <c r="A2379" t="s">
        <v>2096</v>
      </c>
      <c r="B2379" t="s">
        <v>51</v>
      </c>
      <c r="C2379" t="s">
        <v>56</v>
      </c>
      <c r="D2379">
        <v>2024</v>
      </c>
      <c r="E2379" t="s">
        <v>31</v>
      </c>
      <c r="F2379" t="s">
        <v>57</v>
      </c>
      <c r="G2379" t="s">
        <v>54</v>
      </c>
      <c r="H2379" t="s">
        <v>27</v>
      </c>
      <c r="I2379" t="s">
        <v>27</v>
      </c>
      <c r="J2379" t="s">
        <v>33</v>
      </c>
      <c r="K2379">
        <v>100000</v>
      </c>
      <c r="L2379" t="s">
        <v>31</v>
      </c>
      <c r="M2379">
        <v>97.436175616133966</v>
      </c>
    </row>
    <row r="2380" spans="1:13" hidden="1" x14ac:dyDescent="0.3">
      <c r="A2380" t="s">
        <v>2097</v>
      </c>
      <c r="B2380" t="s">
        <v>51</v>
      </c>
      <c r="C2380" t="s">
        <v>52</v>
      </c>
      <c r="D2380">
        <v>2024</v>
      </c>
      <c r="E2380">
        <v>2700000</v>
      </c>
      <c r="F2380" t="s">
        <v>34</v>
      </c>
      <c r="G2380" t="s">
        <v>29</v>
      </c>
      <c r="H2380" t="s">
        <v>27</v>
      </c>
      <c r="I2380" t="s">
        <v>27</v>
      </c>
      <c r="J2380" t="s">
        <v>33</v>
      </c>
      <c r="K2380">
        <v>226</v>
      </c>
      <c r="L2380">
        <v>2771045</v>
      </c>
      <c r="M2380">
        <v>97.436175616133966</v>
      </c>
    </row>
    <row r="2381" spans="1:13" hidden="1" x14ac:dyDescent="0.3">
      <c r="A2381" t="s">
        <v>2098</v>
      </c>
      <c r="B2381" t="s">
        <v>51</v>
      </c>
      <c r="C2381" t="s">
        <v>52</v>
      </c>
      <c r="D2381">
        <v>2024</v>
      </c>
      <c r="E2381" t="s">
        <v>31</v>
      </c>
      <c r="F2381" t="s">
        <v>130</v>
      </c>
      <c r="G2381" t="s">
        <v>31</v>
      </c>
      <c r="H2381" t="s">
        <v>27</v>
      </c>
      <c r="I2381" t="s">
        <v>27</v>
      </c>
      <c r="J2381" t="s">
        <v>27</v>
      </c>
      <c r="K2381">
        <v>2400</v>
      </c>
      <c r="L2381" t="s">
        <v>31</v>
      </c>
      <c r="M2381">
        <v>97.436175616133966</v>
      </c>
    </row>
    <row r="2382" spans="1:13" hidden="1" x14ac:dyDescent="0.3">
      <c r="A2382" t="s">
        <v>2099</v>
      </c>
      <c r="B2382" t="s">
        <v>51</v>
      </c>
      <c r="C2382" t="s">
        <v>52</v>
      </c>
      <c r="D2382">
        <v>2024</v>
      </c>
      <c r="E2382" t="s">
        <v>31</v>
      </c>
      <c r="F2382" t="s">
        <v>57</v>
      </c>
      <c r="G2382" t="s">
        <v>31</v>
      </c>
      <c r="H2382" t="s">
        <v>27</v>
      </c>
      <c r="I2382" t="s">
        <v>27</v>
      </c>
      <c r="J2382" t="s">
        <v>27</v>
      </c>
      <c r="K2382">
        <v>3588</v>
      </c>
      <c r="L2382" t="s">
        <v>31</v>
      </c>
      <c r="M2382">
        <v>97.436175616133966</v>
      </c>
    </row>
    <row r="2383" spans="1:13" hidden="1" x14ac:dyDescent="0.3">
      <c r="A2383" t="s">
        <v>2100</v>
      </c>
      <c r="B2383" t="s">
        <v>28</v>
      </c>
      <c r="C2383" t="s">
        <v>97</v>
      </c>
      <c r="D2383">
        <v>2024</v>
      </c>
      <c r="E2383">
        <v>6600000</v>
      </c>
      <c r="F2383" t="s">
        <v>34</v>
      </c>
      <c r="G2383" t="s">
        <v>1377</v>
      </c>
      <c r="H2383" t="s">
        <v>27</v>
      </c>
      <c r="I2383" t="s">
        <v>27</v>
      </c>
      <c r="J2383" t="s">
        <v>27</v>
      </c>
      <c r="K2383">
        <v>125</v>
      </c>
      <c r="L2383">
        <v>6773665</v>
      </c>
      <c r="M2383">
        <v>97.436175616133966</v>
      </c>
    </row>
    <row r="2384" spans="1:13" hidden="1" x14ac:dyDescent="0.3">
      <c r="A2384" t="s">
        <v>2101</v>
      </c>
      <c r="B2384" t="s">
        <v>28</v>
      </c>
      <c r="C2384" t="s">
        <v>64</v>
      </c>
      <c r="D2384">
        <v>2024</v>
      </c>
      <c r="E2384" t="s">
        <v>31</v>
      </c>
      <c r="F2384" t="s">
        <v>47</v>
      </c>
      <c r="G2384" t="s">
        <v>37</v>
      </c>
      <c r="H2384" t="s">
        <v>27</v>
      </c>
      <c r="I2384" t="s">
        <v>27</v>
      </c>
      <c r="J2384" t="s">
        <v>33</v>
      </c>
      <c r="K2384">
        <v>7806</v>
      </c>
      <c r="L2384" t="s">
        <v>31</v>
      </c>
      <c r="M2384">
        <v>97.436175616133966</v>
      </c>
    </row>
    <row r="2385" spans="1:13" hidden="1" x14ac:dyDescent="0.3">
      <c r="A2385" t="s">
        <v>2102</v>
      </c>
      <c r="B2385" t="s">
        <v>28</v>
      </c>
      <c r="C2385" t="s">
        <v>64</v>
      </c>
      <c r="D2385">
        <v>2024</v>
      </c>
      <c r="E2385">
        <v>3200000</v>
      </c>
      <c r="F2385" t="s">
        <v>34</v>
      </c>
      <c r="G2385" t="s">
        <v>65</v>
      </c>
      <c r="H2385" t="s">
        <v>27</v>
      </c>
      <c r="I2385" t="s">
        <v>27</v>
      </c>
      <c r="J2385" t="s">
        <v>27</v>
      </c>
      <c r="K2385" t="s">
        <v>31</v>
      </c>
      <c r="L2385">
        <v>3284201</v>
      </c>
      <c r="M2385">
        <v>97.436175616133966</v>
      </c>
    </row>
    <row r="2386" spans="1:13" hidden="1" x14ac:dyDescent="0.3">
      <c r="A2386" t="s">
        <v>2103</v>
      </c>
      <c r="B2386" t="s">
        <v>39</v>
      </c>
      <c r="C2386" t="s">
        <v>142</v>
      </c>
      <c r="D2386">
        <v>2024</v>
      </c>
      <c r="E2386" t="s">
        <v>31</v>
      </c>
      <c r="F2386" t="s">
        <v>90</v>
      </c>
      <c r="G2386" t="s">
        <v>31</v>
      </c>
      <c r="H2386" t="s">
        <v>27</v>
      </c>
      <c r="I2386" t="s">
        <v>27</v>
      </c>
      <c r="J2386" t="s">
        <v>27</v>
      </c>
      <c r="K2386" t="s">
        <v>31</v>
      </c>
      <c r="L2386" t="s">
        <v>31</v>
      </c>
      <c r="M2386">
        <v>97.436175616133966</v>
      </c>
    </row>
    <row r="2387" spans="1:13" hidden="1" x14ac:dyDescent="0.3">
      <c r="A2387" t="s">
        <v>2104</v>
      </c>
      <c r="B2387" t="s">
        <v>51</v>
      </c>
      <c r="C2387" t="s">
        <v>134</v>
      </c>
      <c r="D2387">
        <v>2024</v>
      </c>
      <c r="E2387">
        <v>10000</v>
      </c>
      <c r="F2387" t="s">
        <v>109</v>
      </c>
      <c r="G2387" t="s">
        <v>82</v>
      </c>
      <c r="H2387" t="s">
        <v>27</v>
      </c>
      <c r="I2387" t="s">
        <v>27</v>
      </c>
      <c r="J2387" t="s">
        <v>27</v>
      </c>
      <c r="K2387">
        <v>3629</v>
      </c>
      <c r="L2387">
        <v>10263</v>
      </c>
      <c r="M2387">
        <v>97.436175616133966</v>
      </c>
    </row>
    <row r="2388" spans="1:13" hidden="1" x14ac:dyDescent="0.3">
      <c r="A2388" t="s">
        <v>2105</v>
      </c>
      <c r="B2388" t="s">
        <v>28</v>
      </c>
      <c r="C2388" t="s">
        <v>30</v>
      </c>
      <c r="D2388">
        <v>2024</v>
      </c>
      <c r="E2388">
        <v>218000</v>
      </c>
      <c r="F2388" t="s">
        <v>446</v>
      </c>
      <c r="G2388" t="s">
        <v>31</v>
      </c>
      <c r="H2388" t="s">
        <v>27</v>
      </c>
      <c r="I2388" t="s">
        <v>27</v>
      </c>
      <c r="J2388" t="s">
        <v>33</v>
      </c>
      <c r="K2388">
        <v>12027</v>
      </c>
      <c r="L2388">
        <v>223736</v>
      </c>
      <c r="M2388">
        <v>97.436175616133966</v>
      </c>
    </row>
    <row r="2389" spans="1:13" hidden="1" x14ac:dyDescent="0.3">
      <c r="A2389" t="s">
        <v>2106</v>
      </c>
      <c r="B2389" t="s">
        <v>91</v>
      </c>
      <c r="C2389" t="s">
        <v>93</v>
      </c>
      <c r="D2389">
        <v>2024</v>
      </c>
      <c r="E2389" t="s">
        <v>31</v>
      </c>
      <c r="F2389" t="s">
        <v>53</v>
      </c>
      <c r="G2389" t="s">
        <v>214</v>
      </c>
      <c r="H2389" t="s">
        <v>27</v>
      </c>
      <c r="I2389" t="s">
        <v>27</v>
      </c>
      <c r="J2389" t="s">
        <v>27</v>
      </c>
      <c r="K2389">
        <v>9063</v>
      </c>
      <c r="L2389" t="s">
        <v>31</v>
      </c>
      <c r="M2389">
        <v>97.436175616133966</v>
      </c>
    </row>
    <row r="2390" spans="1:13" hidden="1" x14ac:dyDescent="0.3">
      <c r="A2390" t="s">
        <v>2107</v>
      </c>
      <c r="B2390" t="s">
        <v>28</v>
      </c>
      <c r="C2390" t="s">
        <v>189</v>
      </c>
      <c r="D2390">
        <v>2024</v>
      </c>
      <c r="E2390">
        <v>2250000</v>
      </c>
      <c r="F2390" t="s">
        <v>77</v>
      </c>
      <c r="G2390" t="s">
        <v>37</v>
      </c>
      <c r="H2390" t="s">
        <v>27</v>
      </c>
      <c r="I2390" t="s">
        <v>27</v>
      </c>
      <c r="J2390" t="s">
        <v>27</v>
      </c>
      <c r="K2390">
        <v>20</v>
      </c>
      <c r="L2390">
        <v>2309204</v>
      </c>
      <c r="M2390">
        <v>97.436175616133966</v>
      </c>
    </row>
    <row r="2391" spans="1:13" hidden="1" x14ac:dyDescent="0.3">
      <c r="A2391" t="s">
        <v>2108</v>
      </c>
      <c r="B2391" t="s">
        <v>43</v>
      </c>
      <c r="C2391" t="s">
        <v>114</v>
      </c>
      <c r="D2391">
        <v>2024</v>
      </c>
      <c r="E2391" t="s">
        <v>31</v>
      </c>
      <c r="F2391" t="s">
        <v>166</v>
      </c>
      <c r="G2391" t="s">
        <v>31</v>
      </c>
      <c r="H2391" t="s">
        <v>27</v>
      </c>
      <c r="I2391" t="s">
        <v>27</v>
      </c>
      <c r="J2391" t="s">
        <v>33</v>
      </c>
      <c r="K2391">
        <v>29229</v>
      </c>
      <c r="L2391" t="s">
        <v>31</v>
      </c>
      <c r="M2391">
        <v>97.436175616133966</v>
      </c>
    </row>
    <row r="2392" spans="1:13" hidden="1" x14ac:dyDescent="0.3">
      <c r="A2392" t="s">
        <v>2109</v>
      </c>
      <c r="B2392" t="s">
        <v>51</v>
      </c>
      <c r="C2392" t="s">
        <v>134</v>
      </c>
      <c r="D2392">
        <v>2024</v>
      </c>
      <c r="E2392" t="s">
        <v>31</v>
      </c>
      <c r="F2392" t="s">
        <v>73</v>
      </c>
      <c r="G2392" t="s">
        <v>31</v>
      </c>
      <c r="H2392" t="s">
        <v>27</v>
      </c>
      <c r="I2392" t="s">
        <v>27</v>
      </c>
      <c r="J2392" t="s">
        <v>27</v>
      </c>
      <c r="K2392">
        <v>132</v>
      </c>
      <c r="L2392" t="s">
        <v>31</v>
      </c>
      <c r="M2392">
        <v>97.436175616133966</v>
      </c>
    </row>
    <row r="2393" spans="1:13" hidden="1" x14ac:dyDescent="0.3">
      <c r="A2393" t="s">
        <v>2110</v>
      </c>
      <c r="B2393" t="s">
        <v>28</v>
      </c>
      <c r="C2393" t="s">
        <v>30</v>
      </c>
      <c r="D2393">
        <v>2024</v>
      </c>
      <c r="E2393">
        <v>2450000</v>
      </c>
      <c r="F2393" t="s">
        <v>73</v>
      </c>
      <c r="G2393" t="s">
        <v>82</v>
      </c>
      <c r="H2393" t="s">
        <v>27</v>
      </c>
      <c r="I2393" t="s">
        <v>27</v>
      </c>
      <c r="J2393" t="s">
        <v>27</v>
      </c>
      <c r="K2393">
        <v>3150</v>
      </c>
      <c r="L2393">
        <v>2514467</v>
      </c>
      <c r="M2393">
        <v>97.436175616133966</v>
      </c>
    </row>
    <row r="2394" spans="1:13" hidden="1" x14ac:dyDescent="0.3">
      <c r="A2394" t="s">
        <v>2111</v>
      </c>
      <c r="B2394" t="s">
        <v>28</v>
      </c>
      <c r="C2394" t="s">
        <v>95</v>
      </c>
      <c r="D2394">
        <v>2024</v>
      </c>
      <c r="E2394" t="s">
        <v>31</v>
      </c>
      <c r="F2394" t="s">
        <v>34</v>
      </c>
      <c r="G2394" t="s">
        <v>31</v>
      </c>
      <c r="H2394" t="s">
        <v>27</v>
      </c>
      <c r="I2394" t="s">
        <v>27</v>
      </c>
      <c r="J2394" t="s">
        <v>27</v>
      </c>
      <c r="K2394" t="s">
        <v>31</v>
      </c>
      <c r="L2394" t="s">
        <v>31</v>
      </c>
      <c r="M2394">
        <v>97.436175616133966</v>
      </c>
    </row>
    <row r="2395" spans="1:13" hidden="1" x14ac:dyDescent="0.3">
      <c r="A2395" t="s">
        <v>2112</v>
      </c>
      <c r="B2395" t="s">
        <v>51</v>
      </c>
      <c r="C2395" t="s">
        <v>56</v>
      </c>
      <c r="D2395">
        <v>2024</v>
      </c>
      <c r="E2395" t="s">
        <v>31</v>
      </c>
      <c r="F2395" t="s">
        <v>34</v>
      </c>
      <c r="G2395" t="s">
        <v>31</v>
      </c>
      <c r="H2395" t="s">
        <v>27</v>
      </c>
      <c r="I2395" t="s">
        <v>27</v>
      </c>
      <c r="J2395" t="s">
        <v>33</v>
      </c>
      <c r="K2395">
        <v>338</v>
      </c>
      <c r="L2395" t="s">
        <v>31</v>
      </c>
      <c r="M2395">
        <v>97.436175616133966</v>
      </c>
    </row>
    <row r="2396" spans="1:13" hidden="1" x14ac:dyDescent="0.3">
      <c r="A2396" t="s">
        <v>2113</v>
      </c>
      <c r="B2396" t="s">
        <v>28</v>
      </c>
      <c r="C2396" t="s">
        <v>64</v>
      </c>
      <c r="D2396">
        <v>2024</v>
      </c>
      <c r="E2396">
        <v>110000</v>
      </c>
      <c r="F2396" t="s">
        <v>166</v>
      </c>
      <c r="G2396" t="s">
        <v>82</v>
      </c>
      <c r="H2396" t="s">
        <v>27</v>
      </c>
      <c r="I2396" t="s">
        <v>27</v>
      </c>
      <c r="J2396" t="s">
        <v>27</v>
      </c>
      <c r="K2396">
        <v>3895</v>
      </c>
      <c r="L2396">
        <v>112894</v>
      </c>
      <c r="M2396">
        <v>97.436175616133966</v>
      </c>
    </row>
    <row r="2397" spans="1:13" hidden="1" x14ac:dyDescent="0.3">
      <c r="A2397" t="s">
        <v>2114</v>
      </c>
      <c r="B2397" t="s">
        <v>28</v>
      </c>
      <c r="C2397" t="s">
        <v>30</v>
      </c>
      <c r="D2397">
        <v>2024</v>
      </c>
      <c r="E2397" t="s">
        <v>31</v>
      </c>
      <c r="F2397" t="s">
        <v>161</v>
      </c>
      <c r="G2397" t="s">
        <v>31</v>
      </c>
      <c r="H2397" t="s">
        <v>27</v>
      </c>
      <c r="I2397" t="s">
        <v>27</v>
      </c>
      <c r="J2397" t="s">
        <v>27</v>
      </c>
      <c r="K2397">
        <v>3418</v>
      </c>
      <c r="L2397" t="s">
        <v>31</v>
      </c>
      <c r="M2397">
        <v>97.436175616133966</v>
      </c>
    </row>
    <row r="2398" spans="1:13" hidden="1" x14ac:dyDescent="0.3">
      <c r="A2398" t="s">
        <v>2115</v>
      </c>
      <c r="B2398" t="s">
        <v>28</v>
      </c>
      <c r="C2398" t="s">
        <v>30</v>
      </c>
      <c r="D2398">
        <v>2024</v>
      </c>
      <c r="E2398" t="s">
        <v>31</v>
      </c>
      <c r="F2398" t="s">
        <v>90</v>
      </c>
      <c r="G2398" t="s">
        <v>82</v>
      </c>
      <c r="H2398" t="s">
        <v>27</v>
      </c>
      <c r="I2398" t="s">
        <v>27</v>
      </c>
      <c r="J2398" t="s">
        <v>27</v>
      </c>
      <c r="K2398">
        <v>50240</v>
      </c>
      <c r="L2398" t="s">
        <v>31</v>
      </c>
      <c r="M2398">
        <v>97.436175616133966</v>
      </c>
    </row>
    <row r="2399" spans="1:13" hidden="1" x14ac:dyDescent="0.3">
      <c r="A2399" t="s">
        <v>2116</v>
      </c>
      <c r="B2399" t="s">
        <v>28</v>
      </c>
      <c r="C2399" t="s">
        <v>30</v>
      </c>
      <c r="D2399">
        <v>2024</v>
      </c>
      <c r="E2399" t="s">
        <v>31</v>
      </c>
      <c r="F2399" t="s">
        <v>115</v>
      </c>
      <c r="G2399" t="s">
        <v>82</v>
      </c>
      <c r="H2399" t="s">
        <v>27</v>
      </c>
      <c r="I2399" t="s">
        <v>27</v>
      </c>
      <c r="J2399" t="s">
        <v>27</v>
      </c>
      <c r="K2399">
        <v>480</v>
      </c>
      <c r="L2399" t="s">
        <v>31</v>
      </c>
      <c r="M2399">
        <v>97.436175616133966</v>
      </c>
    </row>
    <row r="2400" spans="1:13" hidden="1" x14ac:dyDescent="0.3">
      <c r="A2400" t="s">
        <v>2117</v>
      </c>
      <c r="B2400" t="s">
        <v>39</v>
      </c>
      <c r="C2400" t="s">
        <v>157</v>
      </c>
      <c r="D2400">
        <v>2024</v>
      </c>
      <c r="E2400">
        <v>6050000</v>
      </c>
      <c r="F2400" t="s">
        <v>119</v>
      </c>
      <c r="G2400" t="s">
        <v>31</v>
      </c>
      <c r="H2400" t="s">
        <v>27</v>
      </c>
      <c r="I2400" t="s">
        <v>27</v>
      </c>
      <c r="J2400" t="s">
        <v>27</v>
      </c>
      <c r="K2400">
        <v>745000</v>
      </c>
      <c r="L2400">
        <v>6209193</v>
      </c>
      <c r="M2400">
        <v>97.436175616133966</v>
      </c>
    </row>
    <row r="2401" spans="1:13" hidden="1" x14ac:dyDescent="0.3">
      <c r="A2401" t="s">
        <v>2118</v>
      </c>
      <c r="B2401" t="s">
        <v>39</v>
      </c>
      <c r="C2401" t="s">
        <v>157</v>
      </c>
      <c r="D2401">
        <v>2024</v>
      </c>
      <c r="E2401">
        <v>5400000</v>
      </c>
      <c r="F2401" t="s">
        <v>34</v>
      </c>
      <c r="G2401" t="s">
        <v>31</v>
      </c>
      <c r="H2401" t="s">
        <v>27</v>
      </c>
      <c r="I2401" t="s">
        <v>27</v>
      </c>
      <c r="J2401" t="s">
        <v>27</v>
      </c>
      <c r="K2401" t="s">
        <v>31</v>
      </c>
      <c r="L2401">
        <v>5542089</v>
      </c>
      <c r="M2401">
        <v>97.436175616133966</v>
      </c>
    </row>
    <row r="2402" spans="1:13" x14ac:dyDescent="0.3">
      <c r="D2402" s="2" t="s">
        <v>2571</v>
      </c>
      <c r="E2402" s="2">
        <f>SUM(E2329,E2331,E2334,E2341)</f>
        <v>7560000</v>
      </c>
    </row>
  </sheetData>
  <autoFilter ref="A1:J2401">
    <filterColumn colId="1">
      <filters>
        <filter val="Hydrological"/>
      </filters>
    </filterColumn>
    <filterColumn colId="2">
      <filters>
        <filter val="Flash flood"/>
        <filter val="Flood (General)"/>
        <filter val="Riverine flood"/>
      </filters>
    </filterColumn>
    <filterColumn colId="4">
      <customFilters>
        <customFilter operator="notEqual" val=" "/>
      </customFilters>
    </filterColumn>
    <filterColumn colId="5">
      <filters>
        <filter val="Brazil"/>
      </filters>
    </filterColumn>
  </autoFilter>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C1" sqref="C1"/>
    </sheetView>
  </sheetViews>
  <sheetFormatPr defaultRowHeight="14.4" x14ac:dyDescent="0.3"/>
  <cols>
    <col min="2" max="2" width="20" customWidth="1"/>
    <col min="3" max="3" width="28.44140625" style="4" customWidth="1"/>
    <col min="4" max="4" width="9.88671875" customWidth="1"/>
  </cols>
  <sheetData>
    <row r="1" spans="1:4" ht="15.6" x14ac:dyDescent="0.35">
      <c r="A1" t="s">
        <v>2570</v>
      </c>
      <c r="B1" t="s">
        <v>2569</v>
      </c>
      <c r="C1" s="4" t="s">
        <v>2580</v>
      </c>
      <c r="D1" t="s">
        <v>2574</v>
      </c>
    </row>
    <row r="2" spans="1:4" x14ac:dyDescent="0.3">
      <c r="A2">
        <v>2000</v>
      </c>
      <c r="B2" s="1">
        <v>655448188259.35071</v>
      </c>
      <c r="C2" s="4">
        <v>0</v>
      </c>
      <c r="D2" t="str">
        <f>IF(C2&gt;=0.00001,"Yes","No")</f>
        <v>No</v>
      </c>
    </row>
    <row r="3" spans="1:4" x14ac:dyDescent="0.3">
      <c r="A3">
        <v>2001</v>
      </c>
      <c r="B3" s="1">
        <v>559983704094.16992</v>
      </c>
      <c r="C3" s="5">
        <f>('EM-DAT Data'!E314*1000)/GDP!B3</f>
        <v>8.0359481304535528E-5</v>
      </c>
      <c r="D3" t="str">
        <f t="shared" ref="D3:D26" si="0">IF(C3&gt;=0.00001,"Yes","No")</f>
        <v>Yes</v>
      </c>
    </row>
    <row r="4" spans="1:4" x14ac:dyDescent="0.3">
      <c r="A4">
        <v>2002</v>
      </c>
      <c r="B4" s="1">
        <v>509795270685.19012</v>
      </c>
      <c r="C4" s="5">
        <v>0</v>
      </c>
      <c r="D4" t="str">
        <f t="shared" si="0"/>
        <v>No</v>
      </c>
    </row>
    <row r="5" spans="1:4" x14ac:dyDescent="0.3">
      <c r="A5">
        <v>2003</v>
      </c>
      <c r="B5" s="1">
        <v>558233724164.71082</v>
      </c>
      <c r="C5" s="5">
        <f>('EM-DAT Data'!E459*1000)/GDP!B5</f>
        <v>5.4278340215539842E-4</v>
      </c>
      <c r="D5" t="str">
        <f t="shared" si="0"/>
        <v>Yes</v>
      </c>
    </row>
    <row r="6" spans="1:4" x14ac:dyDescent="0.3">
      <c r="A6">
        <v>2004</v>
      </c>
      <c r="B6" s="1">
        <v>669289321944.51221</v>
      </c>
      <c r="C6" s="5">
        <f>('EM-DAT Data'!E707*1000)/GDP!B6</f>
        <v>5.5282519512641357E-7</v>
      </c>
      <c r="D6" t="str">
        <f t="shared" si="0"/>
        <v>No</v>
      </c>
    </row>
    <row r="7" spans="1:4" x14ac:dyDescent="0.3">
      <c r="A7">
        <v>2005</v>
      </c>
      <c r="B7" s="1">
        <v>891633826625.40735</v>
      </c>
      <c r="C7" s="5">
        <v>0</v>
      </c>
      <c r="D7" t="str">
        <f t="shared" si="0"/>
        <v>No</v>
      </c>
    </row>
    <row r="8" spans="1:4" x14ac:dyDescent="0.3">
      <c r="A8">
        <v>2006</v>
      </c>
      <c r="B8" s="1">
        <v>1107626711163.2285</v>
      </c>
      <c r="C8" s="5">
        <v>0</v>
      </c>
      <c r="D8" t="str">
        <f t="shared" si="0"/>
        <v>No</v>
      </c>
    </row>
    <row r="9" spans="1:4" x14ac:dyDescent="0.3">
      <c r="A9">
        <v>2007</v>
      </c>
      <c r="B9" s="1">
        <v>1397114247188.8928</v>
      </c>
      <c r="C9" s="5">
        <f>('EM-DAT Data'!E788*1000)/GDP!B9</f>
        <v>8.9470134780681064E-5</v>
      </c>
      <c r="D9" t="str">
        <f t="shared" si="0"/>
        <v>Yes</v>
      </c>
    </row>
    <row r="10" spans="1:4" x14ac:dyDescent="0.3">
      <c r="A10">
        <v>2008</v>
      </c>
      <c r="B10" s="1">
        <v>1695855391757.9614</v>
      </c>
      <c r="C10" s="5">
        <f>('EM-DAT Data'!E887*1000)/GDP!B10</f>
        <v>6.5453694070539189E-4</v>
      </c>
      <c r="D10" t="str">
        <f t="shared" si="0"/>
        <v>Yes</v>
      </c>
    </row>
    <row r="11" spans="1:4" x14ac:dyDescent="0.3">
      <c r="A11">
        <v>2009</v>
      </c>
      <c r="B11" s="1">
        <v>1666996294252.1167</v>
      </c>
      <c r="C11" s="5">
        <f>('EM-DAT Data'!E984*1000)/GDP!B11</f>
        <v>3.5992881452036145E-4</v>
      </c>
      <c r="D11" t="str">
        <f t="shared" si="0"/>
        <v>Yes</v>
      </c>
    </row>
    <row r="12" spans="1:4" x14ac:dyDescent="0.3">
      <c r="A12">
        <v>2010</v>
      </c>
      <c r="B12" s="1">
        <v>2208838108484.3452</v>
      </c>
      <c r="C12" s="5">
        <f>('EM-DAT Data'!E1055*1000)/GDP!B12</f>
        <v>3.6308681787019435E-4</v>
      </c>
      <c r="D12" t="str">
        <f t="shared" si="0"/>
        <v>Yes</v>
      </c>
    </row>
    <row r="13" spans="1:4" x14ac:dyDescent="0.3">
      <c r="A13">
        <v>2011</v>
      </c>
      <c r="B13" s="1">
        <v>2616156606579.209</v>
      </c>
      <c r="C13" s="5">
        <f>('EM-DAT Data'!E1171*1000)/GDP!B13</f>
        <v>3.8300459440391784E-4</v>
      </c>
      <c r="D13" t="str">
        <f t="shared" si="0"/>
        <v>Yes</v>
      </c>
    </row>
    <row r="14" spans="1:4" x14ac:dyDescent="0.3">
      <c r="A14">
        <v>2012</v>
      </c>
      <c r="B14" s="1">
        <v>2465228293706.8604</v>
      </c>
      <c r="C14" s="5">
        <f>('EM-DAT Data'!E1254*1000)/GDP!B14</f>
        <v>6.9364772599974701E-5</v>
      </c>
      <c r="D14" t="str">
        <f t="shared" si="0"/>
        <v>Yes</v>
      </c>
    </row>
    <row r="15" spans="1:4" x14ac:dyDescent="0.3">
      <c r="A15">
        <v>2013</v>
      </c>
      <c r="B15" s="1">
        <v>2472819362043.7378</v>
      </c>
      <c r="C15" s="5">
        <f>('EM-DAT Data'!E1356*1000)/GDP!B15</f>
        <v>2.2059840212070917E-4</v>
      </c>
      <c r="D15" t="str">
        <f t="shared" si="0"/>
        <v>Yes</v>
      </c>
    </row>
    <row r="16" spans="1:4" x14ac:dyDescent="0.3">
      <c r="A16">
        <v>2014</v>
      </c>
      <c r="B16" s="1">
        <v>2456043766032.3828</v>
      </c>
      <c r="C16" s="5">
        <f>('EM-DAT Data'!E1462*1000)/GDP!B16</f>
        <v>8.1431773637767902E-5</v>
      </c>
      <c r="D16" t="str">
        <f t="shared" si="0"/>
        <v>Yes</v>
      </c>
    </row>
    <row r="17" spans="1:11" x14ac:dyDescent="0.3">
      <c r="A17">
        <v>2015</v>
      </c>
      <c r="B17" s="1">
        <v>1802211999456.4155</v>
      </c>
      <c r="C17" s="5">
        <f>('EM-DAT Data'!E1513*1000)/GDP!B17</f>
        <v>1.1097473552519024E-6</v>
      </c>
      <c r="D17" t="str">
        <f t="shared" si="0"/>
        <v>No</v>
      </c>
    </row>
    <row r="18" spans="1:11" x14ac:dyDescent="0.3">
      <c r="A18">
        <v>2016</v>
      </c>
      <c r="B18" s="1">
        <v>1795693265999.0378</v>
      </c>
      <c r="C18" s="5">
        <f>('EM-DAT Data'!E1612*1000)/GDP!B18</f>
        <v>1.1137759648986018E-4</v>
      </c>
      <c r="D18" t="str">
        <f t="shared" si="0"/>
        <v>Yes</v>
      </c>
      <c r="K18" s="3"/>
    </row>
    <row r="19" spans="1:11" x14ac:dyDescent="0.3">
      <c r="A19">
        <v>2017</v>
      </c>
      <c r="B19" s="1">
        <v>2063514688805.7754</v>
      </c>
      <c r="C19" s="5">
        <f>('EM-DAT Data'!E1694*1000)/GDP!B19</f>
        <v>4.8461007107186295E-5</v>
      </c>
      <c r="D19" t="str">
        <f t="shared" si="0"/>
        <v>Yes</v>
      </c>
    </row>
    <row r="20" spans="1:11" x14ac:dyDescent="0.3">
      <c r="A20">
        <v>2018</v>
      </c>
      <c r="B20" s="1">
        <v>1916933708352.7053</v>
      </c>
      <c r="C20" s="5">
        <f>('EM-DAT Data'!E1881*1000)/GDP!B20</f>
        <v>2.7648321780279472E-5</v>
      </c>
      <c r="D20" t="str">
        <f t="shared" si="0"/>
        <v>Yes</v>
      </c>
    </row>
    <row r="21" spans="1:11" x14ac:dyDescent="0.3">
      <c r="A21">
        <v>2019</v>
      </c>
      <c r="B21" s="1">
        <v>1873288158838.6255</v>
      </c>
      <c r="C21" s="5">
        <v>0</v>
      </c>
      <c r="D21" t="str">
        <f t="shared" si="0"/>
        <v>No</v>
      </c>
    </row>
    <row r="22" spans="1:11" x14ac:dyDescent="0.3">
      <c r="A22">
        <v>2020</v>
      </c>
      <c r="B22" s="1">
        <v>1476107292151.9543</v>
      </c>
      <c r="C22" s="5">
        <f>('EM-DAT Data'!E1963*1000)/GDP!B22</f>
        <v>3.3872876494707319E-4</v>
      </c>
      <c r="D22" t="str">
        <f t="shared" si="0"/>
        <v>Yes</v>
      </c>
    </row>
    <row r="23" spans="1:11" x14ac:dyDescent="0.3">
      <c r="A23">
        <v>2021</v>
      </c>
      <c r="B23" s="1">
        <v>1670647464062.9622</v>
      </c>
      <c r="C23" s="5">
        <f>('EM-DAT Data'!E2090*1000)/GDP!B23</f>
        <v>3.2502368792961325E-4</v>
      </c>
      <c r="D23" t="str">
        <f t="shared" si="0"/>
        <v>Yes</v>
      </c>
    </row>
    <row r="24" spans="1:11" x14ac:dyDescent="0.3">
      <c r="A24">
        <v>2022</v>
      </c>
      <c r="B24" s="1">
        <v>1951923832083.8743</v>
      </c>
      <c r="C24" s="5">
        <f>('EM-DAT Data'!E2188*1000)/GDP!B24</f>
        <v>5.8455149798640872E-4</v>
      </c>
      <c r="D24" t="str">
        <f t="shared" si="0"/>
        <v>Yes</v>
      </c>
    </row>
    <row r="25" spans="1:11" x14ac:dyDescent="0.3">
      <c r="A25">
        <v>2023</v>
      </c>
      <c r="B25" s="1">
        <v>2191131869706.0227</v>
      </c>
      <c r="C25" s="5">
        <f>('EM-DAT Data'!E2328*1000)/GDP!B25</f>
        <v>1.8766556485492103E-4</v>
      </c>
      <c r="D25" t="str">
        <f t="shared" si="0"/>
        <v>Yes</v>
      </c>
    </row>
    <row r="26" spans="1:11" x14ac:dyDescent="0.3">
      <c r="A26">
        <v>2024</v>
      </c>
      <c r="B26" s="1">
        <v>2185821648943.8604</v>
      </c>
      <c r="C26" s="5">
        <f>('EM-DAT Data'!E2402*1000)/GDP!B26</f>
        <v>3.4586536388514686E-3</v>
      </c>
      <c r="D26" t="str">
        <f t="shared" si="0"/>
        <v>Yes</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27"/>
  <sheetViews>
    <sheetView workbookViewId="0">
      <selection activeCell="I31" sqref="I31"/>
    </sheetView>
  </sheetViews>
  <sheetFormatPr defaultRowHeight="14.4" x14ac:dyDescent="0.3"/>
  <cols>
    <col min="1" max="1" width="12.77734375" style="6" bestFit="1" customWidth="1"/>
    <col min="2" max="2" width="28.5546875" customWidth="1"/>
    <col min="3" max="3" width="25.88671875" customWidth="1"/>
    <col min="4" max="4" width="10.44140625" customWidth="1"/>
  </cols>
  <sheetData>
    <row r="1" spans="1:4" ht="15.6" x14ac:dyDescent="0.35">
      <c r="A1" s="10" t="str">
        <f>GDP!A1</f>
        <v>Year</v>
      </c>
      <c r="B1" s="11" t="str">
        <f>GDP!B1</f>
        <v>GDP (current US$)</v>
      </c>
      <c r="C1" s="11" t="s">
        <v>2581</v>
      </c>
      <c r="D1" s="11" t="str">
        <f>GDP!D1</f>
        <v>Keep</v>
      </c>
    </row>
    <row r="2" spans="1:4" hidden="1" x14ac:dyDescent="0.3">
      <c r="A2" s="6">
        <f>GDP!A2</f>
        <v>2000</v>
      </c>
      <c r="B2" s="3">
        <f>GDP!B2</f>
        <v>655448188259.35071</v>
      </c>
      <c r="C2" s="3">
        <f>GDP!C2</f>
        <v>0</v>
      </c>
      <c r="D2" s="3" t="str">
        <f>GDP!D2</f>
        <v>No</v>
      </c>
    </row>
    <row r="3" spans="1:4" x14ac:dyDescent="0.3">
      <c r="A3" s="10">
        <f>GDP!A3</f>
        <v>2001</v>
      </c>
      <c r="B3" s="11">
        <f>GDP!B3</f>
        <v>559983704094.16992</v>
      </c>
      <c r="C3" s="11">
        <f>GDP!C3</f>
        <v>8.0359481304535528E-5</v>
      </c>
      <c r="D3" s="11" t="str">
        <f>GDP!D3</f>
        <v>Yes</v>
      </c>
    </row>
    <row r="4" spans="1:4" hidden="1" x14ac:dyDescent="0.3">
      <c r="A4" s="6">
        <f>GDP!A4</f>
        <v>2002</v>
      </c>
      <c r="B4" s="3">
        <f>GDP!B4</f>
        <v>509795270685.19012</v>
      </c>
      <c r="C4" s="3">
        <f>GDP!C4</f>
        <v>0</v>
      </c>
      <c r="D4" s="3" t="str">
        <f>GDP!D4</f>
        <v>No</v>
      </c>
    </row>
    <row r="5" spans="1:4" x14ac:dyDescent="0.3">
      <c r="A5" s="10">
        <f>GDP!A5</f>
        <v>2003</v>
      </c>
      <c r="B5" s="11">
        <f>GDP!B5</f>
        <v>558233724164.71082</v>
      </c>
      <c r="C5" s="11">
        <f>GDP!C5</f>
        <v>5.4278340215539842E-4</v>
      </c>
      <c r="D5" s="11" t="str">
        <f>GDP!D5</f>
        <v>Yes</v>
      </c>
    </row>
    <row r="6" spans="1:4" hidden="1" x14ac:dyDescent="0.3">
      <c r="A6" s="6">
        <f>GDP!A6</f>
        <v>2004</v>
      </c>
      <c r="B6" s="3">
        <f>GDP!B6</f>
        <v>669289321944.51221</v>
      </c>
      <c r="C6" s="3">
        <f>GDP!C6</f>
        <v>5.5282519512641357E-7</v>
      </c>
      <c r="D6" s="3" t="str">
        <f>GDP!D6</f>
        <v>No</v>
      </c>
    </row>
    <row r="7" spans="1:4" hidden="1" x14ac:dyDescent="0.3">
      <c r="A7" s="6">
        <f>GDP!A7</f>
        <v>2005</v>
      </c>
      <c r="B7" s="3">
        <f>GDP!B7</f>
        <v>891633826625.40735</v>
      </c>
      <c r="C7" s="3">
        <f>GDP!C7</f>
        <v>0</v>
      </c>
      <c r="D7" s="3" t="str">
        <f>GDP!D7</f>
        <v>No</v>
      </c>
    </row>
    <row r="8" spans="1:4" hidden="1" x14ac:dyDescent="0.3">
      <c r="A8" s="6">
        <f>GDP!A8</f>
        <v>2006</v>
      </c>
      <c r="B8" s="3">
        <f>GDP!B8</f>
        <v>1107626711163.2285</v>
      </c>
      <c r="C8" s="3">
        <f>GDP!C8</f>
        <v>0</v>
      </c>
      <c r="D8" s="3" t="str">
        <f>GDP!D8</f>
        <v>No</v>
      </c>
    </row>
    <row r="9" spans="1:4" x14ac:dyDescent="0.3">
      <c r="A9" s="10">
        <f>GDP!A9</f>
        <v>2007</v>
      </c>
      <c r="B9" s="11">
        <f>GDP!B9</f>
        <v>1397114247188.8928</v>
      </c>
      <c r="C9" s="11">
        <f>GDP!C9</f>
        <v>8.9470134780681064E-5</v>
      </c>
      <c r="D9" s="11" t="str">
        <f>GDP!D9</f>
        <v>Yes</v>
      </c>
    </row>
    <row r="10" spans="1:4" x14ac:dyDescent="0.3">
      <c r="A10" s="10">
        <f>GDP!A10</f>
        <v>2008</v>
      </c>
      <c r="B10" s="11">
        <f>GDP!B10</f>
        <v>1695855391757.9614</v>
      </c>
      <c r="C10" s="11">
        <f>GDP!C10</f>
        <v>6.5453694070539189E-4</v>
      </c>
      <c r="D10" s="11" t="str">
        <f>GDP!D10</f>
        <v>Yes</v>
      </c>
    </row>
    <row r="11" spans="1:4" x14ac:dyDescent="0.3">
      <c r="A11" s="10">
        <f>GDP!A11</f>
        <v>2009</v>
      </c>
      <c r="B11" s="11">
        <f>GDP!B11</f>
        <v>1666996294252.1167</v>
      </c>
      <c r="C11" s="11">
        <f>GDP!C11</f>
        <v>3.5992881452036145E-4</v>
      </c>
      <c r="D11" s="11" t="str">
        <f>GDP!D11</f>
        <v>Yes</v>
      </c>
    </row>
    <row r="12" spans="1:4" x14ac:dyDescent="0.3">
      <c r="A12" s="10">
        <f>GDP!A12</f>
        <v>2010</v>
      </c>
      <c r="B12" s="11">
        <f>GDP!B12</f>
        <v>2208838108484.3452</v>
      </c>
      <c r="C12" s="11">
        <f>GDP!C12</f>
        <v>3.6308681787019435E-4</v>
      </c>
      <c r="D12" s="11" t="str">
        <f>GDP!D12</f>
        <v>Yes</v>
      </c>
    </row>
    <row r="13" spans="1:4" x14ac:dyDescent="0.3">
      <c r="A13" s="10">
        <f>GDP!A13</f>
        <v>2011</v>
      </c>
      <c r="B13" s="11">
        <f>GDP!B13</f>
        <v>2616156606579.209</v>
      </c>
      <c r="C13" s="11">
        <f>GDP!C13</f>
        <v>3.8300459440391784E-4</v>
      </c>
      <c r="D13" s="11" t="str">
        <f>GDP!D13</f>
        <v>Yes</v>
      </c>
    </row>
    <row r="14" spans="1:4" x14ac:dyDescent="0.3">
      <c r="A14" s="10">
        <f>GDP!A14</f>
        <v>2012</v>
      </c>
      <c r="B14" s="11">
        <f>GDP!B14</f>
        <v>2465228293706.8604</v>
      </c>
      <c r="C14" s="11">
        <f>GDP!C14</f>
        <v>6.9364772599974701E-5</v>
      </c>
      <c r="D14" s="11" t="str">
        <f>GDP!D14</f>
        <v>Yes</v>
      </c>
    </row>
    <row r="15" spans="1:4" x14ac:dyDescent="0.3">
      <c r="A15" s="10">
        <f>GDP!A15</f>
        <v>2013</v>
      </c>
      <c r="B15" s="11">
        <f>GDP!B15</f>
        <v>2472819362043.7378</v>
      </c>
      <c r="C15" s="11">
        <f>GDP!C15</f>
        <v>2.2059840212070917E-4</v>
      </c>
      <c r="D15" s="11" t="str">
        <f>GDP!D15</f>
        <v>Yes</v>
      </c>
    </row>
    <row r="16" spans="1:4" x14ac:dyDescent="0.3">
      <c r="A16" s="10">
        <f>GDP!A16</f>
        <v>2014</v>
      </c>
      <c r="B16" s="11">
        <f>GDP!B16</f>
        <v>2456043766032.3828</v>
      </c>
      <c r="C16" s="11">
        <f>GDP!C16</f>
        <v>8.1431773637767902E-5</v>
      </c>
      <c r="D16" s="11" t="str">
        <f>GDP!D16</f>
        <v>Yes</v>
      </c>
    </row>
    <row r="17" spans="1:4" hidden="1" x14ac:dyDescent="0.3">
      <c r="A17" s="6">
        <f>GDP!A17</f>
        <v>2015</v>
      </c>
      <c r="B17" s="3">
        <f>GDP!B17</f>
        <v>1802211999456.4155</v>
      </c>
      <c r="C17" s="3">
        <f>GDP!C17</f>
        <v>1.1097473552519024E-6</v>
      </c>
      <c r="D17" s="3" t="str">
        <f>GDP!D17</f>
        <v>No</v>
      </c>
    </row>
    <row r="18" spans="1:4" x14ac:dyDescent="0.3">
      <c r="A18" s="10">
        <f>GDP!A18</f>
        <v>2016</v>
      </c>
      <c r="B18" s="11">
        <f>GDP!B18</f>
        <v>1795693265999.0378</v>
      </c>
      <c r="C18" s="11">
        <f>GDP!C18</f>
        <v>1.1137759648986018E-4</v>
      </c>
      <c r="D18" s="11" t="str">
        <f>GDP!D18</f>
        <v>Yes</v>
      </c>
    </row>
    <row r="19" spans="1:4" x14ac:dyDescent="0.3">
      <c r="A19" s="10">
        <f>GDP!A19</f>
        <v>2017</v>
      </c>
      <c r="B19" s="11">
        <f>GDP!B19</f>
        <v>2063514688805.7754</v>
      </c>
      <c r="C19" s="11">
        <f>GDP!C19</f>
        <v>4.8461007107186295E-5</v>
      </c>
      <c r="D19" s="11" t="str">
        <f>GDP!D19</f>
        <v>Yes</v>
      </c>
    </row>
    <row r="20" spans="1:4" x14ac:dyDescent="0.3">
      <c r="A20" s="10">
        <f>GDP!A20</f>
        <v>2018</v>
      </c>
      <c r="B20" s="11">
        <f>GDP!B20</f>
        <v>1916933708352.7053</v>
      </c>
      <c r="C20" s="11">
        <f>GDP!C20</f>
        <v>2.7648321780279472E-5</v>
      </c>
      <c r="D20" s="11" t="str">
        <f>GDP!D20</f>
        <v>Yes</v>
      </c>
    </row>
    <row r="21" spans="1:4" hidden="1" x14ac:dyDescent="0.3">
      <c r="A21" s="6">
        <f>GDP!A21</f>
        <v>2019</v>
      </c>
      <c r="B21" s="3">
        <f>GDP!B21</f>
        <v>1873288158838.6255</v>
      </c>
      <c r="C21" s="3">
        <f>GDP!C21</f>
        <v>0</v>
      </c>
      <c r="D21" s="3" t="str">
        <f>GDP!D21</f>
        <v>No</v>
      </c>
    </row>
    <row r="22" spans="1:4" x14ac:dyDescent="0.3">
      <c r="A22" s="10">
        <f>GDP!A22</f>
        <v>2020</v>
      </c>
      <c r="B22" s="11">
        <f>GDP!B22</f>
        <v>1476107292151.9543</v>
      </c>
      <c r="C22" s="11">
        <f>GDP!C22</f>
        <v>3.3872876494707319E-4</v>
      </c>
      <c r="D22" s="11" t="str">
        <f>GDP!D22</f>
        <v>Yes</v>
      </c>
    </row>
    <row r="23" spans="1:4" x14ac:dyDescent="0.3">
      <c r="A23" s="10">
        <f>GDP!A23</f>
        <v>2021</v>
      </c>
      <c r="B23" s="11">
        <f>GDP!B23</f>
        <v>1670647464062.9622</v>
      </c>
      <c r="C23" s="11">
        <f>GDP!C23</f>
        <v>3.2502368792961325E-4</v>
      </c>
      <c r="D23" s="11" t="str">
        <f>GDP!D23</f>
        <v>Yes</v>
      </c>
    </row>
    <row r="24" spans="1:4" x14ac:dyDescent="0.3">
      <c r="A24" s="10">
        <f>GDP!A24</f>
        <v>2022</v>
      </c>
      <c r="B24" s="11">
        <f>GDP!B24</f>
        <v>1951923832083.8743</v>
      </c>
      <c r="C24" s="11">
        <f>GDP!C24</f>
        <v>5.8455149798640872E-4</v>
      </c>
      <c r="D24" s="11" t="str">
        <f>GDP!D24</f>
        <v>Yes</v>
      </c>
    </row>
    <row r="25" spans="1:4" x14ac:dyDescent="0.3">
      <c r="A25" s="10">
        <f>GDP!A25</f>
        <v>2023</v>
      </c>
      <c r="B25" s="11">
        <f>GDP!B25</f>
        <v>2191131869706.0227</v>
      </c>
      <c r="C25" s="11">
        <f>GDP!C25</f>
        <v>1.8766556485492103E-4</v>
      </c>
      <c r="D25" s="11" t="str">
        <f>GDP!D25</f>
        <v>Yes</v>
      </c>
    </row>
    <row r="26" spans="1:4" x14ac:dyDescent="0.3">
      <c r="A26" s="10">
        <f>GDP!A26</f>
        <v>2024</v>
      </c>
      <c r="B26" s="11">
        <f>GDP!B26</f>
        <v>2185821648943.8604</v>
      </c>
      <c r="C26" s="11">
        <f>GDP!C26</f>
        <v>3.4586536388514686E-3</v>
      </c>
      <c r="D26" s="11" t="str">
        <f>GDP!D26</f>
        <v>Yes</v>
      </c>
    </row>
    <row r="27" spans="1:4" x14ac:dyDescent="0.3">
      <c r="A27" s="10"/>
      <c r="B27" s="7"/>
      <c r="C27" s="7"/>
      <c r="D27" s="7"/>
    </row>
  </sheetData>
  <autoFilter ref="D1:D26">
    <filterColumn colId="0">
      <filters>
        <filter val="Yes"/>
      </filters>
    </filterColumn>
  </autoFilter>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4" x14ac:dyDescent="0.3"/>
  <sheetData>
    <row r="1" spans="1:2" x14ac:dyDescent="0.3">
      <c r="A1" t="s">
        <v>0</v>
      </c>
      <c r="B1" t="s">
        <v>1</v>
      </c>
    </row>
    <row r="2" spans="1:2" x14ac:dyDescent="0.3">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I28" sqref="I28"/>
    </sheetView>
  </sheetViews>
  <sheetFormatPr defaultRowHeight="14.4" x14ac:dyDescent="0.3"/>
  <cols>
    <col min="1" max="1" width="12.33203125" customWidth="1"/>
    <col min="3" max="3" width="32.21875" customWidth="1"/>
    <col min="4" max="4" width="24.88671875" customWidth="1"/>
  </cols>
  <sheetData>
    <row r="1" spans="1:5" ht="15.6" x14ac:dyDescent="0.35">
      <c r="A1" s="7" t="s">
        <v>2575</v>
      </c>
      <c r="B1" s="7" t="s">
        <v>2576</v>
      </c>
      <c r="C1" s="7" t="s">
        <v>2579</v>
      </c>
      <c r="D1" s="7" t="s">
        <v>2577</v>
      </c>
      <c r="E1" s="7" t="s">
        <v>2578</v>
      </c>
    </row>
    <row r="2" spans="1:5" x14ac:dyDescent="0.3">
      <c r="A2" s="7">
        <v>1</v>
      </c>
      <c r="B2" s="7">
        <v>2001</v>
      </c>
      <c r="C2" s="8">
        <v>8.0359500000000002E-5</v>
      </c>
      <c r="D2" s="9">
        <v>8.0000000000000007E-5</v>
      </c>
      <c r="E2" s="7" t="s">
        <v>33</v>
      </c>
    </row>
    <row r="3" spans="1:5" x14ac:dyDescent="0.3">
      <c r="A3" s="7">
        <v>2</v>
      </c>
      <c r="B3" s="7">
        <v>2003</v>
      </c>
      <c r="C3" s="8">
        <v>5.4278340000000005E-4</v>
      </c>
      <c r="D3" s="9">
        <v>5.4299999999999997E-4</v>
      </c>
      <c r="E3" s="7" t="s">
        <v>33</v>
      </c>
    </row>
    <row r="4" spans="1:5" x14ac:dyDescent="0.3">
      <c r="A4" s="7">
        <v>3</v>
      </c>
      <c r="B4" s="7">
        <v>2007</v>
      </c>
      <c r="C4" s="8">
        <v>8.9470100000000002E-5</v>
      </c>
      <c r="D4" s="9">
        <v>8.8999999999999995E-5</v>
      </c>
      <c r="E4" s="7" t="s">
        <v>33</v>
      </c>
    </row>
    <row r="5" spans="1:5" x14ac:dyDescent="0.3">
      <c r="A5" s="7">
        <v>4</v>
      </c>
      <c r="B5" s="7">
        <v>2008</v>
      </c>
      <c r="C5" s="8">
        <v>6.5453690000000003E-4</v>
      </c>
      <c r="D5" s="9">
        <v>6.5499999999999998E-4</v>
      </c>
      <c r="E5" s="7" t="s">
        <v>33</v>
      </c>
    </row>
    <row r="6" spans="1:5" x14ac:dyDescent="0.3">
      <c r="A6" s="7">
        <v>5</v>
      </c>
      <c r="B6" s="7">
        <v>2009</v>
      </c>
      <c r="C6" s="8">
        <v>3.5992879999999997E-4</v>
      </c>
      <c r="D6" s="9">
        <v>3.6000000000000002E-4</v>
      </c>
      <c r="E6" s="7" t="s">
        <v>33</v>
      </c>
    </row>
    <row r="7" spans="1:5" x14ac:dyDescent="0.3">
      <c r="A7" s="7">
        <v>6</v>
      </c>
      <c r="B7" s="7">
        <v>2010</v>
      </c>
      <c r="C7" s="8">
        <v>3.6308679999999999E-4</v>
      </c>
      <c r="D7" s="9">
        <v>3.6299999999999999E-4</v>
      </c>
      <c r="E7" s="7" t="s">
        <v>33</v>
      </c>
    </row>
    <row r="8" spans="1:5" x14ac:dyDescent="0.3">
      <c r="A8" s="7">
        <v>7</v>
      </c>
      <c r="B8" s="7">
        <v>2011</v>
      </c>
      <c r="C8" s="8">
        <v>3.8300459999999998E-4</v>
      </c>
      <c r="D8" s="9">
        <v>3.8299999999999999E-4</v>
      </c>
      <c r="E8" s="7" t="s">
        <v>33</v>
      </c>
    </row>
    <row r="9" spans="1:5" x14ac:dyDescent="0.3">
      <c r="A9" s="7">
        <v>8</v>
      </c>
      <c r="B9" s="7">
        <v>2012</v>
      </c>
      <c r="C9" s="8">
        <v>6.9364799999999997E-5</v>
      </c>
      <c r="D9" s="9">
        <v>6.8999999999999997E-5</v>
      </c>
      <c r="E9" s="7" t="s">
        <v>33</v>
      </c>
    </row>
    <row r="10" spans="1:5" x14ac:dyDescent="0.3">
      <c r="A10" s="7">
        <v>9</v>
      </c>
      <c r="B10" s="7">
        <v>2013</v>
      </c>
      <c r="C10" s="8">
        <v>2.2059839999999999E-4</v>
      </c>
      <c r="D10" s="9">
        <v>2.2100000000000001E-4</v>
      </c>
      <c r="E10" s="7" t="s">
        <v>33</v>
      </c>
    </row>
    <row r="11" spans="1:5" x14ac:dyDescent="0.3">
      <c r="A11" s="7">
        <v>10</v>
      </c>
      <c r="B11" s="7">
        <v>2014</v>
      </c>
      <c r="C11" s="8">
        <v>8.1431800000000002E-5</v>
      </c>
      <c r="D11" s="9">
        <v>8.1000000000000004E-5</v>
      </c>
      <c r="E11" s="7" t="s">
        <v>33</v>
      </c>
    </row>
    <row r="12" spans="1:5" x14ac:dyDescent="0.3">
      <c r="A12" s="7">
        <v>11</v>
      </c>
      <c r="B12" s="7">
        <v>2016</v>
      </c>
      <c r="C12" s="8">
        <v>1.113776E-4</v>
      </c>
      <c r="D12" s="9">
        <v>1.11E-4</v>
      </c>
      <c r="E12" s="7" t="s">
        <v>33</v>
      </c>
    </row>
    <row r="13" spans="1:5" x14ac:dyDescent="0.3">
      <c r="A13" s="7">
        <v>12</v>
      </c>
      <c r="B13" s="7">
        <v>2017</v>
      </c>
      <c r="C13" s="8">
        <v>4.8461000000000002E-5</v>
      </c>
      <c r="D13" s="9">
        <v>4.8000000000000001E-5</v>
      </c>
      <c r="E13" s="7" t="s">
        <v>33</v>
      </c>
    </row>
    <row r="14" spans="1:5" x14ac:dyDescent="0.3">
      <c r="A14" s="7">
        <v>13</v>
      </c>
      <c r="B14" s="7">
        <v>2018</v>
      </c>
      <c r="C14" s="8">
        <v>2.7648300000000001E-5</v>
      </c>
      <c r="D14" s="9">
        <v>2.8E-5</v>
      </c>
      <c r="E14" s="7" t="s">
        <v>33</v>
      </c>
    </row>
    <row r="15" spans="1:5" x14ac:dyDescent="0.3">
      <c r="A15" s="7">
        <v>14</v>
      </c>
      <c r="B15" s="7">
        <v>2020</v>
      </c>
      <c r="C15" s="8">
        <v>3.387288E-4</v>
      </c>
      <c r="D15" s="9">
        <v>3.39E-4</v>
      </c>
      <c r="E15" s="7" t="s">
        <v>33</v>
      </c>
    </row>
    <row r="16" spans="1:5" x14ac:dyDescent="0.3">
      <c r="A16" s="7">
        <v>15</v>
      </c>
      <c r="B16" s="7">
        <v>2021</v>
      </c>
      <c r="C16" s="8">
        <v>3.2502369999999999E-4</v>
      </c>
      <c r="D16" s="9">
        <v>3.2499999999999999E-4</v>
      </c>
      <c r="E16" s="7" t="s">
        <v>33</v>
      </c>
    </row>
    <row r="17" spans="1:5" x14ac:dyDescent="0.3">
      <c r="A17" s="7">
        <v>16</v>
      </c>
      <c r="B17" s="7">
        <v>2022</v>
      </c>
      <c r="C17" s="8">
        <v>5.8455149999999995E-4</v>
      </c>
      <c r="D17" s="9">
        <v>5.8500000000000002E-4</v>
      </c>
      <c r="E17" s="7" t="s">
        <v>33</v>
      </c>
    </row>
    <row r="18" spans="1:5" x14ac:dyDescent="0.3">
      <c r="A18" s="7">
        <v>17</v>
      </c>
      <c r="B18" s="7">
        <v>2023</v>
      </c>
      <c r="C18" s="8">
        <v>1.8766559999999999E-4</v>
      </c>
      <c r="D18" s="9">
        <v>1.8799999999999999E-4</v>
      </c>
      <c r="E18" s="7" t="s">
        <v>33</v>
      </c>
    </row>
    <row r="19" spans="1:5" x14ac:dyDescent="0.3">
      <c r="A19" s="7">
        <v>18</v>
      </c>
      <c r="B19" s="7">
        <v>2024</v>
      </c>
      <c r="C19" s="8">
        <v>3.4586536000000001E-3</v>
      </c>
      <c r="D19" s="9">
        <v>3.4589999999999998E-3</v>
      </c>
      <c r="E19" s="7" t="s">
        <v>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Data all</vt:lpstr>
      <vt:lpstr>EM-DAT Data</vt:lpstr>
      <vt:lpstr>GDP</vt:lpstr>
      <vt:lpstr>GDP-keep</vt:lpstr>
      <vt:lpstr>EM-DAT Info</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2026-08-27T08:46:44Z</dcterms:modified>
</cp:coreProperties>
</file>