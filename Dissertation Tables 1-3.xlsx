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ronghua\Desktop\"/>
    </mc:Choice>
  </mc:AlternateContent>
  <bookViews>
    <workbookView xWindow="0" yWindow="0" windowWidth="23040" windowHeight="9288" activeTab="2"/>
  </bookViews>
  <sheets>
    <sheet name="Table 1" sheetId="1" r:id="rId1"/>
    <sheet name="Table 2" sheetId="2" r:id="rId2"/>
    <sheet name="Table 3" sheetId="3" r:id="rId3"/>
  </sheets>
  <calcPr calcId="162913"/>
</workbook>
</file>

<file path=xl/calcChain.xml><?xml version="1.0" encoding="utf-8"?>
<calcChain xmlns="http://schemas.openxmlformats.org/spreadsheetml/2006/main">
  <c r="D9" i="3" l="1"/>
  <c r="D8" i="3"/>
  <c r="D7" i="3"/>
  <c r="D6" i="3"/>
  <c r="D5" i="3"/>
  <c r="D4" i="3"/>
  <c r="D3" i="3"/>
</calcChain>
</file>

<file path=xl/sharedStrings.xml><?xml version="1.0" encoding="utf-8"?>
<sst xmlns="http://schemas.openxmlformats.org/spreadsheetml/2006/main" count="72" uniqueCount="61">
  <si>
    <t>Table 1. Event-level distribution estimates for Brazil flood damage, 2000–2024</t>
  </si>
  <si>
    <t>Measure</t>
  </si>
  <si>
    <t>Pareto</t>
  </si>
  <si>
    <t>Dagum</t>
  </si>
  <si>
    <t>Estimation sample</t>
  </si>
  <si>
    <t>All positive event losses</t>
  </si>
  <si>
    <t>Sample size</t>
  </si>
  <si>
    <t>Arrival rate, λ (events/year)</t>
  </si>
  <si>
    <t>Threshold, xₘ</t>
  </si>
  <si>
    <t>Not applied</t>
  </si>
  <si>
    <t>Shape parameter, α</t>
  </si>
  <si>
    <t>0.664688 [0.536725, 0.846119]</t>
  </si>
  <si>
    <t>—</t>
  </si>
  <si>
    <t>Shape parameter, a</t>
  </si>
  <si>
    <t>1.502548 [0.985293, 5.983296]</t>
  </si>
  <si>
    <t>Scale parameter, b</t>
  </si>
  <si>
    <t>0.000135651 [0.000064549, 0.000435047]</t>
  </si>
  <si>
    <t>Shape parameter, p</t>
  </si>
  <si>
    <t>0.392539 [0.071707, 0.737141]</t>
  </si>
  <si>
    <t>Log-likelihood</t>
  </si>
  <si>
    <t>AIC</t>
  </si>
  <si>
    <t>BIC</t>
  </si>
  <si>
    <t>Mean final damage (%)</t>
  </si>
  <si>
    <t>Median final damage (%)</t>
  </si>
  <si>
    <t>Mean maximum damage (%)</t>
  </si>
  <si>
    <t>Median maximum damage (%)</t>
  </si>
  <si>
    <t>95th percentile maximum damage (%)</t>
  </si>
  <si>
    <t>99th percentile maximum damage (%)</t>
  </si>
  <si>
    <t>Transient threshold exceedance probability (%)</t>
  </si>
  <si>
    <t>Final-year threshold exceedance probability (%)</t>
  </si>
  <si>
    <t>Persistent collapse probability (%)</t>
  </si>
  <si>
    <t>Probability of reaching the 100% cap (%)</t>
  </si>
  <si>
    <t>Table 3. Persistent collapse probabilities under alternative rebuilding rates</t>
  </si>
  <si>
    <t>Pareto probability (%)</t>
  </si>
  <si>
    <t>Dagum probability (%)</t>
  </si>
  <si>
    <t>Difference (percentage points)</t>
  </si>
  <si>
    <t>Model</t>
  </si>
  <si>
    <t>5% probability benchmark</t>
  </si>
  <si>
    <t>≤ 5%</t>
  </si>
  <si>
    <r>
      <t xml:space="preserve">Full </t>
    </r>
    <r>
      <rPr>
        <b/>
        <i/>
        <sz val="12"/>
        <color rgb="FF000000"/>
        <rFont val="Arial"/>
        <family val="2"/>
      </rPr>
      <t>θ</t>
    </r>
    <r>
      <rPr>
        <b/>
        <sz val="12"/>
        <color rgb="FF000000"/>
        <rFont val="Arial"/>
        <family val="2"/>
      </rPr>
      <t xml:space="preserve"> grid</t>
    </r>
    <phoneticPr fontId="6" type="noConversion"/>
  </si>
  <si>
    <t>θ</t>
    <phoneticPr fontId="6" type="noConversion"/>
  </si>
  <si>
    <r>
      <t xml:space="preserve">Rebuilding rate, </t>
    </r>
    <r>
      <rPr>
        <b/>
        <i/>
        <sz val="11"/>
        <color rgb="FF000000"/>
        <rFont val="Arial"/>
        <family val="2"/>
      </rPr>
      <t>θ</t>
    </r>
    <phoneticPr fontId="6" type="noConversion"/>
  </si>
  <si>
    <r>
      <t xml:space="preserve">Critical rebuilding rate, </t>
    </r>
    <r>
      <rPr>
        <b/>
        <i/>
        <sz val="11"/>
        <color rgb="FF000000"/>
        <rFont val="Arial"/>
        <family val="2"/>
      </rPr>
      <t>θ</t>
    </r>
    <r>
      <rPr>
        <b/>
        <sz val="11"/>
        <color rgb="FF000000"/>
        <rFont val="Arial"/>
        <family val="2"/>
      </rPr>
      <t>crit</t>
    </r>
    <phoneticPr fontId="6" type="noConversion"/>
  </si>
  <si>
    <r>
      <t xml:space="preserve">x </t>
    </r>
    <r>
      <rPr>
        <sz val="11"/>
        <color rgb="FF000000"/>
        <rFont val="宋体"/>
        <family val="3"/>
        <charset val="134"/>
      </rPr>
      <t>≥</t>
    </r>
    <r>
      <rPr>
        <sz val="11"/>
        <color rgb="FF000000"/>
        <rFont val="Arial"/>
        <family val="2"/>
      </rPr>
      <t xml:space="preserve"> 2*10</t>
    </r>
    <r>
      <rPr>
        <vertAlign val="superscript"/>
        <sz val="11"/>
        <color rgb="FF000000"/>
        <rFont val="Arial"/>
        <family val="2"/>
      </rPr>
      <t>-5</t>
    </r>
    <phoneticPr fontId="6" type="noConversion"/>
  </si>
  <si>
    <r>
      <t>Table 2. Baseline Monte Carlo results under</t>
    </r>
    <r>
      <rPr>
        <b/>
        <i/>
        <sz val="12"/>
        <color rgb="FF000000"/>
        <rFont val="Arial"/>
        <family val="2"/>
      </rPr>
      <t xml:space="preserve"> θ</t>
    </r>
    <r>
      <rPr>
        <b/>
        <sz val="12"/>
        <color rgb="FF000000"/>
        <rFont val="Arial"/>
        <family val="2"/>
      </rPr>
      <t xml:space="preserve"> = 1.0</t>
    </r>
    <phoneticPr fontId="6" type="noConversion"/>
  </si>
  <si>
    <t xml:space="preserve"> </t>
    <phoneticPr fontId="6" type="noConversion"/>
  </si>
  <si>
    <t>Notes: Results are based on 10,000 simulations over 50 years with monthly time steps, θ = 1.0 and a 1% damage threshold. Persistent collapse means that the average damaged capital stock ratio over the final five years is at least 1%. The two columns represent complete fitted risk specifications, combining model-specific event frequencies and severity distributions.The 100% cap is a numerical boundary and should not be interpreted as a literal forecast of complete capital destruction.</t>
    <phoneticPr fontId="6" type="noConversion"/>
  </si>
  <si>
    <r>
      <t>Notes: Persistent collapse is defined as an average damaged-capital ratio of at least 1% over the final five years. Sensitivity estimates are based on 5,000 paths for each rebuilding rate. The critical rebuilding rate, θ</t>
    </r>
    <r>
      <rPr>
        <i/>
        <vertAlign val="subscript"/>
        <sz val="10"/>
        <color rgb="FF404040"/>
        <rFont val="Arial"/>
        <family val="2"/>
      </rPr>
      <t>crit</t>
    </r>
    <r>
      <rPr>
        <i/>
        <sz val="10"/>
        <color rgb="FF404040"/>
        <rFont val="Arial"/>
        <family val="2"/>
      </rPr>
      <t>, is the first tested value at which persistent-collapse probability is no greater than 5%. Values at θ=1.0 may differ slightly from Table 2 because the baseline analysis used 10,000 paths.</t>
    </r>
    <phoneticPr fontId="6" type="noConversion"/>
  </si>
  <si>
    <r>
      <t>Notes: Values in square brackets are 95% percentile bootstrap confidence intervals based on 1,000 resamples. Pareto uses 38 events at or above xₘ = 2*10</t>
    </r>
    <r>
      <rPr>
        <i/>
        <vertAlign val="superscript"/>
        <sz val="10"/>
        <color rgb="FF404040"/>
        <rFont val="Arial"/>
        <family val="2"/>
      </rPr>
      <t>-5</t>
    </r>
    <r>
      <rPr>
        <i/>
        <sz val="10"/>
        <color rgb="FF404040"/>
        <rFont val="Arial"/>
        <family val="2"/>
      </rPr>
      <t>; Dagum uses all 51 positive event losses. AIC and BIC are reported as model-specific diagnostics and should not be directly ranked because the two models use different estimation samples.</t>
    </r>
    <phoneticPr fontId="6" type="noConversion"/>
  </si>
  <si>
    <t>Pareto specification</t>
  </si>
  <si>
    <t>Dagum specification</t>
  </si>
  <si>
    <t>Akaike Information Criterion (AIC)</t>
  </si>
  <si>
    <t>−598.923</t>
  </si>
  <si>
    <t>−832.064</t>
  </si>
  <si>
    <t>Bayesian Information Criterion (BIC)</t>
  </si>
  <si>
    <t>−597.285</t>
  </si>
  <si>
    <t>−826.268</t>
  </si>
  <si>
    <t>Number of fitted parameters</t>
    <phoneticPr fontId="6" type="noConversion"/>
  </si>
  <si>
    <t>Number of observations</t>
    <phoneticPr fontId="6" type="noConversion"/>
  </si>
  <si>
    <t>Measure</t>
    <phoneticPr fontId="6" type="noConversion"/>
  </si>
  <si>
    <t>Measure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</si>
</sst>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"/>
  </numFmts>
  <fonts count="14">
    <font>
      <sz val="11"/>
      <name val="Carlito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i/>
      <sz val="10"/>
      <color rgb="FF404040"/>
      <name val="Arial"/>
      <family val="2"/>
    </font>
    <font>
      <sz val="11"/>
      <name val="Carlito"/>
    </font>
    <font>
      <sz val="9"/>
      <name val="宋体"/>
      <family val="3"/>
      <charset val="134"/>
    </font>
    <font>
      <b/>
      <i/>
      <sz val="12"/>
      <color rgb="FF000000"/>
      <name val="Arial"/>
      <family val="2"/>
    </font>
    <font>
      <b/>
      <i/>
      <sz val="11"/>
      <color rgb="FF000000"/>
      <name val="Arial"/>
      <family val="2"/>
    </font>
    <font>
      <sz val="11"/>
      <color rgb="FF000000"/>
      <name val="宋体"/>
      <family val="3"/>
      <charset val="134"/>
    </font>
    <font>
      <vertAlign val="superscript"/>
      <sz val="11"/>
      <color rgb="FF000000"/>
      <name val="Arial"/>
      <family val="2"/>
    </font>
    <font>
      <i/>
      <vertAlign val="superscript"/>
      <sz val="10"/>
      <color rgb="FF404040"/>
      <name val="Arial"/>
      <family val="2"/>
    </font>
    <font>
      <i/>
      <vertAlign val="subscript"/>
      <sz val="10"/>
      <color rgb="FF404040"/>
      <name val="Arial"/>
      <family val="2"/>
    </font>
    <font>
      <b/>
      <sz val="11"/>
      <color rgb="FF3F3F3F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thin">
        <color rgb="FFBFBFBF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BFBFBF"/>
      </right>
      <top style="thin">
        <color rgb="FF000000"/>
      </top>
      <bottom style="thin">
        <color rgb="FF000000"/>
      </bottom>
      <diagonal/>
    </border>
    <border>
      <left/>
      <right/>
      <top/>
      <bottom style="hair">
        <color rgb="FFD9D9D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5" fillId="0" borderId="0"/>
    <xf numFmtId="0" fontId="13" fillId="3" borderId="5" applyNumberFormat="0" applyAlignment="0" applyProtection="0">
      <alignment vertical="center"/>
    </xf>
  </cellStyleXfs>
  <cellXfs count="21">
    <xf numFmtId="0" fontId="0" fillId="0" borderId="0" xfId="0"/>
    <xf numFmtId="0" fontId="2" fillId="2" borderId="1" xfId="1" applyNumberFormat="1" applyFont="1" applyFill="1" applyBorder="1" applyAlignment="1">
      <alignment horizontal="center" vertical="center" wrapText="1"/>
    </xf>
    <xf numFmtId="0" fontId="2" fillId="2" borderId="2" xfId="1" applyNumberFormat="1" applyFont="1" applyFill="1" applyBorder="1" applyAlignment="1">
      <alignment horizontal="center" vertical="center" wrapText="1"/>
    </xf>
    <xf numFmtId="0" fontId="2" fillId="2" borderId="3" xfId="1" applyNumberFormat="1" applyFont="1" applyFill="1" applyBorder="1" applyAlignment="1">
      <alignment horizontal="center" vertical="center" wrapText="1"/>
    </xf>
    <xf numFmtId="0" fontId="3" fillId="0" borderId="0" xfId="1" applyNumberFormat="1" applyFont="1" applyFill="1" applyBorder="1" applyAlignment="1">
      <alignment vertical="center"/>
    </xf>
    <xf numFmtId="0" fontId="3" fillId="0" borderId="4" xfId="1" applyNumberFormat="1" applyFont="1" applyFill="1" applyBorder="1" applyAlignment="1">
      <alignment vertical="center"/>
    </xf>
    <xf numFmtId="0" fontId="8" fillId="2" borderId="1" xfId="1" applyNumberFormat="1" applyFont="1" applyFill="1" applyBorder="1" applyAlignment="1">
      <alignment horizontal="center" vertical="center" wrapText="1"/>
    </xf>
    <xf numFmtId="0" fontId="3" fillId="0" borderId="0" xfId="1" applyNumberFormat="1" applyFont="1" applyFill="1" applyBorder="1" applyAlignment="1">
      <alignment horizontal="center" vertical="center"/>
    </xf>
    <xf numFmtId="2" fontId="3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4" xfId="1" applyNumberFormat="1" applyFont="1" applyFill="1" applyBorder="1" applyAlignment="1">
      <alignment horizontal="center" vertical="center"/>
    </xf>
    <xf numFmtId="2" fontId="3" fillId="0" borderId="4" xfId="1" applyNumberFormat="1" applyFont="1" applyFill="1" applyBorder="1" applyAlignment="1">
      <alignment horizontal="center" vertical="center"/>
    </xf>
    <xf numFmtId="1" fontId="3" fillId="0" borderId="0" xfId="1" applyNumberFormat="1" applyFont="1" applyFill="1" applyBorder="1" applyAlignment="1">
      <alignment horizontal="center" vertical="center"/>
    </xf>
    <xf numFmtId="176" fontId="3" fillId="0" borderId="0" xfId="1" applyNumberFormat="1" applyFont="1" applyFill="1" applyBorder="1" applyAlignment="1">
      <alignment horizontal="center" vertical="center"/>
    </xf>
    <xf numFmtId="176" fontId="3" fillId="0" borderId="4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3" fillId="3" borderId="5" xfId="2" applyAlignment="1">
      <alignment horizontal="center" vertical="center" wrapText="1"/>
    </xf>
    <xf numFmtId="0" fontId="1" fillId="0" borderId="0" xfId="1" applyNumberFormat="1" applyFont="1" applyFill="1" applyBorder="1" applyAlignment="1">
      <alignment horizontal="left" vertical="center"/>
    </xf>
    <xf numFmtId="0" fontId="4" fillId="0" borderId="0" xfId="1" applyNumberFormat="1" applyFont="1" applyFill="1" applyBorder="1" applyAlignment="1">
      <alignment vertical="top" wrapText="1"/>
    </xf>
    <xf numFmtId="0" fontId="1" fillId="0" borderId="0" xfId="1" applyNumberFormat="1" applyFont="1" applyFill="1" applyBorder="1" applyAlignment="1">
      <alignment horizontal="center" vertical="center"/>
    </xf>
  </cellXfs>
  <cellStyles count="3">
    <cellStyle name="Normal" xfId="1"/>
    <cellStyle name="常规" xfId="0" builtinId="0"/>
    <cellStyle name="输出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zoomScale="82" workbookViewId="0">
      <selection activeCell="H9" sqref="H9"/>
    </sheetView>
  </sheetViews>
  <sheetFormatPr defaultRowHeight="13.8"/>
  <cols>
    <col min="1" max="1" width="32" customWidth="1"/>
    <col min="2" max="2" width="29.8984375" customWidth="1"/>
    <col min="3" max="3" width="29" customWidth="1"/>
  </cols>
  <sheetData>
    <row r="1" spans="1:3" ht="19.2" customHeight="1">
      <c r="A1" s="18" t="s">
        <v>0</v>
      </c>
      <c r="B1" s="18"/>
      <c r="C1" s="18"/>
    </row>
    <row r="2" spans="1:3">
      <c r="A2" s="1" t="s">
        <v>59</v>
      </c>
      <c r="B2" s="2" t="s">
        <v>2</v>
      </c>
      <c r="C2" s="3" t="s">
        <v>3</v>
      </c>
    </row>
    <row r="3" spans="1:3" ht="16.2">
      <c r="A3" s="4" t="s">
        <v>4</v>
      </c>
      <c r="B3" s="7" t="s">
        <v>43</v>
      </c>
      <c r="C3" s="7" t="s">
        <v>5</v>
      </c>
    </row>
    <row r="4" spans="1:3">
      <c r="A4" s="4" t="s">
        <v>6</v>
      </c>
      <c r="B4" s="12">
        <v>38</v>
      </c>
      <c r="C4" s="12">
        <v>51</v>
      </c>
    </row>
    <row r="5" spans="1:3">
      <c r="A5" s="4" t="s">
        <v>7</v>
      </c>
      <c r="B5" s="8">
        <v>1.52</v>
      </c>
      <c r="C5" s="8">
        <v>2.04</v>
      </c>
    </row>
    <row r="6" spans="1:3">
      <c r="A6" s="4" t="s">
        <v>8</v>
      </c>
      <c r="B6" s="7">
        <v>2.0000000000000002E-5</v>
      </c>
      <c r="C6" s="7" t="s">
        <v>9</v>
      </c>
    </row>
    <row r="7" spans="1:3">
      <c r="A7" s="4" t="s">
        <v>10</v>
      </c>
      <c r="B7" s="7" t="s">
        <v>11</v>
      </c>
      <c r="C7" s="7" t="s">
        <v>12</v>
      </c>
    </row>
    <row r="8" spans="1:3">
      <c r="A8" s="4" t="s">
        <v>13</v>
      </c>
      <c r="B8" s="7" t="s">
        <v>12</v>
      </c>
      <c r="C8" s="7" t="s">
        <v>14</v>
      </c>
    </row>
    <row r="9" spans="1:3">
      <c r="A9" s="4" t="s">
        <v>15</v>
      </c>
      <c r="B9" s="7" t="s">
        <v>12</v>
      </c>
      <c r="C9" s="7" t="s">
        <v>16</v>
      </c>
    </row>
    <row r="10" spans="1:3">
      <c r="A10" s="4" t="s">
        <v>17</v>
      </c>
      <c r="B10" s="7" t="s">
        <v>12</v>
      </c>
      <c r="C10" s="7" t="s">
        <v>18</v>
      </c>
    </row>
    <row r="11" spans="1:3">
      <c r="A11" s="4" t="s">
        <v>19</v>
      </c>
      <c r="B11" s="13">
        <v>300.46132773747831</v>
      </c>
      <c r="C11" s="13">
        <v>419.03183110154839</v>
      </c>
    </row>
    <row r="12" spans="1:3">
      <c r="A12" s="4" t="s">
        <v>20</v>
      </c>
      <c r="B12" s="13">
        <v>-598.92265547495663</v>
      </c>
      <c r="C12" s="13">
        <v>-832.06366220309678</v>
      </c>
    </row>
    <row r="13" spans="1:3">
      <c r="A13" s="5" t="s">
        <v>21</v>
      </c>
      <c r="B13" s="14">
        <v>-597.2850693152302</v>
      </c>
      <c r="C13" s="14">
        <v>-826.2681853049238</v>
      </c>
    </row>
    <row r="14" spans="1:3" ht="46.35" customHeight="1">
      <c r="A14" s="19" t="s">
        <v>48</v>
      </c>
      <c r="B14" s="19"/>
      <c r="C14" s="19"/>
    </row>
    <row r="20" spans="1:3" ht="14.4">
      <c r="A20" s="17" t="s">
        <v>60</v>
      </c>
      <c r="B20" s="17" t="s">
        <v>49</v>
      </c>
      <c r="C20" s="17" t="s">
        <v>50</v>
      </c>
    </row>
    <row r="21" spans="1:3">
      <c r="A21" s="16" t="s">
        <v>58</v>
      </c>
      <c r="B21" s="15">
        <v>38</v>
      </c>
      <c r="C21" s="15">
        <v>51</v>
      </c>
    </row>
    <row r="22" spans="1:3">
      <c r="A22" s="16" t="s">
        <v>57</v>
      </c>
      <c r="B22" s="15">
        <v>1</v>
      </c>
      <c r="C22" s="15">
        <v>3</v>
      </c>
    </row>
    <row r="23" spans="1:3">
      <c r="A23" s="16" t="s">
        <v>19</v>
      </c>
      <c r="B23" s="15">
        <v>300.46100000000001</v>
      </c>
      <c r="C23" s="15">
        <v>419.03199999999998</v>
      </c>
    </row>
    <row r="24" spans="1:3">
      <c r="A24" s="16" t="s">
        <v>51</v>
      </c>
      <c r="B24" s="15" t="s">
        <v>52</v>
      </c>
      <c r="C24" s="15" t="s">
        <v>53</v>
      </c>
    </row>
    <row r="25" spans="1:3">
      <c r="A25" s="16" t="s">
        <v>54</v>
      </c>
      <c r="B25" s="15" t="s">
        <v>55</v>
      </c>
      <c r="C25" s="15" t="s">
        <v>56</v>
      </c>
    </row>
    <row r="32" spans="1:3">
      <c r="C32" t="s">
        <v>45</v>
      </c>
    </row>
  </sheetData>
  <mergeCells count="2">
    <mergeCell ref="A1:C1"/>
    <mergeCell ref="A14:C14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opLeftCell="A19" workbookViewId="0">
      <selection activeCell="F41" sqref="F41"/>
    </sheetView>
  </sheetViews>
  <sheetFormatPr defaultRowHeight="13.8"/>
  <cols>
    <col min="1" max="1" width="47" customWidth="1"/>
    <col min="2" max="3" width="17" customWidth="1"/>
  </cols>
  <sheetData>
    <row r="1" spans="1:3" ht="19.2" customHeight="1">
      <c r="A1" s="20" t="s">
        <v>44</v>
      </c>
      <c r="B1" s="20"/>
      <c r="C1" s="20"/>
    </row>
    <row r="2" spans="1:3">
      <c r="A2" s="1" t="s">
        <v>1</v>
      </c>
      <c r="B2" s="2" t="s">
        <v>2</v>
      </c>
      <c r="C2" s="3" t="s">
        <v>3</v>
      </c>
    </row>
    <row r="3" spans="1:3">
      <c r="A3" s="4" t="s">
        <v>22</v>
      </c>
      <c r="B3" s="8">
        <v>0.30725298696231856</v>
      </c>
      <c r="C3" s="8">
        <v>2.9924588600384071E-2</v>
      </c>
    </row>
    <row r="4" spans="1:3">
      <c r="A4" s="4" t="s">
        <v>23</v>
      </c>
      <c r="B4" s="8">
        <v>2.1463151956373404E-2</v>
      </c>
      <c r="C4" s="8">
        <v>1.6845349655840367E-2</v>
      </c>
    </row>
    <row r="5" spans="1:3">
      <c r="A5" s="4" t="s">
        <v>24</v>
      </c>
      <c r="B5" s="8">
        <v>12.878531642992378</v>
      </c>
      <c r="C5" s="8">
        <v>0.44474150662739304</v>
      </c>
    </row>
    <row r="6" spans="1:3">
      <c r="A6" s="4" t="s">
        <v>25</v>
      </c>
      <c r="B6" s="8">
        <v>2.4527454366536627</v>
      </c>
      <c r="C6" s="8">
        <v>0.23012252220558554</v>
      </c>
    </row>
    <row r="7" spans="1:3">
      <c r="A7" s="4" t="s">
        <v>26</v>
      </c>
      <c r="B7" s="8">
        <v>100</v>
      </c>
      <c r="C7" s="8">
        <v>1.1695062218462617</v>
      </c>
    </row>
    <row r="8" spans="1:3">
      <c r="A8" s="4" t="s">
        <v>27</v>
      </c>
      <c r="B8" s="8">
        <v>100</v>
      </c>
      <c r="C8" s="8">
        <v>3.6054927845841456</v>
      </c>
    </row>
    <row r="9" spans="1:3">
      <c r="A9" s="4" t="s">
        <v>28</v>
      </c>
      <c r="B9" s="8">
        <v>72.14</v>
      </c>
      <c r="C9" s="8">
        <v>6.3299999999999992</v>
      </c>
    </row>
    <row r="10" spans="1:3">
      <c r="A10" s="4" t="s">
        <v>29</v>
      </c>
      <c r="B10" s="8">
        <v>3.45</v>
      </c>
      <c r="C10" s="8">
        <v>0.06</v>
      </c>
    </row>
    <row r="11" spans="1:3">
      <c r="A11" s="4" t="s">
        <v>30</v>
      </c>
      <c r="B11" s="8">
        <v>4.72</v>
      </c>
      <c r="C11" s="8">
        <v>0.09</v>
      </c>
    </row>
    <row r="12" spans="1:3">
      <c r="A12" s="5" t="s">
        <v>31</v>
      </c>
      <c r="B12" s="11">
        <v>5.59</v>
      </c>
      <c r="C12" s="11">
        <v>0</v>
      </c>
    </row>
    <row r="14" spans="1:3" ht="68.400000000000006" customHeight="1">
      <c r="A14" s="19" t="s">
        <v>46</v>
      </c>
      <c r="B14" s="19"/>
      <c r="C14" s="19"/>
    </row>
  </sheetData>
  <mergeCells count="2">
    <mergeCell ref="A1:C1"/>
    <mergeCell ref="A14:C14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tabSelected="1" zoomScale="80" workbookViewId="0">
      <selection activeCell="G19" sqref="G19"/>
    </sheetView>
  </sheetViews>
  <sheetFormatPr defaultRowHeight="13.8"/>
  <cols>
    <col min="1" max="1" width="22" customWidth="1"/>
    <col min="2" max="4" width="24" customWidth="1"/>
    <col min="6" max="6" width="10" customWidth="1"/>
    <col min="7" max="8" width="23" customWidth="1"/>
  </cols>
  <sheetData>
    <row r="1" spans="1:4" ht="19.2" customHeight="1">
      <c r="A1" s="20" t="s">
        <v>32</v>
      </c>
      <c r="B1" s="20"/>
      <c r="C1" s="20"/>
      <c r="D1" s="20"/>
    </row>
    <row r="2" spans="1:4" ht="27.6">
      <c r="A2" s="1" t="s">
        <v>41</v>
      </c>
      <c r="B2" s="2" t="s">
        <v>33</v>
      </c>
      <c r="C2" s="2" t="s">
        <v>34</v>
      </c>
      <c r="D2" s="3" t="s">
        <v>35</v>
      </c>
    </row>
    <row r="3" spans="1:4">
      <c r="A3" s="8">
        <v>0.1</v>
      </c>
      <c r="B3" s="8">
        <v>43.6</v>
      </c>
      <c r="C3" s="8">
        <v>1.4000000000000001</v>
      </c>
      <c r="D3" s="8">
        <f t="shared" ref="D3:D9" si="0">B3-C3</f>
        <v>42.2</v>
      </c>
    </row>
    <row r="4" spans="1:4">
      <c r="A4" s="8">
        <v>0.5</v>
      </c>
      <c r="B4" s="8">
        <v>8.74</v>
      </c>
      <c r="C4" s="8">
        <v>0.08</v>
      </c>
      <c r="D4" s="8">
        <f t="shared" si="0"/>
        <v>8.66</v>
      </c>
    </row>
    <row r="5" spans="1:4">
      <c r="A5" s="8">
        <v>1</v>
      </c>
      <c r="B5" s="8">
        <v>4.7</v>
      </c>
      <c r="C5" s="8">
        <v>0.02</v>
      </c>
      <c r="D5" s="8">
        <f t="shared" si="0"/>
        <v>4.6800000000000006</v>
      </c>
    </row>
    <row r="6" spans="1:4">
      <c r="A6" s="8">
        <v>1.5</v>
      </c>
      <c r="B6" s="8">
        <v>3.44</v>
      </c>
      <c r="C6" s="8">
        <v>0.02</v>
      </c>
      <c r="D6" s="8">
        <f t="shared" si="0"/>
        <v>3.42</v>
      </c>
    </row>
    <row r="7" spans="1:4">
      <c r="A7" s="8">
        <v>2</v>
      </c>
      <c r="B7" s="8">
        <v>2.8400000000000003</v>
      </c>
      <c r="C7" s="8">
        <v>0.02</v>
      </c>
      <c r="D7" s="8">
        <f t="shared" si="0"/>
        <v>2.8200000000000003</v>
      </c>
    </row>
    <row r="8" spans="1:4">
      <c r="A8" s="8">
        <v>2.5</v>
      </c>
      <c r="B8" s="8">
        <v>2.4</v>
      </c>
      <c r="C8" s="8">
        <v>0.02</v>
      </c>
      <c r="D8" s="8">
        <f t="shared" si="0"/>
        <v>2.38</v>
      </c>
    </row>
    <row r="9" spans="1:4">
      <c r="A9" s="11">
        <v>3</v>
      </c>
      <c r="B9" s="11">
        <v>2.06</v>
      </c>
      <c r="C9" s="11">
        <v>0.02</v>
      </c>
      <c r="D9" s="11">
        <f t="shared" si="0"/>
        <v>2.04</v>
      </c>
    </row>
    <row r="11" spans="1:4" ht="27.6">
      <c r="A11" s="1" t="s">
        <v>36</v>
      </c>
      <c r="B11" s="2" t="s">
        <v>37</v>
      </c>
      <c r="C11" s="3" t="s">
        <v>42</v>
      </c>
    </row>
    <row r="12" spans="1:4" s="9" customFormat="1">
      <c r="A12" s="7" t="s">
        <v>2</v>
      </c>
      <c r="B12" s="7" t="s">
        <v>38</v>
      </c>
      <c r="C12" s="8">
        <v>1</v>
      </c>
    </row>
    <row r="13" spans="1:4" s="9" customFormat="1">
      <c r="A13" s="10" t="s">
        <v>3</v>
      </c>
      <c r="B13" s="10" t="s">
        <v>38</v>
      </c>
      <c r="C13" s="11">
        <v>0.1</v>
      </c>
    </row>
    <row r="15" spans="1:4" ht="58.2" customHeight="1">
      <c r="A15" s="19" t="s">
        <v>47</v>
      </c>
      <c r="B15" s="19"/>
      <c r="C15" s="19"/>
      <c r="D15" s="19"/>
    </row>
    <row r="19" spans="1:3" ht="15.6">
      <c r="A19" s="20" t="s">
        <v>39</v>
      </c>
      <c r="B19" s="20"/>
      <c r="C19" s="20"/>
    </row>
    <row r="20" spans="1:3">
      <c r="A20" s="6" t="s">
        <v>40</v>
      </c>
      <c r="B20" s="2" t="s">
        <v>33</v>
      </c>
      <c r="C20" s="3" t="s">
        <v>34</v>
      </c>
    </row>
    <row r="21" spans="1:3">
      <c r="A21" s="8">
        <v>0.1</v>
      </c>
      <c r="B21" s="8">
        <v>43.6</v>
      </c>
      <c r="C21" s="8">
        <v>1.4000000000000001</v>
      </c>
    </row>
    <row r="22" spans="1:3">
      <c r="A22" s="8">
        <v>0.2</v>
      </c>
      <c r="B22" s="8">
        <v>21.82</v>
      </c>
      <c r="C22" s="8">
        <v>0.36</v>
      </c>
    </row>
    <row r="23" spans="1:3">
      <c r="A23" s="8">
        <v>0.3</v>
      </c>
      <c r="B23" s="8">
        <v>14.42</v>
      </c>
      <c r="C23" s="8">
        <v>0.2</v>
      </c>
    </row>
    <row r="24" spans="1:3">
      <c r="A24" s="8">
        <v>0.4</v>
      </c>
      <c r="B24" s="8">
        <v>10.780000000000001</v>
      </c>
      <c r="C24" s="8">
        <v>0.12</v>
      </c>
    </row>
    <row r="25" spans="1:3">
      <c r="A25" s="8">
        <v>0.5</v>
      </c>
      <c r="B25" s="8">
        <v>8.74</v>
      </c>
      <c r="C25" s="8">
        <v>0.08</v>
      </c>
    </row>
    <row r="26" spans="1:3">
      <c r="A26" s="8">
        <v>0.6</v>
      </c>
      <c r="B26" s="8">
        <v>7.48</v>
      </c>
      <c r="C26" s="8">
        <v>0.04</v>
      </c>
    </row>
    <row r="27" spans="1:3">
      <c r="A27" s="8">
        <v>0.7</v>
      </c>
      <c r="B27" s="8">
        <v>6.6000000000000005</v>
      </c>
      <c r="C27" s="8">
        <v>0.04</v>
      </c>
    </row>
    <row r="28" spans="1:3">
      <c r="A28" s="8">
        <v>0.8</v>
      </c>
      <c r="B28" s="8">
        <v>5.82</v>
      </c>
      <c r="C28" s="8">
        <v>0.04</v>
      </c>
    </row>
    <row r="29" spans="1:3">
      <c r="A29" s="8">
        <v>0.9</v>
      </c>
      <c r="B29" s="8">
        <v>5.12</v>
      </c>
      <c r="C29" s="8">
        <v>0.02</v>
      </c>
    </row>
    <row r="30" spans="1:3">
      <c r="A30" s="8">
        <v>1</v>
      </c>
      <c r="B30" s="8">
        <v>4.7</v>
      </c>
      <c r="C30" s="8">
        <v>0.02</v>
      </c>
    </row>
    <row r="31" spans="1:3">
      <c r="A31" s="8">
        <v>1.1000000000000001</v>
      </c>
      <c r="B31" s="8">
        <v>4.26</v>
      </c>
      <c r="C31" s="8">
        <v>0.02</v>
      </c>
    </row>
    <row r="32" spans="1:3">
      <c r="A32" s="8">
        <v>1.2</v>
      </c>
      <c r="B32" s="8">
        <v>4.0599999999999996</v>
      </c>
      <c r="C32" s="8">
        <v>0.02</v>
      </c>
    </row>
    <row r="33" spans="1:3">
      <c r="A33" s="8">
        <v>1.3</v>
      </c>
      <c r="B33" s="8">
        <v>3.82</v>
      </c>
      <c r="C33" s="8">
        <v>0.02</v>
      </c>
    </row>
    <row r="34" spans="1:3">
      <c r="A34" s="8">
        <v>1.4</v>
      </c>
      <c r="B34" s="8">
        <v>3.66</v>
      </c>
      <c r="C34" s="8">
        <v>0.02</v>
      </c>
    </row>
    <row r="35" spans="1:3">
      <c r="A35" s="8">
        <v>1.5</v>
      </c>
      <c r="B35" s="8">
        <v>3.44</v>
      </c>
      <c r="C35" s="8">
        <v>0.02</v>
      </c>
    </row>
    <row r="36" spans="1:3">
      <c r="A36" s="8">
        <v>1.6</v>
      </c>
      <c r="B36" s="8">
        <v>3.2</v>
      </c>
      <c r="C36" s="8">
        <v>0.02</v>
      </c>
    </row>
    <row r="37" spans="1:3">
      <c r="A37" s="8">
        <v>1.7</v>
      </c>
      <c r="B37" s="8">
        <v>3.1399999999999997</v>
      </c>
      <c r="C37" s="8">
        <v>0.02</v>
      </c>
    </row>
    <row r="38" spans="1:3">
      <c r="A38" s="8">
        <v>1.8</v>
      </c>
      <c r="B38" s="8">
        <v>3.04</v>
      </c>
      <c r="C38" s="8">
        <v>0.02</v>
      </c>
    </row>
    <row r="39" spans="1:3">
      <c r="A39" s="8">
        <v>1.9</v>
      </c>
      <c r="B39" s="8">
        <v>2.98</v>
      </c>
      <c r="C39" s="8">
        <v>0.02</v>
      </c>
    </row>
    <row r="40" spans="1:3">
      <c r="A40" s="8">
        <v>2</v>
      </c>
      <c r="B40" s="8">
        <v>2.8400000000000003</v>
      </c>
      <c r="C40" s="8">
        <v>0.02</v>
      </c>
    </row>
    <row r="41" spans="1:3">
      <c r="A41" s="8">
        <v>2.1</v>
      </c>
      <c r="B41" s="8">
        <v>2.74</v>
      </c>
      <c r="C41" s="8">
        <v>0.02</v>
      </c>
    </row>
    <row r="42" spans="1:3">
      <c r="A42" s="8">
        <v>2.2000000000000002</v>
      </c>
      <c r="B42" s="8">
        <v>2.6</v>
      </c>
      <c r="C42" s="8">
        <v>0.02</v>
      </c>
    </row>
    <row r="43" spans="1:3">
      <c r="A43" s="8">
        <v>2.2999999999999998</v>
      </c>
      <c r="B43" s="8">
        <v>2.54</v>
      </c>
      <c r="C43" s="8">
        <v>0.02</v>
      </c>
    </row>
    <row r="44" spans="1:3">
      <c r="A44" s="8">
        <v>2.4</v>
      </c>
      <c r="B44" s="8">
        <v>2.42</v>
      </c>
      <c r="C44" s="8">
        <v>0.02</v>
      </c>
    </row>
    <row r="45" spans="1:3">
      <c r="A45" s="8">
        <v>2.5</v>
      </c>
      <c r="B45" s="8">
        <v>2.4</v>
      </c>
      <c r="C45" s="8">
        <v>0.02</v>
      </c>
    </row>
    <row r="46" spans="1:3">
      <c r="A46" s="8">
        <v>2.6</v>
      </c>
      <c r="B46" s="8">
        <v>2.36</v>
      </c>
      <c r="C46" s="8">
        <v>0.02</v>
      </c>
    </row>
    <row r="47" spans="1:3">
      <c r="A47" s="8">
        <v>2.7</v>
      </c>
      <c r="B47" s="8">
        <v>2.1999999999999997</v>
      </c>
      <c r="C47" s="8">
        <v>0.02</v>
      </c>
    </row>
    <row r="48" spans="1:3">
      <c r="A48" s="8">
        <v>2.8</v>
      </c>
      <c r="B48" s="8">
        <v>2.08</v>
      </c>
      <c r="C48" s="8">
        <v>0.02</v>
      </c>
    </row>
    <row r="49" spans="1:3">
      <c r="A49" s="8">
        <v>2.9</v>
      </c>
      <c r="B49" s="8">
        <v>2.06</v>
      </c>
      <c r="C49" s="8">
        <v>0.02</v>
      </c>
    </row>
    <row r="50" spans="1:3">
      <c r="A50" s="11">
        <v>3</v>
      </c>
      <c r="B50" s="11">
        <v>2.06</v>
      </c>
      <c r="C50" s="11">
        <v>0.02</v>
      </c>
    </row>
  </sheetData>
  <mergeCells count="3">
    <mergeCell ref="A1:D1"/>
    <mergeCell ref="A15:D15"/>
    <mergeCell ref="A19:C19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张紫桐</dc:creator>
  <cp:lastModifiedBy>Tong</cp:lastModifiedBy>
  <dcterms:created xsi:type="dcterms:W3CDTF">2026-07-13T20:52:43Z</dcterms:created>
  <dcterms:modified xsi:type="dcterms:W3CDTF">2026-08-27T08:45:54Z</dcterms:modified>
</cp:coreProperties>
</file>